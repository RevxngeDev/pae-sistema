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 - ORG" sheetId="1" r:id="rId5"/>
    <sheet state="visible" name="TRANS Y DISTRIB" sheetId="2" r:id="rId6"/>
    <sheet state="visible" name="REQUERIMIENTOS ALIM Y NUTR" sheetId="3" r:id="rId7"/>
    <sheet state="visible" name="GRAMAJES" sheetId="4" r:id="rId8"/>
    <sheet state="visible" name="REGISTRO FOTOGRÁFICO" sheetId="5" r:id="rId9"/>
    <sheet state="visible" name="REGISTRO FOTOGRÁFICO HALLAZGOS" sheetId="6" r:id="rId10"/>
    <sheet state="visible" name="ANALISIS_PUNTAJES" sheetId="7" r:id="rId11"/>
  </sheets>
  <definedNames/>
  <calcPr/>
</workbook>
</file>

<file path=xl/sharedStrings.xml><?xml version="1.0" encoding="utf-8"?>
<sst xmlns="http://schemas.openxmlformats.org/spreadsheetml/2006/main" count="390" uniqueCount="250">
  <si>
    <t>UNIDAD ADMINISTRATIVA ESPECIAL DE ALIMENTACIÓN ESCOLAR</t>
  </si>
  <si>
    <t>VERSIÓN 1</t>
  </si>
  <si>
    <t>FORMATO DE VERIFICACIÓN TEMPERATURAS Y CARACTERÍSTICAS ORGANOLÉPTICAS ALIMENTOS PREPARADOS Y DISTRIBUIDOS COMIDA CALIENTE TRANSPORTADA</t>
  </si>
  <si>
    <t>ETCNoC:</t>
  </si>
  <si>
    <t>Municipio de Puerto Gaitán</t>
  </si>
  <si>
    <t>Fecha de la visita:</t>
  </si>
  <si>
    <t>Sede educativa:</t>
  </si>
  <si>
    <t>JORGE ELIECER GAITÀN</t>
  </si>
  <si>
    <t>Tipo de Complemento:</t>
  </si>
  <si>
    <t>Jornada Mañana</t>
  </si>
  <si>
    <t>Jornada Tarde</t>
  </si>
  <si>
    <t>Almuerzo</t>
  </si>
  <si>
    <t>Operador:</t>
  </si>
  <si>
    <t>No Servicios</t>
  </si>
  <si>
    <t>X</t>
  </si>
  <si>
    <t xml:space="preserve">Organolépticas y temperaturas </t>
  </si>
  <si>
    <t>Preparación</t>
  </si>
  <si>
    <t>Apariencia</t>
  </si>
  <si>
    <t>Sabor</t>
  </si>
  <si>
    <t>Olor</t>
  </si>
  <si>
    <t>Textura</t>
  </si>
  <si>
    <t>Temperatura final de cocción</t>
  </si>
  <si>
    <t>Temperatura distribución inicial</t>
  </si>
  <si>
    <t>Temperatura distribución final</t>
  </si>
  <si>
    <t xml:space="preserve">Cumplimiento </t>
  </si>
  <si>
    <t>Cumple</t>
  </si>
  <si>
    <t>No cumple</t>
  </si>
  <si>
    <t>T (°C)</t>
  </si>
  <si>
    <t>PASTA - ESPAGUETHI</t>
  </si>
  <si>
    <t>62.5</t>
  </si>
  <si>
    <t>54.1</t>
  </si>
  <si>
    <t>CUMPLE</t>
  </si>
  <si>
    <t>PECHUGA A LA CRIOLLA</t>
  </si>
  <si>
    <t>62.9</t>
  </si>
  <si>
    <t>58.0</t>
  </si>
  <si>
    <t>´VERDURAS SALTEADAS</t>
  </si>
  <si>
    <t>71.3</t>
  </si>
  <si>
    <t>66.2</t>
  </si>
  <si>
    <t>INDICADOR: No de preparaciones que cumplen criterios de calidad y organolepticos / No de preparaciones verificadas</t>
  </si>
  <si>
    <t>Porcentaje de cumplimiento:</t>
  </si>
  <si>
    <t xml:space="preserve">Observaciones: </t>
  </si>
  <si>
    <t>FIRMAS</t>
  </si>
  <si>
    <t>Nombre:</t>
  </si>
  <si>
    <t>Documento:</t>
  </si>
  <si>
    <t>Cargo:</t>
  </si>
  <si>
    <t>ALCALDÍA DE PUERTO GAITÁN META</t>
  </si>
  <si>
    <t>FORMATO DE EVALUACIÓN CONDICIONES OPERACIONALES COMIDA CALIENTE TRANSPORTADA</t>
  </si>
  <si>
    <t>ETCNoC</t>
  </si>
  <si>
    <t>Municipio Puerto Gaitán</t>
  </si>
  <si>
    <t>JORGE ELIECER GAITAN</t>
  </si>
  <si>
    <t>Productora de Alimentos PA</t>
  </si>
  <si>
    <t>No. Contrato/Convenio</t>
  </si>
  <si>
    <t>No. de servicios</t>
  </si>
  <si>
    <t>Nombre de quien recibe la visita</t>
  </si>
  <si>
    <t>Cargo de quien recibe la visita</t>
  </si>
  <si>
    <t>Nombre de quien realiza la visita</t>
  </si>
  <si>
    <t>Cargo de quien realiza la visita</t>
  </si>
  <si>
    <t>Datos del Menú a verificar</t>
  </si>
  <si>
    <t>Descripción del Menú:</t>
  </si>
  <si>
    <t>PECHUGA A LA PLANCHA, PASTA ESPAGUETI, MONEDAS DE PLATANO, VERDURAS SALTEADAS, JUGO DE PIÑA</t>
  </si>
  <si>
    <t>Información de la ruta a verificar</t>
  </si>
  <si>
    <t>Nombre Centro de Producción (CDP):</t>
  </si>
  <si>
    <t>Centro de Producción Principal</t>
  </si>
  <si>
    <t>Placa del vehículo:</t>
  </si>
  <si>
    <t>TST 057</t>
  </si>
  <si>
    <t>N° de Ruta:</t>
  </si>
  <si>
    <t>N° de sedes de la ruta:</t>
  </si>
  <si>
    <t>Hora salida CDP:</t>
  </si>
  <si>
    <t>11:00AM</t>
  </si>
  <si>
    <t>Datos de distribución</t>
  </si>
  <si>
    <t>Nombre de la sede educativa</t>
  </si>
  <si>
    <t>CONTENEDOR 1</t>
  </si>
  <si>
    <t>CONTENEDOR 2 PASTA</t>
  </si>
  <si>
    <t>Hora de llegada  a la sede educativa</t>
  </si>
  <si>
    <t>Hora de salida de  la sede educativa</t>
  </si>
  <si>
    <t>Temperatura el contenedor isotérmico</t>
  </si>
  <si>
    <t>N/A</t>
  </si>
  <si>
    <t>Temperatura del complemento alimentario</t>
  </si>
  <si>
    <t>Cantidad  de complementos alimentarios entregados en la sede</t>
  </si>
  <si>
    <t>Califique según nivel de cumplimiento: Cumple (2), Cumple parcialmente (1) No cumple (NC), No aplica (NA)</t>
  </si>
  <si>
    <t>Personal Manipulador</t>
  </si>
  <si>
    <t>Calificación</t>
  </si>
  <si>
    <t>El personal manipulador y transportador cuenta con la documentación exigida para manipular alimentos de acuerdo a lo establecido en la Resolución 2674 de 2013 y ésta se encuentra vigente.</t>
  </si>
  <si>
    <t>Cuenta con la dotación completa, limpia, en buen estado y hace uso adecuado de la misma de acuerdo a lo establecido en la normatividad vigente.</t>
  </si>
  <si>
    <t>El personal manipulador y transportador cumple con las buenas prácticas de manufactura  en las diferentes etapas del proceso, según lo establecido en la normatividad legal vigente</t>
  </si>
  <si>
    <t>TOTAL ESPERADO:</t>
  </si>
  <si>
    <t>TOTAL OBTENIDO</t>
  </si>
  <si>
    <t>*</t>
  </si>
  <si>
    <t>Los vehículos para el transporte de los contenedores  isotérmicos cumplen con la normatividad sanitaria vigente (Resolución 2674 de 2013) y los lineamientos determinados para transporte de alimentos establecidos por el Ministerio de Transporte.</t>
  </si>
  <si>
    <t>El vehículo cuenta con certificación sanitaria expedida por la autoridad competente con concepto  favorable.</t>
  </si>
  <si>
    <t xml:space="preserve">Las Canastillas y/o equipos donde son transportados los alimentos se encuentran limpias, en buen estado y son de material resistente. </t>
  </si>
  <si>
    <t>Se realiza monitoreo de temperatura de los complementos alimentarios.</t>
  </si>
  <si>
    <t>Las temperaturas de los alimentos se encuentran dentro de los rangos establecidos y se monitorean los tiempos de exposición de los complementos.</t>
  </si>
  <si>
    <t>Se cumple con las cantidades establecidas por contenedor isotérmico según capacidad la capacidad de este.</t>
  </si>
  <si>
    <t>Observaciones</t>
  </si>
  <si>
    <t>Entrega de complemento alimentario</t>
  </si>
  <si>
    <t>La cantidad de complementos alimentarios entregados  se ajusta a las cantidades definidas para la sede educativa.</t>
  </si>
  <si>
    <t>Los componentes alimentarios entregados corresponden con los establecidos en el ciclo de menús aprobado.</t>
  </si>
  <si>
    <t>Los alimentos empacados y/o envasados que se entreguen con el complemento alimentario cumplen con la normatividad vigente para el  rotulado de alimentos</t>
  </si>
  <si>
    <t>Los complementos alimentarios se suministran en adecuadas condiciones de calidad (fechas de vencimiento, entre otros),  inocuidad,  presentación y no presentan ningún tipo de contaminación.</t>
  </si>
  <si>
    <t>Durante el descargue y entrega de los complementos alimentarios en la sede educativa se evidencia adecuadas practicas de manufactura.</t>
  </si>
  <si>
    <t>Los complementos alimentarios son entregados a las sedes educativas cumpliendo con los horarios establecidos.</t>
  </si>
  <si>
    <t>Los empaques y/o envases donde vienen ensamblados o contenidos los complementos alimentarios se encuentran en buen estado.</t>
  </si>
  <si>
    <t>Consumo</t>
  </si>
  <si>
    <t>Las áreas para la distribución  y consumo de los complementos alimentarios se encuentran en adecuadas condiciones higiénicas y físicas</t>
  </si>
  <si>
    <t>La institución educativa dispone de recipientes y bolsas, así como la clasificación y disposición de residuos.</t>
  </si>
  <si>
    <t>Los equipos y/o utensilios para la distribución y consumo de los complementos se encuentran en adecuadas condiciones higiénicas y físicas</t>
  </si>
  <si>
    <t>Durante el consumo de los complementos alimentarios no se presentan novedades relacionadas con la calidad (sensorial, inocuidad, entre otros) y cantidad de los complementos alimentarios</t>
  </si>
  <si>
    <t>Se dispone del menaje suficiente para cada modalidad, de acuerdo al  número de servicios establecidos, y se encuentra en buen estado.</t>
  </si>
  <si>
    <t>INDICADOR: Porcentaje de cumplimiento de condiciones operativas</t>
  </si>
  <si>
    <t>TOTAL CALIFICACIÓN</t>
  </si>
  <si>
    <t>PUNTAJE OBTENIDO:</t>
  </si>
  <si>
    <t>Porcentaje de Cumplimiento:</t>
  </si>
  <si>
    <t>FIRMA</t>
  </si>
  <si>
    <t>FORMATO DE REQUERIMIENTOS ALIMENTARIOS Y NUTRICIONALES COMIDA CALIENTE TRANSPORTADA</t>
  </si>
  <si>
    <t>No. Visita:</t>
  </si>
  <si>
    <t>1ra visita X</t>
  </si>
  <si>
    <t>2da visita</t>
  </si>
  <si>
    <t>3 visita</t>
  </si>
  <si>
    <t>644/2026</t>
  </si>
  <si>
    <t>No de servicios:</t>
  </si>
  <si>
    <t>Nombre de quien atiende la visita</t>
  </si>
  <si>
    <t>Cargo de quien atiende la visita</t>
  </si>
  <si>
    <t>Cargo de quien realizala visita</t>
  </si>
  <si>
    <t>Información de las raciones entregadas</t>
  </si>
  <si>
    <t>Descripción del menú:</t>
  </si>
  <si>
    <t>Intercambios</t>
  </si>
  <si>
    <t>Alimento:</t>
  </si>
  <si>
    <t>Motivo del intercambio</t>
  </si>
  <si>
    <t>Fecha:</t>
  </si>
  <si>
    <t>Autorizado por:</t>
  </si>
  <si>
    <t>Califique según nivel de cumplimiento: C (Cumple) NC (No cumple) N/A (No aplica)</t>
  </si>
  <si>
    <t>Requerimientos alimentario y nutricional</t>
  </si>
  <si>
    <t>Cumplimiento de la minuta patrón</t>
  </si>
  <si>
    <t>Se cuenta con la totalidad de la materia prima correspondientes al cálculo de las minutas aprobadas, multiplicadas por el número de servicios y tipo de menú.</t>
  </si>
  <si>
    <t>El menu del dia es acorde a lo establecido en el ciclo de menus y minuta patron adoptada.</t>
  </si>
  <si>
    <t>Se encuentran estandarizadas el tamaño de porciones de las preparaciones según el grado de los estudiantes.</t>
  </si>
  <si>
    <t>El ciclo de menú se ejecuta bajo las especificaciones técnicas definidas.</t>
  </si>
  <si>
    <t xml:space="preserve">El menú entregado según el tipo de complemento corresponde a lo programado y aprobado. </t>
  </si>
  <si>
    <t>En caso de presentarse intercambios, estos se realizan de acuerdo al componente, a la frecuencia y cuentan con documento soporte de aprobación.</t>
  </si>
  <si>
    <t>Los alimentos preparados cumplen con las características organolépticas propias de la preparación  o alimentos que hacen parte del menú servido.</t>
  </si>
  <si>
    <t>Todas las preparaciones que se incluyen en el ciclo de menús, cuentan con su respectiva receta estandarizada.</t>
  </si>
  <si>
    <t>El  menú entregado a los estudiantes tiene aspecto atractivo y buena presentación.</t>
  </si>
  <si>
    <t>Se cuenta con elementos de estandarización tanto para servido como para preparacion.</t>
  </si>
  <si>
    <t>Se cumple con los horarios de distribución establecidos para el servicio  y no se generan retrasos durante el suministro.</t>
  </si>
  <si>
    <t>En el ciclo de minutas incluye alimentos y/o preparaciones propias del territorio</t>
  </si>
  <si>
    <t>En el comedor escolar se promocionan practicas adecuadas de habitos alimentarios en los estudiantes beneficiarios.</t>
  </si>
  <si>
    <t>La aceptabilidad de los alimentos preparados es adecuada.</t>
  </si>
  <si>
    <t>El desperdicio de alimentos en la etapa de descomide es bajo.</t>
  </si>
  <si>
    <t xml:space="preserve"> FORMATO DE VERIFICACIÓN GRAMAJES PARA COMEDORES ESCOLARES DEL PROGRAMA DE ALIMENTACIÓN ESCOLAR - PAE</t>
  </si>
  <si>
    <t>Institución Educativa</t>
  </si>
  <si>
    <t>ETC</t>
  </si>
  <si>
    <t>Ciudad/ Municipio</t>
  </si>
  <si>
    <t>PUERTO GAITÁN</t>
  </si>
  <si>
    <t>Dirección:</t>
  </si>
  <si>
    <t>Fecha Visita:</t>
  </si>
  <si>
    <t>Hora inicio:</t>
  </si>
  <si>
    <t xml:space="preserve">Operador: </t>
  </si>
  <si>
    <t>No Contrato / Convenio</t>
  </si>
  <si>
    <t>Hora de terminación:</t>
  </si>
  <si>
    <t>Instrumento: Marque con una X</t>
  </si>
  <si>
    <t>Balanza</t>
  </si>
  <si>
    <t xml:space="preserve">Marca </t>
  </si>
  <si>
    <t>Número de menú programado</t>
  </si>
  <si>
    <t xml:space="preserve">Se presentaron intercambios </t>
  </si>
  <si>
    <t>Si</t>
  </si>
  <si>
    <t>No</t>
  </si>
  <si>
    <t>Gramera</t>
  </si>
  <si>
    <t>Fecha de última calibración</t>
  </si>
  <si>
    <t>Número de menú entregado</t>
  </si>
  <si>
    <t>Presentaron soporte de autorización</t>
  </si>
  <si>
    <t>Alimentos a entregar de acuerdo al menú programado</t>
  </si>
  <si>
    <t>Alimentos verificados en la visita de acuerdo al menú entregado</t>
  </si>
  <si>
    <t>CUMPLIMIENTO DE GRAMAJES</t>
  </si>
  <si>
    <t>GRUPO DE EDAD</t>
  </si>
  <si>
    <t>PRIMARIA, CUARTO Y QUINTO</t>
  </si>
  <si>
    <t>NIVEL SECUNDARIA</t>
  </si>
  <si>
    <t>Componente</t>
  </si>
  <si>
    <t>MUESTRA 1</t>
  </si>
  <si>
    <t>MUESTRA 2</t>
  </si>
  <si>
    <t>MUESTRA 3</t>
  </si>
  <si>
    <t>Peso esperado</t>
  </si>
  <si>
    <t xml:space="preserve">Concepto 
(Cumple (1) - No Cumple (0) )        </t>
  </si>
  <si>
    <t>Peso / Volumen</t>
  </si>
  <si>
    <t>Ración para preparar en sitio – CCT</t>
  </si>
  <si>
    <t>NO CUMPLE</t>
  </si>
  <si>
    <t>OBSERVACIONES:</t>
  </si>
  <si>
    <t>Se realizaron cambios en el menú?</t>
  </si>
  <si>
    <t>SI</t>
  </si>
  <si>
    <t>NO</t>
  </si>
  <si>
    <t>Los cambios están aprobados por la interventoría ?</t>
  </si>
  <si>
    <t>TOTAL CUMPLIMIENTO DE GRAMAJES</t>
  </si>
  <si>
    <t>OBSERVACIONES</t>
  </si>
  <si>
    <t>PUNTAJE POSIBLE</t>
  </si>
  <si>
    <t>PUNTAJE REAL</t>
  </si>
  <si>
    <t>PORCENTAJE %</t>
  </si>
  <si>
    <t>MUNICIPIO DE PUERTO GAITÁN – SECRETARÍA DE EDUCACIÓN</t>
  </si>
  <si>
    <t>REGISTRO FOTOGRÁFICO GENERAL
Contrato Interventoría PAE N° 656/2026</t>
  </si>
  <si>
    <t>Contrato N°: 0644/2026     |     Operador: Productora de Alimentos PA S.A.S.</t>
  </si>
  <si>
    <t>Sede educativa: ___________________________     Fecha: _______________     Período: _______________</t>
  </si>
  <si>
    <t>FOTOGRAFÍA 1</t>
  </si>
  <si>
    <t>FOTOGRAFÍA 2</t>
  </si>
  <si>
    <t>[ FOTOGRAFÍA 1 ]</t>
  </si>
  <si>
    <t>[ FOTOGRAFÍA 2 ]</t>
  </si>
  <si>
    <t>Descripción F1: ___________________________________</t>
  </si>
  <si>
    <t>Descripción F2: ___________________________________</t>
  </si>
  <si>
    <t>[ FOTOGRAFÍA 3 ]</t>
  </si>
  <si>
    <t>[ FOTOGRAFÍA 4 ]</t>
  </si>
  <si>
    <t>Descripción F3: ___________________________________</t>
  </si>
  <si>
    <t>Descripción F4: ___________________________________</t>
  </si>
  <si>
    <t>[ FOTOGRAFÍA 5 ]</t>
  </si>
  <si>
    <t>[ FOTOGRAFÍA 6 ]</t>
  </si>
  <si>
    <t>Descripción F5: ___________________________________</t>
  </si>
  <si>
    <t>Descripción F6: ___________________________________</t>
  </si>
  <si>
    <t>[ FOTOGRAFÍA 7 ]</t>
  </si>
  <si>
    <t>[ FOTOGRAFÍA 8 ]</t>
  </si>
  <si>
    <t>Descripción F7: ___________________________________</t>
  </si>
  <si>
    <t>Descripción F8: ___________________________________</t>
  </si>
  <si>
    <t>[ FOTOGRAFÍA 9 ]</t>
  </si>
  <si>
    <t>[ FOTOGRAFÍA 10 ]</t>
  </si>
  <si>
    <t>Descripción F9: ___________________________________</t>
  </si>
  <si>
    <t>Descripción F10: ___________________________________</t>
  </si>
  <si>
    <t>[ FOTOGRAFÍA 11 ]</t>
  </si>
  <si>
    <t>[ FOTOGRAFÍA 12 ]</t>
  </si>
  <si>
    <t>Descripción F11: ___________________________________</t>
  </si>
  <si>
    <t>Descripción F12: ___________________________________</t>
  </si>
  <si>
    <t>Elaboró (Interventoría): _________________________     Firma: _____________     Fecha: ___________</t>
  </si>
  <si>
    <t>REGISTRO FOTOGRÁFICO HALLAZGOS
Contrato Interventoría PAE N° 656/2026</t>
  </si>
  <si>
    <t>ANÁLISIS DE PUNTAJES Y GRAMAJES – CCT</t>
  </si>
  <si>
    <t>FECHA</t>
  </si>
  <si>
    <t>SEDE</t>
  </si>
  <si>
    <t>RESPONSABLE</t>
  </si>
  <si>
    <t>TIPO VISITA</t>
  </si>
  <si>
    <t>PUNTAJE OBTENIDO</t>
  </si>
  <si>
    <t>PUNTAJE MÁXIMO</t>
  </si>
  <si>
    <t>% CUMPLIMIENTO</t>
  </si>
  <si>
    <t>CALIFICACIÓN</t>
  </si>
  <si>
    <t>GRAMAJE ESPERADO (g)</t>
  </si>
  <si>
    <t>GRAMAJE VERIFICADO (g)</t>
  </si>
  <si>
    <t>% CUMPLIMIENTO GRAMAJE</t>
  </si>
  <si>
    <t>ESTADO GRAMAJE</t>
  </si>
  <si>
    <t>INDICADORES GENERALES</t>
  </si>
  <si>
    <t>PROMEDIO CUMPLIMIENTO</t>
  </si>
  <si>
    <t>CONFORME</t>
  </si>
  <si>
    <t>PROMEDIO GRAMAJES</t>
  </si>
  <si>
    <t>ACEPTABLE</t>
  </si>
  <si>
    <t>MÁXIMO CUMPLIMIENTO</t>
  </si>
  <si>
    <t>NO CONFORME</t>
  </si>
  <si>
    <t>MÍNIMO CUMPLIMIENTO</t>
  </si>
  <si>
    <t>TOTAL VISITAS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</si>
</sst>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29">
    <font>
      <sz val="11.0"/>
      <color theme="1"/>
      <name val="Calibri"/>
      <scheme val="minor"/>
    </font>
    <font>
      <sz val="11.0"/>
      <color rgb="FFD0CECE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i/>
      <sz val="9.0"/>
      <color theme="1"/>
      <name val="Arial"/>
    </font>
    <font>
      <b/>
      <sz val="11.0"/>
      <color rgb="FFD0CECE"/>
      <name val="Arial"/>
    </font>
    <font>
      <sz val="9.0"/>
      <color theme="1"/>
      <name val="Arial"/>
    </font>
    <font>
      <sz val="11.0"/>
      <color theme="1"/>
      <name val="Calibri"/>
    </font>
    <font>
      <sz val="16.0"/>
      <color theme="1"/>
      <name val="Arial Narrow"/>
    </font>
    <font>
      <b/>
      <sz val="12.0"/>
      <color theme="1"/>
      <name val="Arial Narrow"/>
    </font>
    <font>
      <b/>
      <sz val="11.0"/>
      <color theme="1"/>
      <name val="Arial Narrow"/>
    </font>
    <font>
      <b/>
      <sz val="11.0"/>
      <color theme="1"/>
      <name val="Tahoma"/>
    </font>
    <font>
      <sz val="11.0"/>
      <color theme="1"/>
      <name val="Arial Narrow"/>
    </font>
    <font>
      <sz val="11.0"/>
      <color rgb="FFFF0000"/>
      <name val="Calibri"/>
    </font>
    <font>
      <b/>
      <sz val="9.0"/>
      <color theme="1"/>
      <name val="Arial Narrow"/>
    </font>
    <font>
      <b/>
      <sz val="10.0"/>
      <color theme="1"/>
      <name val="Arial Narrow"/>
    </font>
    <font>
      <b/>
      <sz val="9.0"/>
      <color rgb="FFFFFFFF"/>
      <name val="Arial"/>
    </font>
    <font>
      <b/>
      <sz val="14.0"/>
      <color rgb="FFFFFFFF"/>
      <name val="Arial"/>
    </font>
    <font>
      <color theme="1"/>
      <name val="Calibri"/>
    </font>
    <font>
      <sz val="9.0"/>
      <color rgb="FF1F4E79"/>
      <name val="Arial"/>
    </font>
    <font>
      <i/>
      <sz val="10.0"/>
      <color rgb="FFAAAAAA"/>
      <name val="Arial"/>
    </font>
    <font>
      <sz val="8.0"/>
      <color theme="1"/>
      <name val="Arial"/>
    </font>
    <font>
      <b/>
      <sz val="16.0"/>
      <color theme="1"/>
      <name val="Calibri"/>
    </font>
    <font>
      <b/>
      <sz val="11.0"/>
      <color rgb="FFFFFFFF"/>
      <name val="Calibri"/>
    </font>
    <font>
      <b/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8EAADB"/>
        <bgColor rgb="FF8EAADB"/>
      </patternFill>
    </fill>
    <fill>
      <patternFill patternType="solid">
        <fgColor rgb="FFBFBFBF"/>
        <bgColor rgb="FFBFBFBF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  <fill>
      <patternFill patternType="solid">
        <fgColor rgb="FF1F4E78"/>
        <bgColor rgb="FF1F4E78"/>
      </patternFill>
    </fill>
  </fills>
  <borders count="67">
    <border/>
    <border>
      <left style="thin">
        <color rgb="FFA5A5A5"/>
      </left>
      <top style="thin">
        <color rgb="FFA5A5A5"/>
      </top>
    </border>
    <border>
      <top style="thin">
        <color rgb="FFA5A5A5"/>
      </top>
    </border>
    <border>
      <left/>
      <top style="thin">
        <color rgb="FFA5A5A5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A5A5A5"/>
      </right>
    </border>
    <border>
      <left style="thin">
        <color rgb="FFA5A5A5"/>
      </left>
    </border>
    <border>
      <left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A5A5A5"/>
      </left>
      <bottom style="thin">
        <color rgb="FFA5A5A5"/>
      </bottom>
    </border>
    <border>
      <bottom style="thin">
        <color rgb="FFA5A5A5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 style="thin">
        <color rgb="FFA5A5A5"/>
      </right>
      <top/>
      <bottom/>
    </border>
    <border>
      <left style="thin">
        <color rgb="FFA5A5A5"/>
      </left>
      <top/>
      <bottom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left style="thin">
        <color rgb="FFA5A5A5"/>
      </left>
      <top style="thin">
        <color rgb="FFA5A5A5"/>
      </top>
      <bottom/>
    </border>
    <border>
      <top style="thin">
        <color rgb="FFA5A5A5"/>
      </top>
      <bottom/>
    </border>
    <border>
      <right style="thin">
        <color rgb="FFA5A5A5"/>
      </right>
      <top style="thin">
        <color rgb="FFA5A5A5"/>
      </top>
      <bottom/>
    </border>
    <border>
      <left style="thin">
        <color rgb="FFA5A5A5"/>
      </left>
      <right/>
      <top/>
      <bottom/>
    </border>
    <border>
      <left/>
      <right/>
      <top/>
      <bottom/>
    </border>
    <border>
      <left style="thin">
        <color rgb="FFA5A5A5"/>
      </left>
      <right/>
      <top/>
      <bottom style="thin">
        <color rgb="FFA5A5A5"/>
      </bottom>
    </border>
    <border>
      <left/>
      <right/>
      <top/>
      <bottom style="thin">
        <color rgb="FFA5A5A5"/>
      </bottom>
    </border>
    <border>
      <left/>
      <right style="thin">
        <color rgb="FFA5A5A5"/>
      </right>
      <top/>
      <bottom style="thin">
        <color rgb="FFA5A5A5"/>
      </bottom>
    </border>
    <border>
      <left/>
      <bottom style="thin">
        <color rgb="FFA5A5A5"/>
      </bottom>
    </border>
    <border>
      <left/>
      <top/>
    </border>
    <border>
      <left style="thin">
        <color rgb="FFA5A5A5"/>
      </left>
      <top style="thin">
        <color rgb="FF000000"/>
      </top>
      <bottom style="thin">
        <color rgb="FFA5A5A5"/>
      </bottom>
    </border>
    <border>
      <top style="thin">
        <color rgb="FF000000"/>
      </top>
      <bottom style="thin">
        <color rgb="FFA5A5A5"/>
      </bottom>
    </border>
    <border>
      <left/>
      <right/>
      <top style="thin">
        <color rgb="FFA5A5A5"/>
      </top>
      <bottom style="thin">
        <color rgb="FFA5A5A5"/>
      </bottom>
    </border>
    <border>
      <left style="thin">
        <color rgb="FFA5A5A5"/>
      </left>
      <right/>
      <top style="thin">
        <color rgb="FFA5A5A5"/>
      </top>
      <bottom/>
    </border>
    <border>
      <left/>
      <right/>
      <top style="thin">
        <color rgb="FFA5A5A5"/>
      </top>
      <bottom/>
    </border>
    <border>
      <left style="thin">
        <color rgb="FFA5A5A5"/>
      </left>
      <top/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right style="thin">
        <color rgb="FFA5A5A5"/>
      </right>
      <bottom style="thin">
        <color rgb="FFA5A5A5"/>
      </bottom>
    </border>
    <border>
      <left/>
      <top/>
      <bottom style="thin">
        <color rgb="FFA5A5A5"/>
      </bottom>
    </border>
    <border>
      <top/>
      <bottom style="thin">
        <color rgb="FFA5A5A5"/>
      </bottom>
    </border>
    <border>
      <right style="thin">
        <color rgb="FFA5A5A5"/>
      </right>
      <top/>
      <bottom style="thin">
        <color rgb="FFA5A5A5"/>
      </bottom>
    </border>
    <border>
      <left style="thin">
        <color rgb="FFA5A5A5"/>
      </left>
      <top/>
      <bottom style="thin">
        <color rgb="FFA5A5A5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A5A5A5"/>
      </right>
      <top/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 style="thin">
        <color rgb="FFAAAAAA"/>
      </right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top style="medium">
        <color rgb="FF1F4E79"/>
      </top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2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0" fontId="4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3" fontId="3" numFmtId="0" xfId="0" applyAlignment="1" applyBorder="1" applyFont="1">
      <alignment horizontal="center" shrinkToFit="0" vertical="center" wrapText="1"/>
    </xf>
    <xf borderId="12" fillId="0" fontId="2" numFmtId="0" xfId="0" applyBorder="1" applyFont="1"/>
    <xf borderId="13" fillId="0" fontId="2" numFmtId="0" xfId="0" applyBorder="1" applyFont="1"/>
    <xf borderId="7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8" fillId="0" fontId="2" numFmtId="0" xfId="0" applyBorder="1" applyFont="1"/>
    <xf borderId="19" fillId="0" fontId="2" numFmtId="0" xfId="0" applyBorder="1" applyFont="1"/>
    <xf borderId="4" fillId="0" fontId="5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left" vertical="center"/>
    </xf>
    <xf borderId="20" fillId="2" fontId="1" numFmtId="0" xfId="0" applyAlignment="1" applyBorder="1" applyFont="1">
      <alignment horizontal="center"/>
    </xf>
    <xf borderId="21" fillId="0" fontId="2" numFmtId="0" xfId="0" applyBorder="1" applyFont="1"/>
    <xf borderId="22" fillId="0" fontId="2" numFmtId="0" xfId="0" applyBorder="1" applyFont="1"/>
    <xf borderId="23" fillId="2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24" fillId="2" fontId="6" numFmtId="0" xfId="0" applyAlignment="1" applyBorder="1" applyFont="1">
      <alignment horizontal="center" vertical="center"/>
    </xf>
    <xf borderId="25" fillId="0" fontId="2" numFmtId="0" xfId="0" applyBorder="1" applyFont="1"/>
    <xf borderId="26" fillId="0" fontId="2" numFmtId="0" xfId="0" applyBorder="1" applyFont="1"/>
    <xf borderId="27" fillId="2" fontId="6" numFmtId="0" xfId="0" applyAlignment="1" applyBorder="1" applyFont="1">
      <alignment horizontal="center" shrinkToFit="0" wrapText="1"/>
    </xf>
    <xf borderId="28" fillId="0" fontId="2" numFmtId="0" xfId="0" applyBorder="1" applyFont="1"/>
    <xf borderId="29" fillId="0" fontId="2" numFmtId="0" xfId="0" applyBorder="1" applyFont="1"/>
    <xf borderId="27" fillId="2" fontId="6" numFmtId="0" xfId="0" applyAlignment="1" applyBorder="1" applyFont="1">
      <alignment horizontal="center" shrinkToFit="0" vertical="center" wrapText="1"/>
    </xf>
    <xf borderId="30" fillId="2" fontId="6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shrinkToFit="0" vertical="center" wrapText="1"/>
    </xf>
    <xf borderId="11" fillId="3" fontId="7" numFmtId="0" xfId="0" applyAlignment="1" applyBorder="1" applyFont="1">
      <alignment horizontal="center" shrinkToFit="0" vertical="center" wrapText="1"/>
    </xf>
    <xf borderId="27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left" shrinkToFit="0" vertical="center" wrapText="1"/>
    </xf>
    <xf borderId="11" fillId="2" fontId="5" numFmtId="0" xfId="0" applyAlignment="1" applyBorder="1" applyFont="1">
      <alignment horizontal="center" shrinkToFit="0" vertical="center" wrapText="1"/>
    </xf>
    <xf borderId="11" fillId="2" fontId="4" numFmtId="0" xfId="0" applyAlignment="1" applyBorder="1" applyFont="1">
      <alignment horizontal="right" shrinkToFit="0" vertical="center" wrapText="1"/>
    </xf>
    <xf borderId="31" fillId="3" fontId="4" numFmtId="0" xfId="0" applyAlignment="1" applyBorder="1" applyFont="1">
      <alignment horizontal="left" vertical="center"/>
    </xf>
    <xf borderId="32" fillId="0" fontId="2" numFmtId="0" xfId="0" applyBorder="1" applyFont="1"/>
    <xf borderId="33" fillId="0" fontId="2" numFmtId="0" xfId="0" applyBorder="1" applyFont="1"/>
    <xf borderId="4" fillId="2" fontId="5" numFmtId="0" xfId="0" applyAlignment="1" applyBorder="1" applyFont="1">
      <alignment vertical="center"/>
    </xf>
    <xf borderId="23" fillId="2" fontId="5" numFmtId="0" xfId="0" applyAlignment="1" applyBorder="1" applyFont="1">
      <alignment vertical="center"/>
    </xf>
    <xf borderId="34" fillId="2" fontId="5" numFmtId="0" xfId="0" applyAlignment="1" applyBorder="1" applyFont="1">
      <alignment horizontal="center" vertical="center"/>
    </xf>
    <xf borderId="35" fillId="2" fontId="5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 vertical="center"/>
    </xf>
    <xf borderId="35" fillId="2" fontId="8" numFmtId="0" xfId="0" applyAlignment="1" applyBorder="1" applyFont="1">
      <alignment shrinkToFit="0" vertical="center" wrapText="1"/>
    </xf>
    <xf borderId="36" fillId="2" fontId="5" numFmtId="0" xfId="0" applyAlignment="1" applyBorder="1" applyFont="1">
      <alignment horizontal="center" vertical="center"/>
    </xf>
    <xf borderId="37" fillId="2" fontId="5" numFmtId="0" xfId="0" applyAlignment="1" applyBorder="1" applyFont="1">
      <alignment horizontal="center" vertical="center"/>
    </xf>
    <xf borderId="38" fillId="2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5" numFmtId="0" xfId="0" applyAlignment="1" applyBorder="1" applyFont="1">
      <alignment horizontal="center"/>
    </xf>
    <xf borderId="3" fillId="2" fontId="5" numFmtId="0" xfId="0" applyAlignment="1" applyBorder="1" applyFont="1">
      <alignment horizontal="center"/>
    </xf>
    <xf borderId="11" fillId="0" fontId="7" numFmtId="0" xfId="0" applyAlignment="1" applyBorder="1" applyFont="1">
      <alignment horizontal="center" shrinkToFit="0" vertical="center" wrapText="1"/>
    </xf>
    <xf borderId="0" fillId="0" fontId="5" numFmtId="0" xfId="0" applyFont="1"/>
    <xf borderId="0" fillId="0" fontId="5" numFmtId="0" xfId="0" applyAlignment="1" applyFont="1">
      <alignment vertical="center"/>
    </xf>
    <xf borderId="39" fillId="0" fontId="2" numFmtId="0" xfId="0" applyBorder="1" applyFont="1"/>
    <xf borderId="4" fillId="0" fontId="4" numFmtId="0" xfId="0" applyAlignment="1" applyBorder="1" applyFont="1">
      <alignment horizontal="left" vertical="center"/>
    </xf>
    <xf borderId="4" fillId="2" fontId="9" numFmtId="0" xfId="0" applyAlignment="1" applyBorder="1" applyFont="1">
      <alignment horizontal="center"/>
    </xf>
    <xf borderId="4" fillId="2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center" vertical="center"/>
    </xf>
    <xf borderId="40" fillId="2" fontId="6" numFmtId="0" xfId="0" applyAlignment="1" applyBorder="1" applyFont="1">
      <alignment horizontal="center" vertical="center"/>
    </xf>
    <xf borderId="20" fillId="2" fontId="6" numFmtId="0" xfId="0" applyAlignment="1" applyBorder="1" applyFont="1">
      <alignment horizontal="center" shrinkToFit="0" wrapText="1"/>
    </xf>
    <xf borderId="20" fillId="2" fontId="6" numFmtId="0" xfId="0" applyAlignment="1" applyBorder="1" applyFont="1">
      <alignment horizontal="center" shrinkToFit="0" vertical="center" wrapText="1"/>
    </xf>
    <xf borderId="20" fillId="2" fontId="6" numFmtId="0" xfId="0" applyAlignment="1" applyBorder="1" applyFont="1">
      <alignment horizontal="center" vertical="center"/>
    </xf>
    <xf borderId="20" fillId="2" fontId="5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41" fillId="3" fontId="4" numFmtId="0" xfId="0" applyAlignment="1" applyBorder="1" applyFont="1">
      <alignment horizontal="center" vertical="center"/>
    </xf>
    <xf borderId="42" fillId="0" fontId="2" numFmtId="0" xfId="0" applyBorder="1" applyFont="1"/>
    <xf borderId="43" fillId="3" fontId="4" numFmtId="0" xfId="0" applyAlignment="1" applyBorder="1" applyFont="1">
      <alignment vertical="center"/>
    </xf>
    <xf borderId="44" fillId="2" fontId="5" numFmtId="0" xfId="0" applyAlignment="1" applyBorder="1" applyFont="1">
      <alignment horizontal="left" vertical="center"/>
    </xf>
    <xf borderId="45" fillId="2" fontId="5" numFmtId="0" xfId="0" applyAlignment="1" applyBorder="1" applyFont="1">
      <alignment horizontal="left" vertical="center"/>
    </xf>
    <xf borderId="45" fillId="2" fontId="5" numFmtId="0" xfId="0" applyAlignment="1" applyBorder="1" applyFont="1">
      <alignment vertical="center"/>
    </xf>
    <xf borderId="46" fillId="2" fontId="5" numFmtId="0" xfId="0" applyAlignment="1" applyBorder="1" applyFont="1">
      <alignment horizontal="center" shrinkToFit="0" vertical="center" wrapText="1"/>
    </xf>
    <xf borderId="35" fillId="2" fontId="5" numFmtId="0" xfId="0" applyAlignment="1" applyBorder="1" applyFont="1">
      <alignment vertical="center"/>
    </xf>
    <xf borderId="35" fillId="4" fontId="4" numFmtId="0" xfId="0" applyAlignment="1" applyBorder="1" applyFill="1" applyFont="1">
      <alignment vertical="center"/>
    </xf>
    <xf borderId="9" fillId="0" fontId="5" numFmtId="0" xfId="0" applyAlignment="1" applyBorder="1" applyFont="1">
      <alignment horizontal="left" vertical="center"/>
    </xf>
    <xf borderId="47" fillId="0" fontId="5" numFmtId="0" xfId="0" applyAlignment="1" applyBorder="1" applyFont="1">
      <alignment horizontal="left" vertical="center"/>
    </xf>
    <xf borderId="48" fillId="0" fontId="2" numFmtId="0" xfId="0" applyBorder="1" applyFont="1"/>
    <xf borderId="8" fillId="0" fontId="5" numFmtId="0" xfId="0" applyAlignment="1" applyBorder="1" applyFont="1">
      <alignment horizontal="left" vertical="center"/>
    </xf>
    <xf borderId="0" fillId="0" fontId="5" numFmtId="0" xfId="0" applyAlignment="1" applyFont="1">
      <alignment horizontal="left" vertical="center"/>
    </xf>
    <xf borderId="49" fillId="0" fontId="2" numFmtId="0" xfId="0" applyBorder="1" applyFont="1"/>
    <xf borderId="47" fillId="0" fontId="5" numFmtId="0" xfId="0" applyAlignment="1" applyBorder="1" applyFont="1">
      <alignment horizontal="center" vertical="center"/>
    </xf>
    <xf borderId="15" fillId="0" fontId="5" numFmtId="0" xfId="0" applyAlignment="1" applyBorder="1" applyFont="1">
      <alignment horizontal="center" vertical="center"/>
    </xf>
    <xf borderId="50" fillId="0" fontId="2" numFmtId="0" xfId="0" applyBorder="1" applyFont="1"/>
    <xf borderId="15" fillId="0" fontId="5" numFmtId="0" xfId="0" applyAlignment="1" applyBorder="1" applyFont="1">
      <alignment horizontal="left" vertical="center"/>
    </xf>
    <xf borderId="9" fillId="0" fontId="5" numFmtId="0" xfId="0" applyBorder="1" applyFont="1"/>
    <xf borderId="8" fillId="0" fontId="5" numFmtId="0" xfId="0" applyBorder="1" applyFont="1"/>
    <xf borderId="4" fillId="3" fontId="5" numFmtId="0" xfId="0" applyAlignment="1" applyBorder="1" applyFont="1">
      <alignment horizontal="center" vertical="center"/>
    </xf>
    <xf borderId="51" fillId="2" fontId="5" numFmtId="0" xfId="0" applyAlignment="1" applyBorder="1" applyFont="1">
      <alignment horizontal="center" shrinkToFit="0" vertical="center" wrapText="1"/>
    </xf>
    <xf borderId="52" fillId="0" fontId="2" numFmtId="0" xfId="0" applyBorder="1" applyFont="1"/>
    <xf borderId="53" fillId="0" fontId="2" numFmtId="0" xfId="0" applyBorder="1" applyFont="1"/>
    <xf borderId="54" fillId="2" fontId="5" numFmtId="0" xfId="0" applyAlignment="1" applyBorder="1" applyFont="1">
      <alignment horizontal="center" vertical="center"/>
    </xf>
    <xf borderId="54" fillId="2" fontId="5" numFmtId="0" xfId="0" applyAlignment="1" applyBorder="1" applyFont="1">
      <alignment horizontal="left" vertical="center"/>
    </xf>
    <xf borderId="47" fillId="2" fontId="5" numFmtId="18" xfId="0" applyAlignment="1" applyBorder="1" applyFont="1" applyNumberFormat="1">
      <alignment horizontal="center" vertical="center"/>
    </xf>
    <xf borderId="47" fillId="2" fontId="5" numFmtId="0" xfId="0" applyAlignment="1" applyBorder="1" applyFont="1">
      <alignment horizontal="center" vertical="center"/>
    </xf>
    <xf borderId="47" fillId="2" fontId="5" numFmtId="0" xfId="0" applyAlignment="1" applyBorder="1" applyFont="1">
      <alignment horizontal="left" vertical="center"/>
    </xf>
    <xf borderId="47" fillId="0" fontId="5" numFmtId="0" xfId="0" applyAlignment="1" applyBorder="1" applyFont="1">
      <alignment horizontal="left" shrinkToFit="0" vertical="center" wrapText="1"/>
    </xf>
    <xf borderId="47" fillId="0" fontId="10" numFmtId="0" xfId="0" applyAlignment="1" applyBorder="1" applyFont="1">
      <alignment horizontal="center" vertical="center"/>
    </xf>
    <xf borderId="31" fillId="3" fontId="4" numFmtId="0" xfId="0" applyAlignment="1" applyBorder="1" applyFont="1">
      <alignment horizontal="center" vertical="center"/>
    </xf>
    <xf borderId="55" fillId="3" fontId="4" numFmtId="0" xfId="0" applyAlignment="1" applyBorder="1" applyFont="1">
      <alignment horizontal="center" vertical="center"/>
    </xf>
    <xf borderId="56" fillId="0" fontId="2" numFmtId="0" xfId="0" applyBorder="1" applyFont="1"/>
    <xf borderId="57" fillId="0" fontId="2" numFmtId="0" xfId="0" applyBorder="1" applyFont="1"/>
    <xf borderId="58" fillId="0" fontId="5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left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left" shrinkToFit="0" vertical="top" wrapText="1"/>
    </xf>
    <xf borderId="4" fillId="0" fontId="6" numFmtId="0" xfId="0" applyAlignment="1" applyBorder="1" applyFont="1">
      <alignment horizontal="center" shrinkToFit="0" vertical="center" wrapText="1"/>
    </xf>
    <xf borderId="11" fillId="0" fontId="6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top"/>
    </xf>
    <xf borderId="0" fillId="0" fontId="11" numFmtId="9" xfId="0" applyFont="1" applyNumberFormat="1"/>
    <xf borderId="4" fillId="3" fontId="4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left"/>
    </xf>
    <xf borderId="9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8" fillId="0" fontId="5" numFmtId="0" xfId="0" applyAlignment="1" applyBorder="1" applyFont="1">
      <alignment horizontal="center"/>
    </xf>
    <xf borderId="20" fillId="2" fontId="4" numFmtId="0" xfId="0" applyAlignment="1" applyBorder="1" applyFont="1">
      <alignment horizontal="center" vertical="center"/>
    </xf>
    <xf borderId="59" fillId="2" fontId="5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/>
    </xf>
    <xf borderId="60" fillId="3" fontId="4" numFmtId="0" xfId="0" applyAlignment="1" applyBorder="1" applyFont="1">
      <alignment horizontal="center" shrinkToFit="0" vertical="center" wrapText="1"/>
    </xf>
    <xf borderId="11" fillId="0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20" fillId="2" fontId="9" numFmtId="0" xfId="0" applyAlignment="1" applyBorder="1" applyFont="1">
      <alignment horizontal="center"/>
    </xf>
    <xf borderId="4" fillId="0" fontId="4" numFmtId="0" xfId="0" applyAlignment="1" applyBorder="1" applyFont="1">
      <alignment vertical="center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shrinkToFit="0" vertical="center" wrapText="1"/>
    </xf>
    <xf borderId="47" fillId="3" fontId="4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vertical="center"/>
    </xf>
    <xf borderId="11" fillId="0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 vertical="center"/>
    </xf>
    <xf borderId="58" fillId="0" fontId="6" numFmtId="0" xfId="0" applyAlignment="1" applyBorder="1" applyFont="1">
      <alignment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4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horizontal="center"/>
    </xf>
    <xf borderId="35" fillId="2" fontId="4" numFmtId="0" xfId="0" applyAlignment="1" applyBorder="1" applyFont="1">
      <alignment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3" numFmtId="0" xfId="0" applyAlignment="1" applyBorder="1" applyFont="1">
      <alignment horizontal="center" shrinkToFit="0" vertical="center" wrapText="1"/>
    </xf>
    <xf borderId="4" fillId="0" fontId="14" numFmtId="0" xfId="0" applyAlignment="1" applyBorder="1" applyFont="1">
      <alignment horizontal="left" shrinkToFit="0" vertical="center" wrapText="1"/>
    </xf>
    <xf borderId="4" fillId="0" fontId="15" numFmtId="0" xfId="0" applyAlignment="1" applyBorder="1" applyFont="1">
      <alignment horizontal="center" vertical="center"/>
    </xf>
    <xf borderId="58" fillId="0" fontId="15" numFmtId="0" xfId="0" applyAlignment="1" applyBorder="1" applyFont="1">
      <alignment horizontal="center" vertical="center"/>
    </xf>
    <xf borderId="4" fillId="0" fontId="14" numFmtId="164" xfId="0" applyAlignment="1" applyBorder="1" applyFont="1" applyNumberFormat="1">
      <alignment horizontal="center" shrinkToFit="0" vertical="center" wrapText="1"/>
    </xf>
    <xf borderId="58" fillId="0" fontId="14" numFmtId="164" xfId="0" applyAlignment="1" applyBorder="1" applyFont="1" applyNumberFormat="1">
      <alignment horizontal="center" shrinkToFit="0" vertical="center" wrapText="1"/>
    </xf>
    <xf borderId="4" fillId="0" fontId="14" numFmtId="0" xfId="0" applyAlignment="1" applyBorder="1" applyFont="1">
      <alignment horizontal="center" vertical="center"/>
    </xf>
    <xf borderId="4" fillId="0" fontId="14" numFmtId="20" xfId="0" applyAlignment="1" applyBorder="1" applyFont="1" applyNumberFormat="1">
      <alignment horizontal="center" vertical="center"/>
    </xf>
    <xf borderId="4" fillId="2" fontId="14" numFmtId="0" xfId="0" applyAlignment="1" applyBorder="1" applyFont="1">
      <alignment horizontal="center" vertical="center"/>
    </xf>
    <xf borderId="58" fillId="2" fontId="14" numFmtId="0" xfId="0" applyAlignment="1" applyBorder="1" applyFont="1">
      <alignment horizontal="center" vertical="center"/>
    </xf>
    <xf borderId="4" fillId="0" fontId="16" numFmtId="3" xfId="0" applyAlignment="1" applyBorder="1" applyFont="1" applyNumberFormat="1">
      <alignment horizontal="center" vertical="center"/>
    </xf>
    <xf borderId="61" fillId="0" fontId="14" numFmtId="0" xfId="0" applyAlignment="1" applyBorder="1" applyFont="1">
      <alignment horizontal="center" shrinkToFit="0" vertical="center" wrapText="1"/>
    </xf>
    <xf borderId="58" fillId="0" fontId="14" numFmtId="0" xfId="0" applyAlignment="1" applyBorder="1" applyFont="1">
      <alignment shrinkToFit="0" vertical="center" wrapText="1"/>
    </xf>
    <xf borderId="58" fillId="0" fontId="11" numFmtId="0" xfId="0" applyBorder="1" applyFont="1"/>
    <xf borderId="58" fillId="0" fontId="14" numFmtId="0" xfId="0" applyAlignment="1" applyBorder="1" applyFont="1">
      <alignment horizontal="left" shrinkToFit="0" vertical="center" wrapText="1"/>
    </xf>
    <xf borderId="62" fillId="0" fontId="2" numFmtId="0" xfId="0" applyBorder="1" applyFont="1"/>
    <xf borderId="58" fillId="0" fontId="17" numFmtId="0" xfId="0" applyBorder="1" applyFont="1"/>
    <xf borderId="11" fillId="0" fontId="14" numFmtId="0" xfId="0" applyAlignment="1" applyBorder="1" applyFont="1">
      <alignment horizontal="left" shrinkToFit="0" vertical="center" wrapText="1"/>
    </xf>
    <xf borderId="58" fillId="0" fontId="11" numFmtId="0" xfId="0" applyAlignment="1" applyBorder="1" applyFont="1">
      <alignment horizontal="left"/>
    </xf>
    <xf borderId="11" fillId="0" fontId="14" numFmtId="0" xfId="0" applyAlignment="1" applyBorder="1" applyFont="1">
      <alignment horizontal="center" shrinkToFit="0" vertical="center" wrapText="1"/>
    </xf>
    <xf borderId="4" fillId="5" fontId="14" numFmtId="0" xfId="0" applyAlignment="1" applyBorder="1" applyFill="1" applyFont="1">
      <alignment horizontal="center" shrinkToFit="0" vertical="center" wrapText="1"/>
    </xf>
    <xf borderId="61" fillId="4" fontId="14" numFmtId="0" xfId="0" applyAlignment="1" applyBorder="1" applyFont="1">
      <alignment horizontal="center" shrinkToFit="0" vertical="center" wrapText="1"/>
    </xf>
    <xf borderId="61" fillId="4" fontId="18" numFmtId="0" xfId="0" applyAlignment="1" applyBorder="1" applyFont="1">
      <alignment horizontal="center" shrinkToFit="0" vertical="center" wrapText="1"/>
    </xf>
    <xf borderId="58" fillId="4" fontId="14" numFmtId="0" xfId="0" applyAlignment="1" applyBorder="1" applyFont="1">
      <alignment horizontal="center" shrinkToFit="0" vertical="center" wrapText="1"/>
    </xf>
    <xf borderId="58" fillId="4" fontId="14" numFmtId="0" xfId="0" applyAlignment="1" applyBorder="1" applyFont="1">
      <alignment shrinkToFit="0" vertical="center" wrapText="1"/>
    </xf>
    <xf borderId="58" fillId="4" fontId="18" numFmtId="0" xfId="0" applyAlignment="1" applyBorder="1" applyFont="1">
      <alignment horizontal="center" shrinkToFit="0" vertical="center" wrapText="1"/>
    </xf>
    <xf borderId="4" fillId="6" fontId="3" numFmtId="0" xfId="0" applyAlignment="1" applyBorder="1" applyFill="1" applyFont="1">
      <alignment horizontal="left"/>
    </xf>
    <xf borderId="58" fillId="0" fontId="16" numFmtId="0" xfId="0" applyAlignment="1" applyBorder="1" applyFont="1">
      <alignment horizontal="left" shrinkToFit="0" vertical="center" wrapText="1"/>
    </xf>
    <xf borderId="58" fillId="0" fontId="16" numFmtId="0" xfId="0" applyAlignment="1" applyBorder="1" applyFont="1">
      <alignment horizontal="center" shrinkToFit="0" vertical="center" wrapText="1"/>
    </xf>
    <xf borderId="4" fillId="0" fontId="14" numFmtId="0" xfId="0" applyAlignment="1" applyBorder="1" applyFont="1">
      <alignment horizontal="right" shrinkToFit="0" vertical="center" wrapText="1"/>
    </xf>
    <xf borderId="4" fillId="0" fontId="16" numFmtId="0" xfId="0" applyAlignment="1" applyBorder="1" applyFont="1">
      <alignment horizontal="left" shrinkToFit="0" vertical="top" wrapText="1"/>
    </xf>
    <xf borderId="4" fillId="0" fontId="16" numFmtId="0" xfId="0" applyAlignment="1" applyBorder="1" applyFont="1">
      <alignment horizontal="left" vertical="center"/>
    </xf>
    <xf borderId="58" fillId="0" fontId="16" numFmtId="0" xfId="0" applyAlignment="1" applyBorder="1" applyFont="1">
      <alignment horizontal="left" shrinkToFit="0" vertical="top" wrapText="1"/>
    </xf>
    <xf borderId="11" fillId="0" fontId="16" numFmtId="0" xfId="0" applyAlignment="1" applyBorder="1" applyFont="1">
      <alignment horizontal="left" vertical="top"/>
    </xf>
    <xf borderId="4" fillId="7" fontId="14" numFmtId="0" xfId="0" applyAlignment="1" applyBorder="1" applyFill="1" applyFont="1">
      <alignment horizontal="center" shrinkToFit="0" vertical="center" wrapText="1"/>
    </xf>
    <xf borderId="58" fillId="0" fontId="14" numFmtId="0" xfId="0" applyAlignment="1" applyBorder="1" applyFont="1">
      <alignment horizontal="center" shrinkToFit="0" vertical="center" wrapText="1"/>
    </xf>
    <xf borderId="58" fillId="0" fontId="19" numFmtId="0" xfId="0" applyAlignment="1" applyBorder="1" applyFont="1">
      <alignment horizontal="left" shrinkToFit="0" vertical="center" wrapText="1"/>
    </xf>
    <xf borderId="58" fillId="2" fontId="16" numFmtId="0" xfId="0" applyAlignment="1" applyBorder="1" applyFont="1">
      <alignment horizontal="center" shrinkToFit="0" vertical="center" wrapText="1"/>
    </xf>
    <xf borderId="58" fillId="0" fontId="18" numFmtId="0" xfId="0" applyAlignment="1" applyBorder="1" applyFont="1">
      <alignment horizontal="center" shrinkToFit="0" vertical="center" wrapText="1"/>
    </xf>
    <xf borderId="4" fillId="2" fontId="16" numFmtId="9" xfId="0" applyAlignment="1" applyBorder="1" applyFont="1" applyNumberFormat="1">
      <alignment horizontal="center" shrinkToFit="0" vertical="center" wrapText="1"/>
    </xf>
    <xf borderId="20" fillId="8" fontId="20" numFmtId="0" xfId="0" applyAlignment="1" applyBorder="1" applyFill="1" applyFont="1">
      <alignment horizontal="center" vertical="center"/>
    </xf>
    <xf borderId="20" fillId="9" fontId="21" numFmtId="0" xfId="0" applyAlignment="1" applyBorder="1" applyFill="1" applyFont="1">
      <alignment horizontal="center" shrinkToFit="0" vertical="center" wrapText="1"/>
    </xf>
    <xf borderId="0" fillId="0" fontId="22" numFmtId="0" xfId="0" applyFont="1"/>
    <xf borderId="20" fillId="10" fontId="23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left" vertical="center"/>
    </xf>
    <xf borderId="35" fillId="8" fontId="20" numFmtId="0" xfId="0" applyAlignment="1" applyBorder="1" applyFont="1">
      <alignment horizontal="center" vertical="center"/>
    </xf>
    <xf borderId="63" fillId="4" fontId="24" numFmtId="0" xfId="0" applyAlignment="1" applyBorder="1" applyFont="1">
      <alignment horizontal="center" vertical="center"/>
    </xf>
    <xf borderId="64" fillId="0" fontId="2" numFmtId="0" xfId="0" applyBorder="1" applyFont="1"/>
    <xf borderId="65" fillId="0" fontId="2" numFmtId="0" xfId="0" applyBorder="1" applyFont="1"/>
    <xf borderId="63" fillId="11" fontId="25" numFmtId="0" xfId="0" applyAlignment="1" applyBorder="1" applyFill="1" applyFont="1">
      <alignment horizontal="left" shrinkToFit="0" vertical="center" wrapText="1"/>
    </xf>
    <xf borderId="66" fillId="0" fontId="25" numFmtId="0" xfId="0" applyAlignment="1" applyBorder="1" applyFont="1">
      <alignment horizontal="center" vertical="center"/>
    </xf>
    <xf borderId="66" fillId="0" fontId="2" numFmtId="0" xfId="0" applyBorder="1" applyFont="1"/>
    <xf borderId="0" fillId="0" fontId="26" numFmtId="0" xfId="0" applyFont="1"/>
    <xf borderId="35" fillId="12" fontId="27" numFmtId="0" xfId="0" applyAlignment="1" applyBorder="1" applyFill="1" applyFont="1">
      <alignment horizontal="center" shrinkToFit="0" vertical="center" wrapText="1"/>
    </xf>
    <xf borderId="0" fillId="0" fontId="28" numFmtId="0" xfId="0" applyFont="1"/>
    <xf borderId="0" fillId="0" fontId="22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CUMPLIMIENTO POR VISITA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% CUMPLIMIENTO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val>
            <c:numRef>
              <c:f>ANALISIS_PUNTAJES!$B$4:$B$30</c:f>
              <c:numCache/>
            </c:numRef>
          </c:val>
        </c:ser>
        <c:ser>
          <c:idx val="1"/>
          <c:order val="1"/>
          <c:val>
            <c:numRef>
              <c:f>ANALISIS_PUNTAJES!$G$4:$G$30</c:f>
              <c:numCache/>
            </c:numRef>
          </c:val>
        </c:ser>
        <c:axId val="909572174"/>
        <c:axId val="254682806"/>
      </c:barChart>
      <c:catAx>
        <c:axId val="909572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54682806"/>
      </c:catAx>
      <c:valAx>
        <c:axId val="254682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% CUMPLIMIENTO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0957217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TENDENCIA DE CUMPLIMIENTO DE GRAMAJES</a:t>
            </a:r>
          </a:p>
        </c:rich>
      </c:tx>
      <c:overlay val="0"/>
    </c:title>
    <c:plotArea>
      <c:layout/>
      <c:lineChart>
        <c:ser>
          <c:idx val="0"/>
          <c:order val="0"/>
          <c:tx>
            <c:v>% CUMPLIMIENTO GRAMAJE</c:v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val>
            <c:numRef>
              <c:f>ANALISIS_PUNTAJES!$B$4:$B$30</c:f>
              <c:numCache/>
            </c:numRef>
          </c:val>
          <c:smooth val="1"/>
        </c:ser>
        <c:axId val="619427748"/>
        <c:axId val="74825119"/>
      </c:lineChart>
      <c:catAx>
        <c:axId val="6194277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4825119"/>
      </c:catAx>
      <c:valAx>
        <c:axId val="748251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% GRAMAJE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1942774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ESTADO DE GRAMAJES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ANALISIS_PUNTAJES!$R$4</c:f>
            </c:strRef>
          </c:tx>
          <c:dPt>
            <c:idx val="0"/>
            <c:spPr>
              <a:solidFill>
                <a:srgbClr val="4472C4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ANALISIS_PUNTAJES!$Q$5:$Q$7</c:f>
            </c:strRef>
          </c:cat>
          <c:val>
            <c:numRef>
              <c:f>ANALISIS_PUNTAJES!$R$5:$R$7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Relationship Id="rId2" Type="http://schemas.openxmlformats.org/officeDocument/2006/relationships/image" Target="../media/image1.png"/><Relationship Id="rId3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Relationship Id="rId2" Type="http://schemas.openxmlformats.org/officeDocument/2006/relationships/image" Target="../media/image1.png"/><Relationship Id="rId3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Relationship Id="rId2" Type="http://schemas.openxmlformats.org/officeDocument/2006/relationships/image" Target="../media/image7.png"/><Relationship Id="rId3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66675</xdr:colOff>
      <xdr:row>26</xdr:row>
      <xdr:rowOff>38100</xdr:rowOff>
    </xdr:from>
    <xdr:ext cx="2990850" cy="1133475"/>
    <xdr:grpSp>
      <xdr:nvGrpSpPr>
        <xdr:cNvPr id="2" name="Shape 2"/>
        <xdr:cNvGrpSpPr/>
      </xdr:nvGrpSpPr>
      <xdr:grpSpPr>
        <a:xfrm>
          <a:off x="3850575" y="3213263"/>
          <a:ext cx="2990850" cy="1133475"/>
          <a:chOff x="3850575" y="3213263"/>
          <a:chExt cx="2990850" cy="1133475"/>
        </a:xfrm>
      </xdr:grpSpPr>
      <xdr:grpSp>
        <xdr:nvGrpSpPr>
          <xdr:cNvPr id="3" name="Shape 3"/>
          <xdr:cNvGrpSpPr/>
        </xdr:nvGrpSpPr>
        <xdr:grpSpPr>
          <a:xfrm>
            <a:off x="3850575" y="3213263"/>
            <a:ext cx="2990850" cy="1133475"/>
            <a:chOff x="3850575" y="3213263"/>
            <a:chExt cx="2990850" cy="1133475"/>
          </a:xfrm>
        </xdr:grpSpPr>
        <xdr:sp>
          <xdr:nvSpPr>
            <xdr:cNvPr id="4" name="Shape 4"/>
            <xdr:cNvSpPr/>
          </xdr:nvSpPr>
          <xdr:spPr>
            <a:xfrm>
              <a:off x="3850575" y="3213263"/>
              <a:ext cx="2990850" cy="11334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3850575" y="3213263"/>
              <a:ext cx="2990850" cy="1133475"/>
              <a:chOff x="8915400" y="2857500"/>
              <a:chExt cx="2452147" cy="1182370"/>
            </a:xfrm>
          </xdr:grpSpPr>
          <xdr:sp>
            <xdr:nvSpPr>
              <xdr:cNvPr id="6" name="Shape 6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7" name="Shape 7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0</xdr:col>
      <xdr:colOff>171450</xdr:colOff>
      <xdr:row>0</xdr:row>
      <xdr:rowOff>38100</xdr:rowOff>
    </xdr:from>
    <xdr:ext cx="600075" cy="7620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0</xdr:row>
      <xdr:rowOff>104775</xdr:rowOff>
    </xdr:from>
    <xdr:ext cx="1533525" cy="704850"/>
    <xdr:pic>
      <xdr:nvPicPr>
        <xdr:cNvPr descr="Logotipo, nombre de la empresa&#10;&#10;El contenido generado por IA puede ser incorrecto."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65</xdr:row>
      <xdr:rowOff>28575</xdr:rowOff>
    </xdr:from>
    <xdr:ext cx="2457450" cy="1590675"/>
    <xdr:grpSp>
      <xdr:nvGrpSpPr>
        <xdr:cNvPr id="2" name="Shape 2"/>
        <xdr:cNvGrpSpPr/>
      </xdr:nvGrpSpPr>
      <xdr:grpSpPr>
        <a:xfrm>
          <a:off x="4117275" y="2984663"/>
          <a:ext cx="2457450" cy="1590675"/>
          <a:chOff x="4117275" y="2984663"/>
          <a:chExt cx="2457450" cy="1590675"/>
        </a:xfrm>
      </xdr:grpSpPr>
      <xdr:grpSp>
        <xdr:nvGrpSpPr>
          <xdr:cNvPr id="8" name="Shape 8"/>
          <xdr:cNvGrpSpPr/>
        </xdr:nvGrpSpPr>
        <xdr:grpSpPr>
          <a:xfrm>
            <a:off x="4117275" y="2984663"/>
            <a:ext cx="2457450" cy="1590675"/>
            <a:chOff x="4117275" y="2984663"/>
            <a:chExt cx="2457450" cy="1590675"/>
          </a:xfrm>
        </xdr:grpSpPr>
        <xdr:sp>
          <xdr:nvSpPr>
            <xdr:cNvPr id="4" name="Shape 4"/>
            <xdr:cNvSpPr/>
          </xdr:nvSpPr>
          <xdr:spPr>
            <a:xfrm>
              <a:off x="4117275" y="2984663"/>
              <a:ext cx="2457450" cy="15906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9" name="Shape 9"/>
            <xdr:cNvGrpSpPr/>
          </xdr:nvGrpSpPr>
          <xdr:grpSpPr>
            <a:xfrm>
              <a:off x="4117275" y="2984663"/>
              <a:ext cx="2457450" cy="1590675"/>
              <a:chOff x="8915400" y="2857500"/>
              <a:chExt cx="2452147" cy="1182370"/>
            </a:xfrm>
          </xdr:grpSpPr>
          <xdr:sp>
            <xdr:nvSpPr>
              <xdr:cNvPr id="10" name="Shape 10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11" name="Shape 11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0</xdr:col>
      <xdr:colOff>85725</xdr:colOff>
      <xdr:row>0</xdr:row>
      <xdr:rowOff>152400</xdr:rowOff>
    </xdr:from>
    <xdr:ext cx="552450" cy="11430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38100</xdr:colOff>
      <xdr:row>0</xdr:row>
      <xdr:rowOff>142875</xdr:rowOff>
    </xdr:from>
    <xdr:ext cx="1590675" cy="895350"/>
    <xdr:pic>
      <xdr:nvPicPr>
        <xdr:cNvPr descr="Logotipo, nombre de la empresa&#10;&#10;El contenido generado por IA puede ser incorrecto."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66675</xdr:colOff>
      <xdr:row>45</xdr:row>
      <xdr:rowOff>9525</xdr:rowOff>
    </xdr:from>
    <xdr:ext cx="2724150" cy="1133475"/>
    <xdr:grpSp>
      <xdr:nvGrpSpPr>
        <xdr:cNvPr id="2" name="Shape 2"/>
        <xdr:cNvGrpSpPr/>
      </xdr:nvGrpSpPr>
      <xdr:grpSpPr>
        <a:xfrm>
          <a:off x="3983925" y="3213263"/>
          <a:ext cx="2724150" cy="1133475"/>
          <a:chOff x="3983925" y="3213263"/>
          <a:chExt cx="2724150" cy="1133475"/>
        </a:xfrm>
      </xdr:grpSpPr>
      <xdr:grpSp>
        <xdr:nvGrpSpPr>
          <xdr:cNvPr id="12" name="Shape 12"/>
          <xdr:cNvGrpSpPr/>
        </xdr:nvGrpSpPr>
        <xdr:grpSpPr>
          <a:xfrm>
            <a:off x="3983925" y="3213263"/>
            <a:ext cx="2724150" cy="1133475"/>
            <a:chOff x="3983925" y="3213263"/>
            <a:chExt cx="2724150" cy="1133475"/>
          </a:xfrm>
        </xdr:grpSpPr>
        <xdr:sp>
          <xdr:nvSpPr>
            <xdr:cNvPr id="4" name="Shape 4"/>
            <xdr:cNvSpPr/>
          </xdr:nvSpPr>
          <xdr:spPr>
            <a:xfrm>
              <a:off x="3983925" y="3213263"/>
              <a:ext cx="2724150" cy="11334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3" name="Shape 13"/>
            <xdr:cNvGrpSpPr/>
          </xdr:nvGrpSpPr>
          <xdr:grpSpPr>
            <a:xfrm>
              <a:off x="3983925" y="3213263"/>
              <a:ext cx="2724150" cy="1133475"/>
              <a:chOff x="8915400" y="2857500"/>
              <a:chExt cx="2452147" cy="1182370"/>
            </a:xfrm>
          </xdr:grpSpPr>
          <xdr:sp>
            <xdr:nvSpPr>
              <xdr:cNvPr id="14" name="Shape 14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15" name="Shape 15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1</xdr:col>
      <xdr:colOff>123825</xdr:colOff>
      <xdr:row>0</xdr:row>
      <xdr:rowOff>104775</xdr:rowOff>
    </xdr:from>
    <xdr:ext cx="552450" cy="7715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0</xdr:row>
      <xdr:rowOff>76200</xdr:rowOff>
    </xdr:from>
    <xdr:ext cx="1314450" cy="733425"/>
    <xdr:pic>
      <xdr:nvPicPr>
        <xdr:cNvPr descr="Logotipo, nombre de la empresa&#10;&#10;El contenido generado por IA puede ser incorrecto."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504825</xdr:colOff>
      <xdr:row>0</xdr:row>
      <xdr:rowOff>104775</xdr:rowOff>
    </xdr:from>
    <xdr:ext cx="1628775" cy="723900"/>
    <xdr:grpSp>
      <xdr:nvGrpSpPr>
        <xdr:cNvPr id="2" name="Shape 2"/>
        <xdr:cNvGrpSpPr/>
      </xdr:nvGrpSpPr>
      <xdr:grpSpPr>
        <a:xfrm>
          <a:off x="4531613" y="3418050"/>
          <a:ext cx="1628775" cy="723900"/>
          <a:chOff x="4531613" y="3418050"/>
          <a:chExt cx="1628775" cy="723900"/>
        </a:xfrm>
      </xdr:grpSpPr>
      <xdr:grpSp>
        <xdr:nvGrpSpPr>
          <xdr:cNvPr id="16" name="Shape 16"/>
          <xdr:cNvGrpSpPr/>
        </xdr:nvGrpSpPr>
        <xdr:grpSpPr>
          <a:xfrm>
            <a:off x="4531613" y="3418050"/>
            <a:ext cx="1628775" cy="723900"/>
            <a:chOff x="4531613" y="3418050"/>
            <a:chExt cx="1628775" cy="723900"/>
          </a:xfrm>
        </xdr:grpSpPr>
        <xdr:sp>
          <xdr:nvSpPr>
            <xdr:cNvPr id="4" name="Shape 4"/>
            <xdr:cNvSpPr/>
          </xdr:nvSpPr>
          <xdr:spPr>
            <a:xfrm>
              <a:off x="4531613" y="3418050"/>
              <a:ext cx="1628775" cy="7239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7" name="Shape 17"/>
            <xdr:cNvGrpSpPr/>
          </xdr:nvGrpSpPr>
          <xdr:grpSpPr>
            <a:xfrm>
              <a:off x="4531613" y="3418050"/>
              <a:ext cx="1628775" cy="723900"/>
              <a:chOff x="8915400" y="2857500"/>
              <a:chExt cx="2452147" cy="1182370"/>
            </a:xfrm>
          </xdr:grpSpPr>
          <xdr:sp>
            <xdr:nvSpPr>
              <xdr:cNvPr id="18" name="Shape 18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19" name="Shape 19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2</xdr:col>
      <xdr:colOff>447675</xdr:colOff>
      <xdr:row>0</xdr:row>
      <xdr:rowOff>123825</xdr:rowOff>
    </xdr:from>
    <xdr:ext cx="1895475" cy="73342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419100</xdr:colOff>
      <xdr:row>0</xdr:row>
      <xdr:rowOff>114300</xdr:rowOff>
    </xdr:from>
    <xdr:ext cx="981075" cy="7620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0</xdr:colOff>
      <xdr:row>11</xdr:row>
      <xdr:rowOff>0</xdr:rowOff>
    </xdr:from>
    <xdr:ext cx="6477000" cy="35909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0</xdr:colOff>
      <xdr:row>31</xdr:row>
      <xdr:rowOff>0</xdr:rowOff>
    </xdr:from>
    <xdr:ext cx="6477000" cy="35909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0</xdr:colOff>
      <xdr:row>51</xdr:row>
      <xdr:rowOff>0</xdr:rowOff>
    </xdr:from>
    <xdr:ext cx="3590925" cy="287655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2" width="3.71"/>
    <col customWidth="1" min="13" max="13" width="3.0"/>
    <col customWidth="1" hidden="1" min="14" max="15" width="3.71"/>
    <col customWidth="1" min="16" max="16" width="3.71"/>
    <col customWidth="1" min="17" max="17" width="5.29"/>
    <col customWidth="1" min="18" max="18" width="3.71"/>
    <col customWidth="1" min="19" max="19" width="5.57"/>
    <col customWidth="1" min="20" max="20" width="3.71"/>
    <col customWidth="1" min="21" max="21" width="5.57"/>
    <col customWidth="1" min="22" max="22" width="3.71"/>
    <col customWidth="1" min="23" max="23" width="5.29"/>
    <col customWidth="1" min="24" max="24" width="3.71"/>
    <col customWidth="1" min="25" max="25" width="6.57"/>
    <col customWidth="1" min="26" max="26" width="3.71"/>
    <col customWidth="1" min="27" max="27" width="6.0"/>
    <col customWidth="1" min="28" max="28" width="3.71"/>
    <col customWidth="1" min="29" max="29" width="5.57"/>
    <col customWidth="1" min="30" max="30" width="3.71"/>
    <col customWidth="1" min="31" max="31" width="7.43"/>
    <col customWidth="1" min="32" max="34" width="3.71"/>
    <col customWidth="1" min="35" max="35" width="6.14"/>
    <col customWidth="1" min="36" max="36" width="3.71"/>
    <col customWidth="1" min="37" max="37" width="7.0"/>
    <col customWidth="1" min="38" max="40" width="3.71"/>
    <col customWidth="1" min="41" max="41" width="5.71"/>
    <col customWidth="1" min="42" max="42" width="3.71"/>
    <col customWidth="1" min="43" max="43" width="7.14"/>
    <col customWidth="1" min="44" max="45" width="3.71"/>
    <col customWidth="1" min="46" max="46" width="4.29"/>
    <col customWidth="1" min="47" max="48" width="3.71"/>
    <col customWidth="1" min="49" max="49" width="5.71"/>
    <col customWidth="1" min="50" max="53" width="3.71"/>
    <col customWidth="1" min="54" max="54" width="4.43"/>
    <col customWidth="1" min="55" max="55" width="3.71"/>
  </cols>
  <sheetData>
    <row r="1" ht="20.25" customHeight="1">
      <c r="A1" s="1"/>
      <c r="B1" s="2"/>
      <c r="C1" s="2"/>
      <c r="D1" s="2"/>
      <c r="E1" s="2"/>
      <c r="F1" s="3"/>
      <c r="G1" s="2"/>
      <c r="H1" s="2"/>
      <c r="I1" s="2"/>
      <c r="J1" s="2"/>
      <c r="K1" s="4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6"/>
      <c r="AV1" s="7" t="s">
        <v>1</v>
      </c>
      <c r="BC1" s="8"/>
    </row>
    <row r="2" ht="20.25" customHeight="1">
      <c r="A2" s="9"/>
      <c r="F2" s="10"/>
      <c r="K2" s="11" t="s">
        <v>2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3"/>
      <c r="AV2" s="14"/>
      <c r="BC2" s="8"/>
    </row>
    <row r="3" ht="15.0" customHeight="1">
      <c r="A3" s="9"/>
      <c r="F3" s="10"/>
      <c r="K3" s="14"/>
      <c r="AU3" s="15"/>
      <c r="AV3" s="14"/>
      <c r="BC3" s="8"/>
    </row>
    <row r="4" ht="15.0" customHeight="1">
      <c r="A4" s="16"/>
      <c r="B4" s="17"/>
      <c r="C4" s="17"/>
      <c r="D4" s="17"/>
      <c r="E4" s="17"/>
      <c r="F4" s="10"/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20"/>
      <c r="AV4" s="14"/>
      <c r="BC4" s="8"/>
    </row>
    <row r="5" ht="19.5" customHeight="1">
      <c r="A5" s="21" t="s">
        <v>3</v>
      </c>
      <c r="B5" s="5"/>
      <c r="C5" s="5"/>
      <c r="D5" s="5"/>
      <c r="E5" s="5"/>
      <c r="F5" s="6"/>
      <c r="G5" s="22" t="s">
        <v>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6"/>
    </row>
    <row r="6" ht="24.0" customHeight="1">
      <c r="A6" s="23" t="s">
        <v>5</v>
      </c>
      <c r="B6" s="5"/>
      <c r="C6" s="5"/>
      <c r="D6" s="5"/>
      <c r="E6" s="5"/>
      <c r="F6" s="5"/>
      <c r="G6" s="5"/>
      <c r="H6" s="5"/>
      <c r="I6" s="6"/>
      <c r="J6" s="24"/>
      <c r="K6" s="25"/>
      <c r="L6" s="25"/>
      <c r="M6" s="25"/>
      <c r="N6" s="25"/>
      <c r="O6" s="25"/>
      <c r="P6" s="25"/>
      <c r="Q6" s="26"/>
      <c r="R6" s="27" t="s">
        <v>6</v>
      </c>
      <c r="S6" s="25"/>
      <c r="T6" s="25"/>
      <c r="U6" s="25"/>
      <c r="V6" s="25"/>
      <c r="W6" s="25"/>
      <c r="X6" s="28" t="s">
        <v>7</v>
      </c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20"/>
      <c r="AP6" s="29" t="s">
        <v>8</v>
      </c>
      <c r="AQ6" s="30"/>
      <c r="AR6" s="30"/>
      <c r="AS6" s="30"/>
      <c r="AT6" s="31"/>
      <c r="AU6" s="32" t="s">
        <v>9</v>
      </c>
      <c r="AV6" s="33"/>
      <c r="AW6" s="34"/>
      <c r="AX6" s="35" t="s">
        <v>10</v>
      </c>
      <c r="AY6" s="33"/>
      <c r="AZ6" s="34"/>
      <c r="BA6" s="36" t="s">
        <v>11</v>
      </c>
      <c r="BB6" s="25"/>
      <c r="BC6" s="25"/>
    </row>
    <row r="7" ht="21.75" customHeight="1">
      <c r="A7" s="21" t="s">
        <v>12</v>
      </c>
      <c r="B7" s="5"/>
      <c r="C7" s="5"/>
      <c r="D7" s="5"/>
      <c r="E7" s="5"/>
      <c r="F7" s="6"/>
      <c r="G7" s="22"/>
      <c r="H7" s="5"/>
      <c r="I7" s="5"/>
      <c r="J7" s="5"/>
      <c r="K7" s="5"/>
      <c r="L7" s="5"/>
      <c r="M7" s="5"/>
      <c r="N7" s="5"/>
      <c r="O7" s="5"/>
      <c r="P7" s="5"/>
      <c r="Q7" s="6"/>
      <c r="R7" s="37" t="s">
        <v>13</v>
      </c>
      <c r="S7" s="5"/>
      <c r="T7" s="5"/>
      <c r="U7" s="5"/>
      <c r="V7" s="5"/>
      <c r="W7" s="6"/>
      <c r="X7" s="22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6"/>
      <c r="AP7" s="18"/>
      <c r="AQ7" s="19"/>
      <c r="AR7" s="19"/>
      <c r="AS7" s="19"/>
      <c r="AT7" s="20"/>
      <c r="AU7" s="37"/>
      <c r="AV7" s="5"/>
      <c r="AW7" s="6"/>
      <c r="AX7" s="22"/>
      <c r="AY7" s="5"/>
      <c r="AZ7" s="6"/>
      <c r="BA7" s="28" t="s">
        <v>14</v>
      </c>
      <c r="BB7" s="19"/>
      <c r="BC7" s="19"/>
    </row>
    <row r="8" ht="15.0" customHeight="1">
      <c r="A8" s="38" t="s">
        <v>15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6"/>
    </row>
    <row r="9" ht="15.0" customHeight="1">
      <c r="A9" s="39" t="s">
        <v>16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P9" s="40" t="s">
        <v>17</v>
      </c>
      <c r="Q9" s="12"/>
      <c r="R9" s="12"/>
      <c r="S9" s="13"/>
      <c r="T9" s="40" t="s">
        <v>18</v>
      </c>
      <c r="U9" s="12"/>
      <c r="V9" s="12"/>
      <c r="W9" s="13"/>
      <c r="X9" s="40" t="s">
        <v>19</v>
      </c>
      <c r="Y9" s="12"/>
      <c r="Z9" s="12"/>
      <c r="AA9" s="13"/>
      <c r="AB9" s="40" t="s">
        <v>20</v>
      </c>
      <c r="AC9" s="12"/>
      <c r="AD9" s="12"/>
      <c r="AE9" s="13"/>
      <c r="AF9" s="40" t="s">
        <v>21</v>
      </c>
      <c r="AG9" s="12"/>
      <c r="AH9" s="12"/>
      <c r="AI9" s="12"/>
      <c r="AJ9" s="12"/>
      <c r="AK9" s="13"/>
      <c r="AL9" s="40" t="s">
        <v>22</v>
      </c>
      <c r="AM9" s="12"/>
      <c r="AN9" s="12"/>
      <c r="AO9" s="12"/>
      <c r="AP9" s="12"/>
      <c r="AQ9" s="13"/>
      <c r="AR9" s="40" t="s">
        <v>23</v>
      </c>
      <c r="AS9" s="12"/>
      <c r="AT9" s="12"/>
      <c r="AU9" s="12"/>
      <c r="AV9" s="12"/>
      <c r="AW9" s="13"/>
      <c r="AX9" s="40" t="s">
        <v>24</v>
      </c>
      <c r="AY9" s="12"/>
      <c r="AZ9" s="12"/>
      <c r="BA9" s="12"/>
      <c r="BB9" s="12"/>
      <c r="BC9" s="13"/>
    </row>
    <row r="10" ht="14.25" customHeight="1">
      <c r="A10" s="14"/>
      <c r="O10" s="15"/>
      <c r="P10" s="18"/>
      <c r="Q10" s="19"/>
      <c r="R10" s="19"/>
      <c r="S10" s="20"/>
      <c r="T10" s="18"/>
      <c r="U10" s="19"/>
      <c r="V10" s="19"/>
      <c r="W10" s="20"/>
      <c r="X10" s="18"/>
      <c r="Y10" s="19"/>
      <c r="Z10" s="19"/>
      <c r="AA10" s="20"/>
      <c r="AB10" s="18"/>
      <c r="AC10" s="19"/>
      <c r="AD10" s="19"/>
      <c r="AE10" s="20"/>
      <c r="AF10" s="18"/>
      <c r="AG10" s="19"/>
      <c r="AH10" s="19"/>
      <c r="AI10" s="19"/>
      <c r="AJ10" s="19"/>
      <c r="AK10" s="20"/>
      <c r="AL10" s="18"/>
      <c r="AM10" s="19"/>
      <c r="AN10" s="19"/>
      <c r="AO10" s="19"/>
      <c r="AP10" s="19"/>
      <c r="AQ10" s="20"/>
      <c r="AR10" s="18"/>
      <c r="AS10" s="19"/>
      <c r="AT10" s="19"/>
      <c r="AU10" s="19"/>
      <c r="AV10" s="19"/>
      <c r="AW10" s="20"/>
      <c r="AX10" s="18"/>
      <c r="AY10" s="19"/>
      <c r="AZ10" s="19"/>
      <c r="BA10" s="19"/>
      <c r="BB10" s="19"/>
      <c r="BC10" s="20"/>
    </row>
    <row r="11" ht="15.0" customHeight="1">
      <c r="A11" s="14"/>
      <c r="O11" s="15"/>
      <c r="P11" s="41" t="s">
        <v>25</v>
      </c>
      <c r="Q11" s="13"/>
      <c r="R11" s="41" t="s">
        <v>26</v>
      </c>
      <c r="S11" s="13"/>
      <c r="T11" s="41" t="s">
        <v>25</v>
      </c>
      <c r="U11" s="13"/>
      <c r="V11" s="41" t="s">
        <v>26</v>
      </c>
      <c r="W11" s="13"/>
      <c r="X11" s="41" t="s">
        <v>25</v>
      </c>
      <c r="Y11" s="13"/>
      <c r="Z11" s="41" t="s">
        <v>26</v>
      </c>
      <c r="AA11" s="13"/>
      <c r="AB11" s="41" t="s">
        <v>25</v>
      </c>
      <c r="AC11" s="13"/>
      <c r="AD11" s="41" t="s">
        <v>26</v>
      </c>
      <c r="AE11" s="13"/>
      <c r="AF11" s="40" t="s">
        <v>27</v>
      </c>
      <c r="AG11" s="13"/>
      <c r="AH11" s="41" t="s">
        <v>25</v>
      </c>
      <c r="AI11" s="13"/>
      <c r="AJ11" s="41" t="s">
        <v>26</v>
      </c>
      <c r="AK11" s="13"/>
      <c r="AL11" s="40" t="s">
        <v>27</v>
      </c>
      <c r="AM11" s="13"/>
      <c r="AN11" s="41" t="s">
        <v>25</v>
      </c>
      <c r="AO11" s="13"/>
      <c r="AP11" s="41" t="s">
        <v>26</v>
      </c>
      <c r="AQ11" s="13"/>
      <c r="AR11" s="40" t="s">
        <v>27</v>
      </c>
      <c r="AS11" s="13"/>
      <c r="AT11" s="41" t="s">
        <v>25</v>
      </c>
      <c r="AU11" s="13"/>
      <c r="AV11" s="41" t="s">
        <v>26</v>
      </c>
      <c r="AW11" s="13"/>
      <c r="AX11" s="40" t="s">
        <v>25</v>
      </c>
      <c r="AY11" s="12"/>
      <c r="AZ11" s="13"/>
      <c r="BA11" s="40" t="s">
        <v>26</v>
      </c>
      <c r="BB11" s="12"/>
      <c r="BC11" s="13"/>
    </row>
    <row r="12" ht="14.25" customHeight="1">
      <c r="A12" s="18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/>
      <c r="P12" s="18"/>
      <c r="Q12" s="20"/>
      <c r="R12" s="18"/>
      <c r="S12" s="20"/>
      <c r="T12" s="18"/>
      <c r="U12" s="20"/>
      <c r="V12" s="18"/>
      <c r="W12" s="20"/>
      <c r="X12" s="18"/>
      <c r="Y12" s="20"/>
      <c r="Z12" s="18"/>
      <c r="AA12" s="20"/>
      <c r="AB12" s="18"/>
      <c r="AC12" s="20"/>
      <c r="AD12" s="18"/>
      <c r="AE12" s="20"/>
      <c r="AF12" s="18"/>
      <c r="AG12" s="20"/>
      <c r="AH12" s="18"/>
      <c r="AI12" s="20"/>
      <c r="AJ12" s="18"/>
      <c r="AK12" s="20"/>
      <c r="AL12" s="18"/>
      <c r="AM12" s="20"/>
      <c r="AN12" s="18"/>
      <c r="AO12" s="20"/>
      <c r="AP12" s="18"/>
      <c r="AQ12" s="20"/>
      <c r="AR12" s="18"/>
      <c r="AS12" s="20"/>
      <c r="AT12" s="18"/>
      <c r="AU12" s="20"/>
      <c r="AV12" s="18"/>
      <c r="AW12" s="20"/>
      <c r="AX12" s="18"/>
      <c r="AY12" s="19"/>
      <c r="AZ12" s="20"/>
      <c r="BA12" s="18"/>
      <c r="BB12" s="19"/>
      <c r="BC12" s="20"/>
    </row>
    <row r="13" ht="15.0" customHeight="1">
      <c r="A13" s="42" t="s">
        <v>28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4"/>
      <c r="P13" s="43" t="s">
        <v>25</v>
      </c>
      <c r="Q13" s="6"/>
      <c r="R13" s="43"/>
      <c r="S13" s="6"/>
      <c r="T13" s="43" t="s">
        <v>25</v>
      </c>
      <c r="U13" s="6"/>
      <c r="V13" s="43"/>
      <c r="W13" s="6"/>
      <c r="X13" s="43" t="s">
        <v>25</v>
      </c>
      <c r="Y13" s="6"/>
      <c r="Z13" s="43"/>
      <c r="AA13" s="6"/>
      <c r="AB13" s="43" t="s">
        <v>25</v>
      </c>
      <c r="AC13" s="6"/>
      <c r="AD13" s="43"/>
      <c r="AE13" s="6"/>
      <c r="AF13" s="43"/>
      <c r="AG13" s="6"/>
      <c r="AH13" s="43"/>
      <c r="AI13" s="6"/>
      <c r="AJ13" s="43"/>
      <c r="AK13" s="6"/>
      <c r="AL13" s="43" t="s">
        <v>29</v>
      </c>
      <c r="AM13" s="6"/>
      <c r="AN13" s="43" t="s">
        <v>25</v>
      </c>
      <c r="AO13" s="6"/>
      <c r="AP13" s="43"/>
      <c r="AQ13" s="6"/>
      <c r="AR13" s="43" t="s">
        <v>30</v>
      </c>
      <c r="AS13" s="6"/>
      <c r="AT13" s="43"/>
      <c r="AU13" s="6"/>
      <c r="AV13" s="43"/>
      <c r="AW13" s="6"/>
      <c r="AX13" s="43" t="s">
        <v>31</v>
      </c>
      <c r="AY13" s="5"/>
      <c r="AZ13" s="6"/>
      <c r="BA13" s="43"/>
      <c r="BB13" s="5"/>
      <c r="BC13" s="6"/>
    </row>
    <row r="14" ht="15.0" customHeight="1">
      <c r="A14" s="43" t="s">
        <v>32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43" t="s">
        <v>25</v>
      </c>
      <c r="Q14" s="6"/>
      <c r="R14" s="43"/>
      <c r="S14" s="6"/>
      <c r="T14" s="43" t="s">
        <v>25</v>
      </c>
      <c r="U14" s="6"/>
      <c r="V14" s="43"/>
      <c r="W14" s="6"/>
      <c r="X14" s="43" t="s">
        <v>25</v>
      </c>
      <c r="Y14" s="6"/>
      <c r="Z14" s="43"/>
      <c r="AA14" s="6"/>
      <c r="AB14" s="43" t="s">
        <v>25</v>
      </c>
      <c r="AC14" s="6"/>
      <c r="AD14" s="43"/>
      <c r="AE14" s="6"/>
      <c r="AF14" s="43"/>
      <c r="AG14" s="6"/>
      <c r="AH14" s="43"/>
      <c r="AI14" s="6"/>
      <c r="AJ14" s="43"/>
      <c r="AK14" s="6"/>
      <c r="AL14" s="43" t="s">
        <v>33</v>
      </c>
      <c r="AM14" s="6"/>
      <c r="AN14" s="43" t="s">
        <v>25</v>
      </c>
      <c r="AO14" s="6"/>
      <c r="AP14" s="43"/>
      <c r="AQ14" s="6"/>
      <c r="AR14" s="43" t="s">
        <v>34</v>
      </c>
      <c r="AS14" s="6"/>
      <c r="AT14" s="43"/>
      <c r="AU14" s="6"/>
      <c r="AV14" s="43"/>
      <c r="AW14" s="6"/>
      <c r="AX14" s="43" t="s">
        <v>31</v>
      </c>
      <c r="AY14" s="5"/>
      <c r="AZ14" s="6"/>
      <c r="BA14" s="43"/>
      <c r="BB14" s="5"/>
      <c r="BC14" s="6"/>
    </row>
    <row r="15" ht="15.0" customHeight="1">
      <c r="A15" s="43" t="s">
        <v>35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6"/>
      <c r="P15" s="43" t="s">
        <v>25</v>
      </c>
      <c r="Q15" s="6"/>
      <c r="R15" s="43"/>
      <c r="S15" s="6"/>
      <c r="T15" s="43" t="s">
        <v>25</v>
      </c>
      <c r="U15" s="6"/>
      <c r="V15" s="43"/>
      <c r="W15" s="6"/>
      <c r="X15" s="43" t="s">
        <v>25</v>
      </c>
      <c r="Y15" s="6"/>
      <c r="Z15" s="43"/>
      <c r="AA15" s="6"/>
      <c r="AB15" s="43" t="s">
        <v>25</v>
      </c>
      <c r="AC15" s="6"/>
      <c r="AD15" s="43"/>
      <c r="AE15" s="6"/>
      <c r="AF15" s="43"/>
      <c r="AG15" s="6"/>
      <c r="AH15" s="43"/>
      <c r="AI15" s="6"/>
      <c r="AJ15" s="43"/>
      <c r="AK15" s="6"/>
      <c r="AL15" s="43" t="s">
        <v>36</v>
      </c>
      <c r="AM15" s="6"/>
      <c r="AN15" s="43" t="s">
        <v>25</v>
      </c>
      <c r="AO15" s="6"/>
      <c r="AP15" s="43"/>
      <c r="AQ15" s="6"/>
      <c r="AR15" s="43" t="s">
        <v>37</v>
      </c>
      <c r="AS15" s="6"/>
      <c r="AT15" s="43"/>
      <c r="AU15" s="6"/>
      <c r="AV15" s="43"/>
      <c r="AW15" s="6"/>
      <c r="AX15" s="43" t="s">
        <v>31</v>
      </c>
      <c r="AY15" s="5"/>
      <c r="AZ15" s="6"/>
      <c r="BA15" s="43"/>
      <c r="BB15" s="5"/>
      <c r="BC15" s="6"/>
    </row>
    <row r="16" ht="15.0" customHeight="1">
      <c r="A16" s="43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6"/>
      <c r="P16" s="43"/>
      <c r="Q16" s="6"/>
      <c r="R16" s="43"/>
      <c r="S16" s="6"/>
      <c r="T16" s="43"/>
      <c r="U16" s="6"/>
      <c r="V16" s="43"/>
      <c r="W16" s="6"/>
      <c r="X16" s="43"/>
      <c r="Y16" s="6"/>
      <c r="Z16" s="43"/>
      <c r="AA16" s="6"/>
      <c r="AB16" s="43"/>
      <c r="AC16" s="6"/>
      <c r="AD16" s="43"/>
      <c r="AE16" s="6"/>
      <c r="AF16" s="43"/>
      <c r="AG16" s="6"/>
      <c r="AH16" s="43"/>
      <c r="AI16" s="6"/>
      <c r="AJ16" s="43"/>
      <c r="AK16" s="6"/>
      <c r="AL16" s="43"/>
      <c r="AM16" s="6"/>
      <c r="AN16" s="43"/>
      <c r="AO16" s="6"/>
      <c r="AP16" s="43"/>
      <c r="AQ16" s="6"/>
      <c r="AR16" s="43"/>
      <c r="AS16" s="6"/>
      <c r="AT16" s="43"/>
      <c r="AU16" s="6"/>
      <c r="AV16" s="43"/>
      <c r="AW16" s="6"/>
      <c r="AX16" s="43"/>
      <c r="AY16" s="5"/>
      <c r="AZ16" s="6"/>
      <c r="BA16" s="43"/>
      <c r="BB16" s="5"/>
      <c r="BC16" s="6"/>
    </row>
    <row r="17" ht="15.0" customHeight="1">
      <c r="A17" s="43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6"/>
      <c r="P17" s="43"/>
      <c r="Q17" s="6"/>
      <c r="R17" s="43"/>
      <c r="S17" s="6"/>
      <c r="T17" s="43"/>
      <c r="U17" s="6"/>
      <c r="V17" s="43"/>
      <c r="W17" s="6"/>
      <c r="X17" s="43"/>
      <c r="Y17" s="6"/>
      <c r="Z17" s="43"/>
      <c r="AA17" s="6"/>
      <c r="AB17" s="43"/>
      <c r="AC17" s="6"/>
      <c r="AD17" s="43"/>
      <c r="AE17" s="6"/>
      <c r="AF17" s="43"/>
      <c r="AG17" s="6"/>
      <c r="AH17" s="43"/>
      <c r="AI17" s="6"/>
      <c r="AJ17" s="43"/>
      <c r="AK17" s="6"/>
      <c r="AL17" s="43"/>
      <c r="AM17" s="6"/>
      <c r="AN17" s="43"/>
      <c r="AO17" s="6"/>
      <c r="AP17" s="43"/>
      <c r="AQ17" s="6"/>
      <c r="AR17" s="43"/>
      <c r="AS17" s="6"/>
      <c r="AT17" s="43"/>
      <c r="AU17" s="6"/>
      <c r="AV17" s="43"/>
      <c r="AW17" s="6"/>
      <c r="AX17" s="43"/>
      <c r="AY17" s="5"/>
      <c r="AZ17" s="6"/>
      <c r="BA17" s="43"/>
      <c r="BB17" s="5"/>
      <c r="BC17" s="6"/>
    </row>
    <row r="18" ht="15.0" customHeight="1">
      <c r="A18" s="43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6"/>
      <c r="P18" s="43"/>
      <c r="Q18" s="6"/>
      <c r="R18" s="43"/>
      <c r="S18" s="6"/>
      <c r="T18" s="43"/>
      <c r="U18" s="6"/>
      <c r="V18" s="43"/>
      <c r="W18" s="6"/>
      <c r="X18" s="43"/>
      <c r="Y18" s="6"/>
      <c r="Z18" s="43"/>
      <c r="AA18" s="6"/>
      <c r="AB18" s="43"/>
      <c r="AC18" s="6"/>
      <c r="AD18" s="43"/>
      <c r="AE18" s="6"/>
      <c r="AF18" s="43"/>
      <c r="AG18" s="6"/>
      <c r="AH18" s="43"/>
      <c r="AI18" s="6"/>
      <c r="AJ18" s="43"/>
      <c r="AK18" s="6"/>
      <c r="AL18" s="43"/>
      <c r="AM18" s="6"/>
      <c r="AN18" s="43"/>
      <c r="AO18" s="6"/>
      <c r="AP18" s="43"/>
      <c r="AQ18" s="6"/>
      <c r="AR18" s="43"/>
      <c r="AS18" s="6"/>
      <c r="AT18" s="43"/>
      <c r="AU18" s="6"/>
      <c r="AV18" s="43"/>
      <c r="AW18" s="6"/>
      <c r="AX18" s="43"/>
      <c r="AY18" s="5"/>
      <c r="AZ18" s="6"/>
      <c r="BA18" s="43"/>
      <c r="BB18" s="5"/>
      <c r="BC18" s="6"/>
    </row>
    <row r="19" ht="15.0" customHeight="1">
      <c r="A19" s="43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6"/>
      <c r="P19" s="43"/>
      <c r="Q19" s="6"/>
      <c r="R19" s="43"/>
      <c r="S19" s="6"/>
      <c r="T19" s="43"/>
      <c r="U19" s="6"/>
      <c r="V19" s="43"/>
      <c r="W19" s="6"/>
      <c r="X19" s="43"/>
      <c r="Y19" s="6"/>
      <c r="Z19" s="43"/>
      <c r="AA19" s="6"/>
      <c r="AB19" s="43"/>
      <c r="AC19" s="6"/>
      <c r="AD19" s="43"/>
      <c r="AE19" s="6"/>
      <c r="AF19" s="43"/>
      <c r="AG19" s="6"/>
      <c r="AH19" s="43"/>
      <c r="AI19" s="6"/>
      <c r="AJ19" s="43"/>
      <c r="AK19" s="6"/>
      <c r="AL19" s="43"/>
      <c r="AM19" s="6"/>
      <c r="AN19" s="43"/>
      <c r="AO19" s="6"/>
      <c r="AP19" s="43"/>
      <c r="AQ19" s="6"/>
      <c r="AR19" s="43"/>
      <c r="AS19" s="6"/>
      <c r="AT19" s="43"/>
      <c r="AU19" s="6"/>
      <c r="AV19" s="43"/>
      <c r="AW19" s="6"/>
      <c r="AX19" s="43"/>
      <c r="AY19" s="5"/>
      <c r="AZ19" s="6"/>
      <c r="BA19" s="43"/>
      <c r="BB19" s="5"/>
      <c r="BC19" s="6"/>
    </row>
    <row r="20" ht="15.0" customHeight="1">
      <c r="A20" s="43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6"/>
      <c r="P20" s="43"/>
      <c r="Q20" s="6"/>
      <c r="R20" s="43"/>
      <c r="S20" s="6"/>
      <c r="T20" s="43"/>
      <c r="U20" s="6"/>
      <c r="V20" s="43"/>
      <c r="W20" s="6"/>
      <c r="X20" s="43"/>
      <c r="Y20" s="6"/>
      <c r="Z20" s="43"/>
      <c r="AA20" s="6"/>
      <c r="AB20" s="43"/>
      <c r="AC20" s="6"/>
      <c r="AD20" s="43"/>
      <c r="AE20" s="6"/>
      <c r="AF20" s="43"/>
      <c r="AG20" s="6"/>
      <c r="AH20" s="43"/>
      <c r="AI20" s="6"/>
      <c r="AJ20" s="43"/>
      <c r="AK20" s="6"/>
      <c r="AL20" s="43"/>
      <c r="AM20" s="6"/>
      <c r="AN20" s="43"/>
      <c r="AO20" s="6"/>
      <c r="AP20" s="43"/>
      <c r="AQ20" s="6"/>
      <c r="AR20" s="43"/>
      <c r="AS20" s="6"/>
      <c r="AT20" s="43"/>
      <c r="AU20" s="6"/>
      <c r="AV20" s="43"/>
      <c r="AW20" s="6"/>
      <c r="AX20" s="43"/>
      <c r="AY20" s="5"/>
      <c r="AZ20" s="6"/>
      <c r="BA20" s="43"/>
      <c r="BB20" s="5"/>
      <c r="BC20" s="6"/>
    </row>
    <row r="21" ht="15.0" customHeight="1">
      <c r="A21" s="44" t="s">
        <v>38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3"/>
      <c r="AR21" s="45" t="s">
        <v>39</v>
      </c>
      <c r="AS21" s="12"/>
      <c r="AT21" s="12"/>
      <c r="AU21" s="12"/>
      <c r="AV21" s="12"/>
      <c r="AW21" s="13"/>
      <c r="AX21" s="46">
        <v>100.0</v>
      </c>
      <c r="AY21" s="12"/>
      <c r="AZ21" s="12"/>
      <c r="BA21" s="12"/>
      <c r="BB21" s="12"/>
      <c r="BC21" s="13"/>
    </row>
    <row r="22" ht="14.25" customHeight="1">
      <c r="A22" s="18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20"/>
      <c r="AR22" s="18"/>
      <c r="AS22" s="19"/>
      <c r="AT22" s="19"/>
      <c r="AU22" s="19"/>
      <c r="AV22" s="19"/>
      <c r="AW22" s="20"/>
      <c r="AX22" s="18"/>
      <c r="AY22" s="19"/>
      <c r="AZ22" s="19"/>
      <c r="BA22" s="19"/>
      <c r="BB22" s="19"/>
      <c r="BC22" s="20"/>
    </row>
    <row r="23" ht="15.0" customHeight="1">
      <c r="A23" s="47" t="s">
        <v>40</v>
      </c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9"/>
    </row>
    <row r="24" ht="14.25" customHeight="1">
      <c r="A24" s="50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6"/>
    </row>
    <row r="25" ht="14.25" customHeight="1">
      <c r="A25" s="50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6"/>
    </row>
    <row r="26" ht="14.25" customHeight="1">
      <c r="A26" s="50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6"/>
    </row>
    <row r="27" ht="3.75" customHeight="1">
      <c r="A27" s="51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6"/>
    </row>
    <row r="28" ht="15.0" customHeight="1">
      <c r="A28" s="52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38" t="s">
        <v>41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6"/>
      <c r="AN28" s="38" t="s">
        <v>41</v>
      </c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6"/>
    </row>
    <row r="29" ht="14.25" customHeight="1">
      <c r="A29" s="52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4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3"/>
      <c r="AN29" s="54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3"/>
    </row>
    <row r="30" ht="14.25" customHeight="1">
      <c r="A30" s="52"/>
      <c r="B30" s="55"/>
      <c r="C30" s="55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18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18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20"/>
    </row>
    <row r="31" ht="14.25" customHeight="1">
      <c r="A31" s="52"/>
      <c r="B31" s="55"/>
      <c r="C31" s="55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23" t="s">
        <v>42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6"/>
      <c r="AN31" s="23" t="s">
        <v>42</v>
      </c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6"/>
    </row>
    <row r="32" ht="14.25" customHeight="1">
      <c r="A32" s="52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23" t="s">
        <v>43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6"/>
      <c r="AN32" s="23" t="s">
        <v>43</v>
      </c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6"/>
    </row>
    <row r="33" ht="14.25" customHeight="1">
      <c r="A33" s="52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23" t="s">
        <v>44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6"/>
      <c r="AN33" s="23" t="s">
        <v>44</v>
      </c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6"/>
    </row>
    <row r="34" ht="4.5" customHeight="1">
      <c r="A34" s="56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</row>
    <row r="35" ht="14.2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</row>
    <row r="36" ht="14.25" customHeight="1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  <c r="AQ36" s="59"/>
      <c r="AR36" s="59"/>
      <c r="AS36" s="59"/>
      <c r="AT36" s="59"/>
      <c r="AU36" s="59"/>
      <c r="AV36" s="59"/>
      <c r="AW36" s="59"/>
      <c r="AX36" s="59"/>
      <c r="AY36" s="59"/>
      <c r="AZ36" s="59"/>
      <c r="BA36" s="59"/>
      <c r="BB36" s="59"/>
      <c r="BC36" s="59"/>
    </row>
    <row r="37" ht="14.2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</row>
    <row r="38" ht="14.2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</row>
    <row r="39" ht="14.2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9"/>
      <c r="AW39" s="59"/>
      <c r="AX39" s="59"/>
      <c r="AY39" s="59"/>
      <c r="AZ39" s="59"/>
      <c r="BA39" s="59"/>
      <c r="BB39" s="59"/>
      <c r="BC39" s="59"/>
    </row>
    <row r="40" ht="14.2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9"/>
      <c r="AW40" s="59"/>
      <c r="AX40" s="59"/>
      <c r="AY40" s="59"/>
      <c r="AZ40" s="59"/>
      <c r="BA40" s="59"/>
      <c r="BB40" s="59"/>
      <c r="BC40" s="59"/>
    </row>
    <row r="41" ht="14.2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9"/>
      <c r="AW41" s="59"/>
      <c r="AX41" s="59"/>
      <c r="AY41" s="59"/>
      <c r="AZ41" s="59"/>
      <c r="BA41" s="59"/>
      <c r="BB41" s="59"/>
      <c r="BC41" s="59"/>
    </row>
    <row r="42" ht="14.2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9"/>
      <c r="AW42" s="59"/>
      <c r="AX42" s="59"/>
      <c r="AY42" s="59"/>
      <c r="AZ42" s="59"/>
      <c r="BA42" s="59"/>
      <c r="BB42" s="59"/>
      <c r="BC42" s="59"/>
    </row>
    <row r="43" ht="14.2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59"/>
      <c r="BC43" s="59"/>
    </row>
    <row r="44" ht="14.2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9"/>
      <c r="AW44" s="59"/>
      <c r="AX44" s="59"/>
      <c r="AY44" s="59"/>
      <c r="AZ44" s="59"/>
      <c r="BA44" s="59"/>
      <c r="BB44" s="59"/>
      <c r="BC44" s="59"/>
    </row>
    <row r="45" ht="14.2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9"/>
      <c r="AW45" s="59"/>
      <c r="AX45" s="59"/>
      <c r="AY45" s="59"/>
      <c r="AZ45" s="59"/>
      <c r="BA45" s="59"/>
      <c r="BB45" s="59"/>
      <c r="BC45" s="59"/>
    </row>
    <row r="46" ht="14.2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9"/>
      <c r="AW46" s="59"/>
      <c r="AX46" s="59"/>
      <c r="AY46" s="59"/>
      <c r="AZ46" s="59"/>
      <c r="BA46" s="59"/>
      <c r="BB46" s="59"/>
      <c r="BC46" s="59"/>
    </row>
    <row r="47" ht="14.2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59"/>
      <c r="BC47" s="59"/>
    </row>
    <row r="48" ht="14.2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</row>
    <row r="49" ht="14.2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</row>
    <row r="50" ht="14.2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  <c r="BC50" s="59"/>
    </row>
    <row r="51" ht="14.2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</row>
    <row r="52" ht="14.2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59"/>
      <c r="BC52" s="59"/>
    </row>
    <row r="53" ht="14.2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59"/>
      <c r="BC53" s="59"/>
    </row>
    <row r="54" ht="14.2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ht="14.2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9"/>
      <c r="AV55" s="59"/>
      <c r="AW55" s="59"/>
      <c r="AX55" s="59"/>
      <c r="AY55" s="59"/>
      <c r="AZ55" s="59"/>
      <c r="BA55" s="59"/>
      <c r="BB55" s="59"/>
      <c r="BC55" s="59"/>
    </row>
    <row r="56" ht="14.2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59"/>
      <c r="AW56" s="59"/>
      <c r="AX56" s="59"/>
      <c r="AY56" s="59"/>
      <c r="AZ56" s="59"/>
      <c r="BA56" s="59"/>
      <c r="BB56" s="59"/>
      <c r="BC56" s="59"/>
    </row>
    <row r="57" ht="14.2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9"/>
      <c r="AW57" s="59"/>
      <c r="AX57" s="59"/>
      <c r="AY57" s="59"/>
      <c r="AZ57" s="59"/>
      <c r="BA57" s="59"/>
      <c r="BB57" s="59"/>
      <c r="BC57" s="59"/>
    </row>
    <row r="58" ht="14.2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9"/>
      <c r="AW58" s="59"/>
      <c r="AX58" s="59"/>
      <c r="AY58" s="59"/>
      <c r="AZ58" s="59"/>
      <c r="BA58" s="59"/>
      <c r="BB58" s="59"/>
      <c r="BC58" s="59"/>
    </row>
    <row r="59" ht="14.2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9"/>
      <c r="AY59" s="59"/>
      <c r="AZ59" s="59"/>
      <c r="BA59" s="59"/>
      <c r="BB59" s="59"/>
      <c r="BC59" s="59"/>
    </row>
    <row r="60" ht="14.2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</row>
    <row r="61" ht="14.2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59"/>
      <c r="AW61" s="59"/>
      <c r="AX61" s="59"/>
      <c r="AY61" s="59"/>
      <c r="AZ61" s="59"/>
      <c r="BA61" s="59"/>
      <c r="BB61" s="59"/>
      <c r="BC61" s="59"/>
    </row>
    <row r="62" ht="14.2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59"/>
      <c r="BC62" s="59"/>
    </row>
    <row r="63" ht="14.2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</row>
    <row r="64" ht="14.25" customHeight="1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ht="14.25" customHeight="1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  <c r="BA65" s="59"/>
      <c r="BB65" s="59"/>
      <c r="BC65" s="59"/>
    </row>
    <row r="66" ht="14.25" customHeight="1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  <c r="BA66" s="59"/>
      <c r="BB66" s="59"/>
      <c r="BC66" s="59"/>
    </row>
    <row r="67" ht="14.25" customHeight="1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  <c r="BA67" s="59"/>
      <c r="BB67" s="59"/>
      <c r="BC67" s="59"/>
    </row>
    <row r="68" ht="14.25" customHeight="1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  <c r="BA68" s="59"/>
      <c r="BB68" s="59"/>
      <c r="BC68" s="59"/>
    </row>
    <row r="69" ht="14.25" customHeight="1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  <c r="BA69" s="59"/>
      <c r="BB69" s="59"/>
      <c r="BC69" s="59"/>
    </row>
    <row r="70" ht="14.25" customHeight="1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  <c r="BA70" s="59"/>
      <c r="BB70" s="59"/>
      <c r="BC70" s="59"/>
    </row>
    <row r="71" ht="14.25" customHeight="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</row>
    <row r="72" ht="14.25" customHeight="1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  <c r="BC72" s="59"/>
    </row>
    <row r="73" ht="14.25" customHeight="1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  <c r="BA73" s="59"/>
      <c r="BB73" s="59"/>
      <c r="BC73" s="59"/>
    </row>
    <row r="74" ht="14.25" customHeight="1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  <c r="BA74" s="59"/>
      <c r="BB74" s="59"/>
      <c r="BC74" s="59"/>
    </row>
    <row r="75" ht="14.25" customHeight="1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  <c r="BA75" s="59"/>
      <c r="BB75" s="59"/>
      <c r="BC75" s="59"/>
    </row>
    <row r="76" ht="14.25" customHeight="1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  <c r="BA76" s="59"/>
      <c r="BB76" s="59"/>
      <c r="BC76" s="59"/>
    </row>
    <row r="77" ht="14.25" customHeight="1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  <c r="BA77" s="59"/>
      <c r="BB77" s="59"/>
      <c r="BC77" s="59"/>
    </row>
    <row r="78" ht="14.25" customHeight="1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ht="14.25" customHeight="1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  <c r="BA79" s="59"/>
      <c r="BB79" s="59"/>
      <c r="BC79" s="59"/>
    </row>
    <row r="80" ht="14.25" customHeight="1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  <c r="BA80" s="59"/>
      <c r="BB80" s="59"/>
      <c r="BC80" s="59"/>
    </row>
    <row r="81" ht="14.25" customHeight="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  <c r="BA81" s="59"/>
      <c r="BB81" s="59"/>
      <c r="BC81" s="59"/>
    </row>
    <row r="82" ht="14.25" customHeight="1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  <c r="BA82" s="59"/>
      <c r="BB82" s="59"/>
      <c r="BC82" s="59"/>
    </row>
    <row r="83" ht="14.25" customHeight="1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  <c r="BA83" s="59"/>
      <c r="BB83" s="59"/>
      <c r="BC83" s="59"/>
    </row>
    <row r="84" ht="14.25" customHeight="1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  <c r="BA84" s="59"/>
      <c r="BB84" s="59"/>
      <c r="BC84" s="59"/>
    </row>
    <row r="85" ht="14.25" customHeight="1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  <c r="BA85" s="59"/>
      <c r="BB85" s="59"/>
      <c r="BC85" s="59"/>
    </row>
    <row r="86" ht="14.25" customHeight="1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  <c r="BA86" s="59"/>
      <c r="BB86" s="59"/>
      <c r="BC86" s="59"/>
    </row>
    <row r="87" ht="14.25" customHeight="1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ht="14.25" customHeight="1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  <c r="BA88" s="59"/>
      <c r="BB88" s="59"/>
      <c r="BC88" s="59"/>
    </row>
    <row r="89" ht="14.25" customHeight="1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  <c r="BA89" s="59"/>
      <c r="BB89" s="59"/>
      <c r="BC89" s="59"/>
    </row>
    <row r="90" ht="14.25" customHeight="1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59"/>
      <c r="BC90" s="59"/>
    </row>
    <row r="91" ht="14.25" customHeight="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  <c r="BA91" s="59"/>
      <c r="BB91" s="59"/>
      <c r="BC91" s="59"/>
    </row>
    <row r="92" ht="14.25" customHeight="1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59"/>
      <c r="BB92" s="59"/>
      <c r="BC92" s="59"/>
    </row>
    <row r="93" ht="14.25" customHeight="1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  <c r="BA93" s="59"/>
      <c r="BB93" s="59"/>
      <c r="BC93" s="59"/>
    </row>
    <row r="94" ht="14.25" customHeight="1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  <c r="BA94" s="59"/>
      <c r="BB94" s="59"/>
      <c r="BC94" s="59"/>
    </row>
    <row r="95" ht="14.25" customHeight="1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59"/>
      <c r="BC95" s="59"/>
    </row>
    <row r="96" ht="14.25" customHeight="1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  <c r="BA96" s="59"/>
      <c r="BB96" s="59"/>
      <c r="BC96" s="59"/>
    </row>
    <row r="97" ht="14.25" customHeight="1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  <c r="BA97" s="59"/>
      <c r="BB97" s="59"/>
      <c r="BC97" s="59"/>
    </row>
    <row r="98" ht="14.25" customHeight="1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59"/>
      <c r="BC98" s="59"/>
    </row>
    <row r="99" ht="14.25" customHeight="1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  <c r="BA99" s="59"/>
      <c r="BB99" s="59"/>
      <c r="BC99" s="59"/>
    </row>
    <row r="100" ht="14.25" customHeight="1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  <c r="BA100" s="59"/>
      <c r="BB100" s="59"/>
      <c r="BC100" s="59"/>
    </row>
    <row r="101" ht="14.25" customHeight="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ht="14.25" customHeight="1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  <c r="BA102" s="59"/>
      <c r="BB102" s="59"/>
      <c r="BC102" s="59"/>
    </row>
    <row r="103" ht="14.25" customHeight="1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  <c r="BA103" s="59"/>
      <c r="BB103" s="59"/>
      <c r="BC103" s="59"/>
    </row>
    <row r="104" ht="14.2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  <c r="BA104" s="59"/>
      <c r="BB104" s="59"/>
      <c r="BC104" s="59"/>
    </row>
    <row r="105" ht="14.25" customHeight="1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</row>
    <row r="106" ht="14.25" customHeight="1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  <c r="BA106" s="59"/>
      <c r="BB106" s="59"/>
      <c r="BC106" s="59"/>
    </row>
    <row r="107" ht="14.25" customHeight="1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59"/>
      <c r="BB107" s="59"/>
      <c r="BC107" s="59"/>
    </row>
    <row r="108" ht="14.25" customHeight="1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59"/>
      <c r="BC108" s="59"/>
    </row>
    <row r="109" ht="14.25" customHeight="1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  <c r="BA109" s="59"/>
      <c r="BB109" s="59"/>
      <c r="BC109" s="59"/>
    </row>
    <row r="110" ht="14.25" customHeight="1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  <c r="BA110" s="59"/>
      <c r="BB110" s="59"/>
      <c r="BC110" s="59"/>
    </row>
    <row r="111" ht="14.25" customHeight="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ht="14.25" customHeight="1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  <c r="BA112" s="59"/>
      <c r="BB112" s="59"/>
      <c r="BC112" s="59"/>
    </row>
    <row r="113" ht="14.25" customHeight="1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  <c r="BA113" s="59"/>
      <c r="BB113" s="59"/>
      <c r="BC113" s="59"/>
    </row>
    <row r="114" ht="14.25" customHeight="1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  <c r="BA114" s="59"/>
      <c r="BB114" s="59"/>
      <c r="BC114" s="59"/>
    </row>
    <row r="115" ht="14.25" customHeight="1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  <c r="BA115" s="59"/>
      <c r="BB115" s="59"/>
      <c r="BC115" s="59"/>
    </row>
    <row r="116" ht="14.25" customHeight="1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  <c r="BA116" s="59"/>
      <c r="BB116" s="59"/>
      <c r="BC116" s="59"/>
    </row>
    <row r="117" ht="14.25" customHeight="1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  <c r="BA117" s="59"/>
      <c r="BB117" s="59"/>
      <c r="BC117" s="59"/>
    </row>
    <row r="118" ht="14.25" customHeight="1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  <c r="BA118" s="59"/>
      <c r="BB118" s="59"/>
      <c r="BC118" s="59"/>
    </row>
    <row r="119" ht="14.25" customHeight="1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  <c r="BA119" s="59"/>
      <c r="BB119" s="59"/>
      <c r="BC119" s="59"/>
    </row>
    <row r="120" ht="14.2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59"/>
      <c r="BB120" s="59"/>
      <c r="BC120" s="59"/>
    </row>
    <row r="121" ht="14.2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  <c r="BA121" s="59"/>
      <c r="BB121" s="59"/>
      <c r="BC121" s="59"/>
    </row>
    <row r="122" ht="14.2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  <c r="BA122" s="59"/>
      <c r="BB122" s="59"/>
      <c r="BC122" s="59"/>
    </row>
    <row r="123" ht="14.2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  <c r="BA123" s="59"/>
      <c r="BB123" s="59"/>
      <c r="BC123" s="59"/>
    </row>
    <row r="124" ht="14.2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  <c r="BA124" s="59"/>
      <c r="BB124" s="59"/>
      <c r="BC124" s="59"/>
    </row>
    <row r="125" ht="14.2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  <c r="BA125" s="59"/>
      <c r="BB125" s="59"/>
      <c r="BC125" s="59"/>
    </row>
    <row r="126" ht="14.2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  <c r="BA126" s="59"/>
      <c r="BB126" s="59"/>
      <c r="BC126" s="59"/>
    </row>
    <row r="127" ht="14.2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ht="14.2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  <c r="BA128" s="59"/>
      <c r="BB128" s="59"/>
      <c r="BC128" s="59"/>
    </row>
    <row r="129" ht="14.2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  <c r="BA129" s="59"/>
      <c r="BB129" s="59"/>
      <c r="BC129" s="59"/>
    </row>
    <row r="130" ht="14.2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  <c r="BA130" s="59"/>
      <c r="BB130" s="59"/>
      <c r="BC130" s="59"/>
    </row>
    <row r="131" ht="14.2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  <c r="BA131" s="59"/>
      <c r="BB131" s="59"/>
      <c r="BC131" s="59"/>
    </row>
    <row r="132" ht="14.2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  <c r="BA132" s="59"/>
      <c r="BB132" s="59"/>
      <c r="BC132" s="59"/>
    </row>
    <row r="133" ht="14.2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  <c r="BA133" s="59"/>
      <c r="BB133" s="59"/>
      <c r="BC133" s="59"/>
    </row>
    <row r="134" ht="14.2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  <c r="BA134" s="59"/>
      <c r="BB134" s="59"/>
      <c r="BC134" s="59"/>
    </row>
    <row r="135" ht="14.2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  <c r="BA135" s="59"/>
      <c r="BB135" s="59"/>
      <c r="BC135" s="59"/>
    </row>
    <row r="136" ht="14.2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ht="14.2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  <c r="BA137" s="59"/>
      <c r="BB137" s="59"/>
      <c r="BC137" s="59"/>
    </row>
    <row r="138" ht="14.2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  <c r="BA138" s="59"/>
      <c r="BB138" s="59"/>
      <c r="BC138" s="59"/>
    </row>
    <row r="139" ht="14.2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  <c r="BA139" s="59"/>
      <c r="BB139" s="59"/>
      <c r="BC139" s="59"/>
    </row>
    <row r="140" ht="14.2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  <c r="BA140" s="59"/>
      <c r="BB140" s="59"/>
      <c r="BC140" s="59"/>
    </row>
    <row r="141" ht="14.2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  <c r="BA141" s="59"/>
      <c r="BB141" s="59"/>
      <c r="BC141" s="59"/>
    </row>
    <row r="142" ht="14.2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  <c r="BA142" s="59"/>
      <c r="BB142" s="59"/>
      <c r="BC142" s="59"/>
    </row>
    <row r="143" ht="14.2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  <c r="BA143" s="59"/>
      <c r="BB143" s="59"/>
      <c r="BC143" s="59"/>
    </row>
    <row r="144" ht="14.2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  <c r="BA144" s="59"/>
      <c r="BB144" s="59"/>
      <c r="BC144" s="59"/>
    </row>
    <row r="145" ht="14.2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  <c r="BA145" s="59"/>
      <c r="BB145" s="59"/>
      <c r="BC145" s="59"/>
    </row>
    <row r="146" ht="14.2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  <c r="BA146" s="59"/>
      <c r="BB146" s="59"/>
      <c r="BC146" s="59"/>
    </row>
    <row r="147" ht="14.2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  <c r="BA147" s="59"/>
      <c r="BB147" s="59"/>
      <c r="BC147" s="59"/>
    </row>
    <row r="148" ht="14.2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  <c r="BA148" s="59"/>
      <c r="BB148" s="59"/>
      <c r="BC148" s="59"/>
    </row>
    <row r="149" ht="14.2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ht="14.2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  <c r="BA150" s="59"/>
      <c r="BB150" s="59"/>
      <c r="BC150" s="59"/>
    </row>
    <row r="151" ht="14.2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  <c r="BA151" s="59"/>
      <c r="BB151" s="59"/>
      <c r="BC151" s="59"/>
    </row>
    <row r="152" ht="14.2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  <c r="BA152" s="59"/>
      <c r="BB152" s="59"/>
      <c r="BC152" s="59"/>
    </row>
    <row r="153" ht="14.2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  <c r="BA153" s="59"/>
      <c r="BB153" s="59"/>
      <c r="BC153" s="59"/>
    </row>
    <row r="154" ht="14.2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  <c r="BA154" s="59"/>
      <c r="BB154" s="59"/>
      <c r="BC154" s="59"/>
    </row>
    <row r="155" ht="14.2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  <c r="BA155" s="59"/>
      <c r="BB155" s="59"/>
      <c r="BC155" s="59"/>
    </row>
    <row r="156" ht="14.2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  <c r="BA156" s="59"/>
      <c r="BB156" s="59"/>
      <c r="BC156" s="59"/>
    </row>
    <row r="157" ht="14.2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ht="14.2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  <c r="BA158" s="59"/>
      <c r="BB158" s="59"/>
      <c r="BC158" s="59"/>
    </row>
    <row r="159" ht="14.2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  <c r="BA159" s="59"/>
      <c r="BB159" s="59"/>
      <c r="BC159" s="59"/>
    </row>
    <row r="160" ht="14.2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  <c r="BA160" s="59"/>
      <c r="BB160" s="59"/>
      <c r="BC160" s="59"/>
    </row>
    <row r="161" ht="14.2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  <c r="BA161" s="59"/>
      <c r="BB161" s="59"/>
      <c r="BC161" s="59"/>
    </row>
    <row r="162" ht="14.2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  <c r="BA162" s="59"/>
      <c r="BB162" s="59"/>
      <c r="BC162" s="59"/>
    </row>
    <row r="163" ht="14.2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  <c r="BA163" s="59"/>
      <c r="BB163" s="59"/>
      <c r="BC163" s="59"/>
    </row>
    <row r="164" ht="14.2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  <c r="BA164" s="59"/>
      <c r="BB164" s="59"/>
      <c r="BC164" s="59"/>
    </row>
    <row r="165" ht="14.2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  <c r="BA165" s="59"/>
      <c r="BB165" s="59"/>
      <c r="BC165" s="59"/>
    </row>
    <row r="166" ht="14.2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  <c r="BA166" s="59"/>
      <c r="BB166" s="59"/>
      <c r="BC166" s="59"/>
    </row>
    <row r="167" ht="14.2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  <c r="BA167" s="59"/>
      <c r="BB167" s="59"/>
      <c r="BC167" s="59"/>
    </row>
    <row r="168" ht="14.2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  <c r="BA168" s="59"/>
      <c r="BB168" s="59"/>
      <c r="BC168" s="59"/>
    </row>
    <row r="169" ht="14.2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  <c r="BA169" s="59"/>
      <c r="BB169" s="59"/>
      <c r="BC169" s="59"/>
    </row>
    <row r="170" ht="14.2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  <c r="BA170" s="59"/>
      <c r="BB170" s="59"/>
      <c r="BC170" s="59"/>
    </row>
    <row r="171" ht="14.2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  <c r="BA171" s="59"/>
      <c r="BB171" s="59"/>
      <c r="BC171" s="59"/>
    </row>
    <row r="172" ht="14.2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  <c r="BA172" s="59"/>
      <c r="BB172" s="59"/>
      <c r="BC172" s="59"/>
    </row>
    <row r="173" ht="14.2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  <c r="BA173" s="59"/>
      <c r="BB173" s="59"/>
      <c r="BC173" s="59"/>
    </row>
    <row r="174" ht="14.2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  <c r="BA174" s="59"/>
      <c r="BB174" s="59"/>
      <c r="BC174" s="59"/>
    </row>
    <row r="175" ht="14.2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  <c r="BA175" s="59"/>
      <c r="BB175" s="59"/>
      <c r="BC175" s="59"/>
    </row>
    <row r="176" ht="14.2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  <c r="BA176" s="59"/>
      <c r="BB176" s="59"/>
      <c r="BC176" s="59"/>
    </row>
    <row r="177" ht="14.2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  <c r="BA177" s="59"/>
      <c r="BB177" s="59"/>
      <c r="BC177" s="59"/>
    </row>
    <row r="178" ht="14.2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  <c r="BA178" s="59"/>
      <c r="BB178" s="59"/>
      <c r="BC178" s="59"/>
    </row>
    <row r="179" ht="14.2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  <c r="BA179" s="59"/>
      <c r="BB179" s="59"/>
      <c r="BC179" s="59"/>
    </row>
    <row r="180" ht="14.2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  <c r="BA180" s="59"/>
      <c r="BB180" s="59"/>
      <c r="BC180" s="59"/>
    </row>
    <row r="181" ht="14.2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  <c r="BA181" s="59"/>
      <c r="BB181" s="59"/>
      <c r="BC181" s="59"/>
    </row>
    <row r="182" ht="14.2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  <c r="BA182" s="59"/>
      <c r="BB182" s="59"/>
      <c r="BC182" s="59"/>
    </row>
    <row r="183" ht="14.2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  <c r="BA183" s="59"/>
      <c r="BB183" s="59"/>
      <c r="BC183" s="59"/>
    </row>
    <row r="184" ht="14.2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  <c r="BA184" s="59"/>
      <c r="BB184" s="59"/>
      <c r="BC184" s="59"/>
    </row>
    <row r="185" ht="14.2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ht="14.2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  <c r="BA186" s="59"/>
      <c r="BB186" s="59"/>
      <c r="BC186" s="59"/>
    </row>
    <row r="187" ht="14.2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  <c r="BA187" s="59"/>
      <c r="BB187" s="59"/>
      <c r="BC187" s="59"/>
    </row>
    <row r="188" ht="14.2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59"/>
      <c r="BC188" s="59"/>
    </row>
    <row r="189" ht="14.2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  <c r="BA189" s="59"/>
      <c r="BB189" s="59"/>
      <c r="BC189" s="59"/>
    </row>
    <row r="190" ht="14.2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  <c r="BA190" s="59"/>
      <c r="BB190" s="59"/>
      <c r="BC190" s="59"/>
    </row>
    <row r="191" ht="14.2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  <c r="BA191" s="59"/>
      <c r="BB191" s="59"/>
      <c r="BC191" s="59"/>
    </row>
    <row r="192" ht="14.2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</row>
    <row r="193" ht="14.2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  <c r="BA193" s="59"/>
      <c r="BB193" s="59"/>
      <c r="BC193" s="59"/>
    </row>
    <row r="194" ht="14.2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  <c r="BA194" s="59"/>
      <c r="BB194" s="59"/>
      <c r="BC194" s="59"/>
    </row>
    <row r="195" ht="14.2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  <c r="BA195" s="59"/>
      <c r="BB195" s="59"/>
      <c r="BC195" s="59"/>
    </row>
    <row r="196" ht="14.2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</row>
    <row r="197" ht="14.2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  <c r="BA197" s="59"/>
      <c r="BB197" s="59"/>
      <c r="BC197" s="59"/>
    </row>
    <row r="198" ht="14.2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59"/>
      <c r="BC198" s="59"/>
    </row>
    <row r="199" ht="14.2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  <c r="BA199" s="59"/>
      <c r="BB199" s="59"/>
      <c r="BC199" s="59"/>
    </row>
    <row r="200" ht="14.2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  <c r="BA200" s="59"/>
      <c r="BB200" s="59"/>
      <c r="BC200" s="59"/>
    </row>
    <row r="201" ht="14.2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  <c r="BA201" s="59"/>
      <c r="BB201" s="59"/>
      <c r="BC201" s="59"/>
    </row>
    <row r="202" ht="14.2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  <c r="BA202" s="59"/>
      <c r="BB202" s="59"/>
      <c r="BC202" s="59"/>
    </row>
    <row r="203" ht="14.2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  <c r="BA203" s="59"/>
      <c r="BB203" s="59"/>
      <c r="BC203" s="59"/>
    </row>
    <row r="204" ht="14.2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  <c r="BA204" s="59"/>
      <c r="BB204" s="59"/>
      <c r="BC204" s="59"/>
    </row>
    <row r="205" ht="14.2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ht="14.25" customHeight="1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  <c r="BA206" s="59"/>
      <c r="BB206" s="59"/>
      <c r="BC206" s="59"/>
    </row>
    <row r="207" ht="14.25" customHeight="1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  <c r="BA207" s="59"/>
      <c r="BB207" s="59"/>
      <c r="BC207" s="59"/>
    </row>
    <row r="208" ht="14.25" customHeight="1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  <c r="BA208" s="59"/>
      <c r="BB208" s="59"/>
      <c r="BC208" s="59"/>
    </row>
    <row r="209" ht="14.25" customHeight="1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  <c r="BA209" s="59"/>
      <c r="BB209" s="59"/>
      <c r="BC209" s="59"/>
    </row>
    <row r="210" ht="14.25" customHeight="1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  <c r="BA210" s="59"/>
      <c r="BB210" s="59"/>
      <c r="BC210" s="59"/>
    </row>
    <row r="211" ht="14.25" customHeight="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  <c r="BA211" s="59"/>
      <c r="BB211" s="59"/>
      <c r="BC211" s="59"/>
    </row>
    <row r="212" ht="14.25" customHeight="1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  <c r="BA212" s="59"/>
      <c r="BB212" s="59"/>
      <c r="BC212" s="59"/>
    </row>
    <row r="213" ht="14.25" customHeight="1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  <c r="BA213" s="59"/>
      <c r="BB213" s="59"/>
      <c r="BC213" s="59"/>
    </row>
    <row r="214" ht="14.25" customHeight="1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  <c r="BA214" s="59"/>
      <c r="BB214" s="59"/>
      <c r="BC214" s="59"/>
    </row>
    <row r="215" ht="14.25" customHeight="1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  <c r="BA215" s="59"/>
      <c r="BB215" s="59"/>
      <c r="BC215" s="59"/>
    </row>
    <row r="216" ht="14.25" customHeight="1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  <c r="BA216" s="59"/>
      <c r="BB216" s="59"/>
      <c r="BC216" s="59"/>
    </row>
    <row r="217" ht="14.25" customHeight="1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  <c r="BA217" s="59"/>
      <c r="BB217" s="59"/>
      <c r="BC217" s="59"/>
    </row>
    <row r="218" ht="14.25" customHeight="1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  <c r="BA218" s="59"/>
      <c r="BB218" s="59"/>
      <c r="BC218" s="59"/>
    </row>
    <row r="219" ht="14.25" customHeight="1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  <c r="BA219" s="59"/>
      <c r="BB219" s="59"/>
      <c r="BC219" s="59"/>
    </row>
    <row r="220" ht="14.25" customHeight="1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  <c r="BA220" s="59"/>
      <c r="BB220" s="59"/>
      <c r="BC220" s="59"/>
    </row>
    <row r="221" ht="14.25" customHeight="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  <c r="BA221" s="59"/>
      <c r="BB221" s="59"/>
      <c r="BC221" s="59"/>
    </row>
    <row r="222" ht="14.25" customHeight="1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  <c r="BA222" s="59"/>
      <c r="BB222" s="59"/>
      <c r="BC222" s="59"/>
    </row>
    <row r="223" ht="14.25" customHeight="1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</row>
    <row r="224" ht="14.25" customHeight="1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  <c r="BA224" s="59"/>
      <c r="BB224" s="59"/>
      <c r="BC224" s="59"/>
    </row>
    <row r="225" ht="14.25" customHeight="1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ht="14.25" customHeight="1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  <c r="BA226" s="59"/>
      <c r="BB226" s="59"/>
      <c r="BC226" s="59"/>
    </row>
    <row r="227" ht="14.25" customHeight="1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  <c r="BA227" s="59"/>
      <c r="BB227" s="59"/>
      <c r="BC227" s="59"/>
    </row>
    <row r="228" ht="14.25" customHeight="1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  <c r="BA228" s="59"/>
      <c r="BB228" s="59"/>
      <c r="BC228" s="59"/>
    </row>
    <row r="229" ht="14.25" customHeight="1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  <c r="BA229" s="59"/>
      <c r="BB229" s="59"/>
      <c r="BC229" s="59"/>
    </row>
    <row r="230" ht="14.25" customHeight="1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  <c r="BA230" s="59"/>
      <c r="BB230" s="59"/>
      <c r="BC230" s="59"/>
    </row>
    <row r="231" ht="14.25" customHeight="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  <c r="BA231" s="59"/>
      <c r="BB231" s="59"/>
      <c r="BC231" s="59"/>
    </row>
    <row r="232" ht="14.25" customHeight="1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  <c r="BA232" s="59"/>
      <c r="BB232" s="59"/>
      <c r="BC232" s="59"/>
    </row>
    <row r="233" ht="14.25" customHeight="1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  <c r="BA233" s="59"/>
      <c r="BB233" s="59"/>
      <c r="BC233" s="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9">
    <mergeCell ref="AP14:AQ14"/>
    <mergeCell ref="AR14:AS14"/>
    <mergeCell ref="AT14:AU14"/>
    <mergeCell ref="AV14:AW14"/>
    <mergeCell ref="AX14:AZ14"/>
    <mergeCell ref="BA14:BC14"/>
    <mergeCell ref="AB14:AC14"/>
    <mergeCell ref="AD14:AE14"/>
    <mergeCell ref="AF14:AG14"/>
    <mergeCell ref="AH14:AI14"/>
    <mergeCell ref="AJ14:AK14"/>
    <mergeCell ref="AL14:AM14"/>
    <mergeCell ref="AN14:AO14"/>
    <mergeCell ref="A14:O14"/>
    <mergeCell ref="P14:Q14"/>
    <mergeCell ref="R14:S14"/>
    <mergeCell ref="T14:U14"/>
    <mergeCell ref="V14:W14"/>
    <mergeCell ref="X14:Y14"/>
    <mergeCell ref="Z14:AA14"/>
    <mergeCell ref="AB15:AC15"/>
    <mergeCell ref="AD15:AE15"/>
    <mergeCell ref="AF15:AG15"/>
    <mergeCell ref="AH15:AI15"/>
    <mergeCell ref="AJ15:AK15"/>
    <mergeCell ref="AL15:AM15"/>
    <mergeCell ref="AN15:AO15"/>
    <mergeCell ref="AV16:AW16"/>
    <mergeCell ref="AX16:AZ16"/>
    <mergeCell ref="AT17:AU17"/>
    <mergeCell ref="AV17:AW17"/>
    <mergeCell ref="AX17:AZ17"/>
    <mergeCell ref="BA17:BC17"/>
    <mergeCell ref="AP15:AQ15"/>
    <mergeCell ref="AR15:AS15"/>
    <mergeCell ref="AT15:AU15"/>
    <mergeCell ref="AV15:AW15"/>
    <mergeCell ref="AX15:AZ15"/>
    <mergeCell ref="BA15:BC15"/>
    <mergeCell ref="AT16:AU16"/>
    <mergeCell ref="BA16:BC16"/>
    <mergeCell ref="A17:O17"/>
    <mergeCell ref="P17:Q17"/>
    <mergeCell ref="R17:S17"/>
    <mergeCell ref="T17:U17"/>
    <mergeCell ref="V17:W17"/>
    <mergeCell ref="X17:Y17"/>
    <mergeCell ref="Z17:AA17"/>
    <mergeCell ref="A21:AQ22"/>
    <mergeCell ref="AR21:AW22"/>
    <mergeCell ref="AX21:BC22"/>
    <mergeCell ref="A23:BC23"/>
    <mergeCell ref="A24:BC24"/>
    <mergeCell ref="A25:BC25"/>
    <mergeCell ref="A26:BC26"/>
    <mergeCell ref="A27:BC27"/>
    <mergeCell ref="X28:AM28"/>
    <mergeCell ref="AN28:BC28"/>
    <mergeCell ref="X29:AM30"/>
    <mergeCell ref="AN29:BC30"/>
    <mergeCell ref="X31:AM31"/>
    <mergeCell ref="AN31:BC31"/>
    <mergeCell ref="A15:O15"/>
    <mergeCell ref="P15:Q15"/>
    <mergeCell ref="R15:S15"/>
    <mergeCell ref="T15:U15"/>
    <mergeCell ref="V15:W15"/>
    <mergeCell ref="X15:Y15"/>
    <mergeCell ref="Z15:AA15"/>
    <mergeCell ref="A16:O16"/>
    <mergeCell ref="P16:Q16"/>
    <mergeCell ref="R16:S16"/>
    <mergeCell ref="T16:U16"/>
    <mergeCell ref="V16:W16"/>
    <mergeCell ref="X16:Y16"/>
    <mergeCell ref="Z16:AA16"/>
    <mergeCell ref="AP18:AQ18"/>
    <mergeCell ref="AR18:AS18"/>
    <mergeCell ref="AT18:AU18"/>
    <mergeCell ref="AV18:AW18"/>
    <mergeCell ref="AX18:AZ18"/>
    <mergeCell ref="BA18:BC18"/>
    <mergeCell ref="AB18:AC18"/>
    <mergeCell ref="AD18:AE18"/>
    <mergeCell ref="AF18:AG18"/>
    <mergeCell ref="AH18:AI18"/>
    <mergeCell ref="AJ18:AK18"/>
    <mergeCell ref="AL18:AM18"/>
    <mergeCell ref="AN18:AO18"/>
    <mergeCell ref="A18:O18"/>
    <mergeCell ref="P18:Q18"/>
    <mergeCell ref="R18:S18"/>
    <mergeCell ref="T18:U18"/>
    <mergeCell ref="V18:W18"/>
    <mergeCell ref="X18:Y18"/>
    <mergeCell ref="Z18:AA18"/>
    <mergeCell ref="AP19:AQ19"/>
    <mergeCell ref="AR19:AS19"/>
    <mergeCell ref="AT19:AU19"/>
    <mergeCell ref="AV19:AW19"/>
    <mergeCell ref="AX19:AZ19"/>
    <mergeCell ref="BA19:BC19"/>
    <mergeCell ref="AT20:AU20"/>
    <mergeCell ref="BA20:BC20"/>
    <mergeCell ref="X32:AM32"/>
    <mergeCell ref="AN32:BC32"/>
    <mergeCell ref="X33:AM33"/>
    <mergeCell ref="AN33:BC33"/>
    <mergeCell ref="A1:E4"/>
    <mergeCell ref="F1:J4"/>
    <mergeCell ref="K1:AU1"/>
    <mergeCell ref="AV1:BC4"/>
    <mergeCell ref="K2:AU4"/>
    <mergeCell ref="A5:F5"/>
    <mergeCell ref="G5:BC5"/>
    <mergeCell ref="AU6:AW6"/>
    <mergeCell ref="AU7:AW7"/>
    <mergeCell ref="AX7:AZ7"/>
    <mergeCell ref="BA7:BC7"/>
    <mergeCell ref="J6:Q6"/>
    <mergeCell ref="R6:W6"/>
    <mergeCell ref="X6:AO6"/>
    <mergeCell ref="AP6:AT7"/>
    <mergeCell ref="AX6:AZ6"/>
    <mergeCell ref="BA6:BC6"/>
    <mergeCell ref="X7:AO7"/>
    <mergeCell ref="A8:BC8"/>
    <mergeCell ref="AF9:AK10"/>
    <mergeCell ref="AL9:AQ10"/>
    <mergeCell ref="AR9:AW10"/>
    <mergeCell ref="AX9:BC10"/>
    <mergeCell ref="P11:Q12"/>
    <mergeCell ref="R11:S12"/>
    <mergeCell ref="AP11:AQ12"/>
    <mergeCell ref="AR11:AS12"/>
    <mergeCell ref="AT11:AU12"/>
    <mergeCell ref="AV11:AW12"/>
    <mergeCell ref="AX11:AZ12"/>
    <mergeCell ref="BA11:BC12"/>
    <mergeCell ref="T11:U12"/>
    <mergeCell ref="V11:W12"/>
    <mergeCell ref="AF11:AG12"/>
    <mergeCell ref="AH11:AI12"/>
    <mergeCell ref="AJ11:AK12"/>
    <mergeCell ref="AL11:AM12"/>
    <mergeCell ref="AN11:AO12"/>
    <mergeCell ref="G7:Q7"/>
    <mergeCell ref="R7:W7"/>
    <mergeCell ref="X11:Y12"/>
    <mergeCell ref="Z11:AA12"/>
    <mergeCell ref="AB11:AC12"/>
    <mergeCell ref="AD11:AE12"/>
    <mergeCell ref="A6:I6"/>
    <mergeCell ref="A7:F7"/>
    <mergeCell ref="A9:O12"/>
    <mergeCell ref="P9:S10"/>
    <mergeCell ref="T9:W10"/>
    <mergeCell ref="X9:AA10"/>
    <mergeCell ref="AB9:AE10"/>
    <mergeCell ref="AP13:AQ13"/>
    <mergeCell ref="AR13:AS13"/>
    <mergeCell ref="AT13:AU13"/>
    <mergeCell ref="AV13:AW13"/>
    <mergeCell ref="AX13:AZ13"/>
    <mergeCell ref="BA13:BC13"/>
    <mergeCell ref="AB13:AC13"/>
    <mergeCell ref="AD13:AE13"/>
    <mergeCell ref="AF13:AG13"/>
    <mergeCell ref="AH13:AI13"/>
    <mergeCell ref="AJ13:AK13"/>
    <mergeCell ref="AL13:AM13"/>
    <mergeCell ref="AN13:AO13"/>
    <mergeCell ref="A13:O13"/>
    <mergeCell ref="P13:Q13"/>
    <mergeCell ref="R13:S13"/>
    <mergeCell ref="T13:U13"/>
    <mergeCell ref="V13:W13"/>
    <mergeCell ref="X13:Y13"/>
    <mergeCell ref="Z13:AA13"/>
    <mergeCell ref="AP16:AQ16"/>
    <mergeCell ref="AR16:AS16"/>
    <mergeCell ref="AB16:AC16"/>
    <mergeCell ref="AD16:AE16"/>
    <mergeCell ref="AF16:AG16"/>
    <mergeCell ref="AH16:AI16"/>
    <mergeCell ref="AJ16:AK16"/>
    <mergeCell ref="AL16:AM16"/>
    <mergeCell ref="AN16:AO16"/>
    <mergeCell ref="AP17:AQ17"/>
    <mergeCell ref="AR17:AS17"/>
    <mergeCell ref="AB17:AC17"/>
    <mergeCell ref="AD17:AE17"/>
    <mergeCell ref="AF17:AG17"/>
    <mergeCell ref="AH17:AI17"/>
    <mergeCell ref="AJ17:AK17"/>
    <mergeCell ref="AL17:AM17"/>
    <mergeCell ref="AN17:AO17"/>
    <mergeCell ref="AB19:AC19"/>
    <mergeCell ref="AD19:AE19"/>
    <mergeCell ref="AF19:AG19"/>
    <mergeCell ref="AH19:AI19"/>
    <mergeCell ref="AJ19:AK19"/>
    <mergeCell ref="AL19:AM19"/>
    <mergeCell ref="AN19:AO19"/>
    <mergeCell ref="A19:O19"/>
    <mergeCell ref="P19:Q19"/>
    <mergeCell ref="R19:S19"/>
    <mergeCell ref="T19:U19"/>
    <mergeCell ref="V19:W19"/>
    <mergeCell ref="X19:Y19"/>
    <mergeCell ref="Z19:AA19"/>
    <mergeCell ref="AP20:AQ20"/>
    <mergeCell ref="AR20:AS20"/>
    <mergeCell ref="AB20:AC20"/>
    <mergeCell ref="AD20:AE20"/>
    <mergeCell ref="AF20:AG20"/>
    <mergeCell ref="AH20:AI20"/>
    <mergeCell ref="AJ20:AK20"/>
    <mergeCell ref="AL20:AM20"/>
    <mergeCell ref="AN20:AO20"/>
    <mergeCell ref="AV20:AW20"/>
    <mergeCell ref="AX20:AZ20"/>
    <mergeCell ref="A20:O20"/>
    <mergeCell ref="P20:Q20"/>
    <mergeCell ref="R20:S20"/>
    <mergeCell ref="T20:U20"/>
    <mergeCell ref="V20:W20"/>
    <mergeCell ref="X20:Y20"/>
    <mergeCell ref="Z20:AA20"/>
  </mergeCells>
  <printOptions/>
  <pageMargins bottom="0.3937007874015748" footer="0.0" header="0.0" left="0.5511811023622047" right="0.3543307086614174" top="0.3543307086614174"/>
  <pageSetup fitToHeight="0" orientation="landscape"/>
  <headerFooter>
    <oddFooter>&amp;C Secretaría de Educación del Distrito - Dirección de Bienestar Estudiantil - Programa de Alimentación Escolar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3.71"/>
    <col customWidth="1" min="5" max="5" width="4.29"/>
    <col customWidth="1" min="6" max="10" width="3.71"/>
    <col customWidth="1" min="11" max="11" width="4.43"/>
    <col customWidth="1" min="12" max="20" width="3.71"/>
    <col customWidth="1" min="21" max="21" width="4.71"/>
    <col customWidth="1" min="22" max="22" width="3.71"/>
    <col customWidth="1" min="23" max="23" width="14.29"/>
    <col customWidth="1" min="24" max="31" width="3.71"/>
    <col customWidth="1" min="32" max="32" width="5.57"/>
    <col customWidth="1" min="33" max="33" width="6.71"/>
    <col customWidth="1" min="34" max="35" width="3.71"/>
    <col customWidth="1" min="36" max="36" width="0.14"/>
    <col customWidth="1" min="37" max="39" width="3.71"/>
    <col customWidth="1" min="40" max="40" width="8.86"/>
    <col customWidth="1" min="41" max="54" width="11.43"/>
  </cols>
  <sheetData>
    <row r="1" ht="34.5" customHeight="1">
      <c r="A1" s="60"/>
      <c r="B1" s="2"/>
      <c r="C1" s="2"/>
      <c r="D1" s="2"/>
      <c r="E1" s="2"/>
      <c r="F1" s="61"/>
      <c r="G1" s="2"/>
      <c r="H1" s="2"/>
      <c r="I1" s="2"/>
      <c r="J1" s="2"/>
      <c r="K1" s="4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6"/>
      <c r="AG1" s="62" t="s">
        <v>1</v>
      </c>
      <c r="AH1" s="12"/>
      <c r="AI1" s="12"/>
      <c r="AJ1" s="12"/>
      <c r="AK1" s="12"/>
      <c r="AL1" s="12"/>
      <c r="AM1" s="12"/>
      <c r="AN1" s="1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2" ht="25.5" customHeight="1">
      <c r="A2" s="9"/>
      <c r="F2" s="10"/>
      <c r="K2" s="4" t="s">
        <v>45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6"/>
      <c r="AG2" s="14"/>
      <c r="AN2" s="15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</row>
    <row r="3" ht="15.0" customHeight="1">
      <c r="A3" s="9"/>
      <c r="F3" s="10"/>
      <c r="K3" s="11" t="s">
        <v>46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4"/>
      <c r="AN3" s="15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ht="15.0" customHeight="1">
      <c r="A4" s="9"/>
      <c r="F4" s="10"/>
      <c r="K4" s="14"/>
      <c r="AF4" s="15"/>
      <c r="AG4" s="14"/>
      <c r="AN4" s="15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</row>
    <row r="5" ht="15.0" customHeight="1">
      <c r="A5" s="16"/>
      <c r="B5" s="17"/>
      <c r="C5" s="17"/>
      <c r="D5" s="17"/>
      <c r="E5" s="17"/>
      <c r="F5" s="65"/>
      <c r="G5" s="17"/>
      <c r="H5" s="17"/>
      <c r="I5" s="17"/>
      <c r="J5" s="17"/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20"/>
      <c r="AG5" s="18"/>
      <c r="AH5" s="19"/>
      <c r="AI5" s="19"/>
      <c r="AJ5" s="19"/>
      <c r="AK5" s="19"/>
      <c r="AL5" s="19"/>
      <c r="AM5" s="19"/>
      <c r="AN5" s="20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</row>
    <row r="6" ht="19.5" customHeight="1">
      <c r="A6" s="66" t="s">
        <v>47</v>
      </c>
      <c r="B6" s="5"/>
      <c r="C6" s="5"/>
      <c r="D6" s="5"/>
      <c r="E6" s="5"/>
      <c r="F6" s="6"/>
      <c r="G6" s="66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</row>
    <row r="7" ht="24.0" customHeight="1">
      <c r="A7" s="43" t="s">
        <v>5</v>
      </c>
      <c r="B7" s="5"/>
      <c r="C7" s="5"/>
      <c r="D7" s="5"/>
      <c r="E7" s="5"/>
      <c r="F7" s="6"/>
      <c r="G7" s="67">
        <v>2.0</v>
      </c>
      <c r="H7" s="5"/>
      <c r="I7" s="5"/>
      <c r="J7" s="5"/>
      <c r="K7" s="5"/>
      <c r="L7" s="5"/>
      <c r="M7" s="5"/>
      <c r="N7" s="6"/>
      <c r="O7" s="68" t="s">
        <v>6</v>
      </c>
      <c r="P7" s="5"/>
      <c r="Q7" s="5"/>
      <c r="R7" s="5"/>
      <c r="S7" s="5"/>
      <c r="T7" s="5"/>
      <c r="U7" s="5"/>
      <c r="V7" s="5"/>
      <c r="W7" s="6"/>
      <c r="X7" s="69" t="s">
        <v>49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6"/>
      <c r="AO7" s="64"/>
      <c r="AP7" s="70"/>
      <c r="AQ7" s="30"/>
      <c r="AR7" s="30"/>
      <c r="AS7" s="30"/>
      <c r="AT7" s="30"/>
      <c r="AU7" s="71"/>
      <c r="AV7" s="25"/>
      <c r="AW7" s="25"/>
      <c r="AX7" s="72"/>
      <c r="AY7" s="25"/>
      <c r="AZ7" s="25"/>
      <c r="BA7" s="73"/>
      <c r="BB7" s="25"/>
    </row>
    <row r="8" ht="21.75" customHeight="1">
      <c r="A8" s="69" t="s">
        <v>12</v>
      </c>
      <c r="B8" s="5"/>
      <c r="C8" s="5"/>
      <c r="D8" s="5"/>
      <c r="E8" s="5"/>
      <c r="F8" s="6"/>
      <c r="G8" s="66" t="s">
        <v>50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6"/>
      <c r="T8" s="69" t="s">
        <v>51</v>
      </c>
      <c r="U8" s="5"/>
      <c r="V8" s="5"/>
      <c r="W8" s="6"/>
      <c r="X8" s="69"/>
      <c r="Y8" s="5"/>
      <c r="Z8" s="5"/>
      <c r="AA8" s="5"/>
      <c r="AB8" s="5"/>
      <c r="AC8" s="5"/>
      <c r="AD8" s="6"/>
      <c r="AE8" s="66" t="s">
        <v>52</v>
      </c>
      <c r="AF8" s="5"/>
      <c r="AG8" s="5"/>
      <c r="AH8" s="5"/>
      <c r="AI8" s="5"/>
      <c r="AJ8" s="6"/>
      <c r="AK8" s="69"/>
      <c r="AL8" s="5"/>
      <c r="AM8" s="5"/>
      <c r="AN8" s="6"/>
      <c r="AO8" s="64"/>
      <c r="AP8" s="10"/>
      <c r="AU8" s="74"/>
      <c r="AV8" s="25"/>
      <c r="AW8" s="25"/>
      <c r="AX8" s="59"/>
      <c r="BA8" s="59"/>
    </row>
    <row r="9" ht="45.0" customHeight="1">
      <c r="A9" s="75" t="s">
        <v>8</v>
      </c>
      <c r="B9" s="12"/>
      <c r="C9" s="12"/>
      <c r="D9" s="12"/>
      <c r="E9" s="12"/>
      <c r="F9" s="13"/>
      <c r="G9" s="76" t="s">
        <v>9</v>
      </c>
      <c r="H9" s="5"/>
      <c r="I9" s="5"/>
      <c r="J9" s="5"/>
      <c r="K9" s="6"/>
      <c r="L9" s="77" t="s">
        <v>10</v>
      </c>
      <c r="M9" s="12"/>
      <c r="N9" s="12"/>
      <c r="O9" s="12"/>
      <c r="P9" s="12"/>
      <c r="Q9" s="76" t="s">
        <v>11</v>
      </c>
      <c r="R9" s="5"/>
      <c r="S9" s="5"/>
      <c r="T9" s="6"/>
      <c r="U9" s="78" t="s">
        <v>53</v>
      </c>
      <c r="V9" s="5"/>
      <c r="W9" s="6"/>
      <c r="X9" s="78"/>
      <c r="Y9" s="5"/>
      <c r="Z9" s="5"/>
      <c r="AA9" s="5"/>
      <c r="AB9" s="5"/>
      <c r="AC9" s="5"/>
      <c r="AD9" s="6"/>
      <c r="AE9" s="78" t="s">
        <v>54</v>
      </c>
      <c r="AF9" s="5"/>
      <c r="AG9" s="6"/>
      <c r="AH9" s="79"/>
      <c r="AI9" s="5"/>
      <c r="AJ9" s="5"/>
      <c r="AK9" s="5"/>
      <c r="AL9" s="5"/>
      <c r="AM9" s="5"/>
      <c r="AN9" s="6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</row>
    <row r="10" ht="37.5" customHeight="1">
      <c r="A10" s="18"/>
      <c r="B10" s="19"/>
      <c r="C10" s="19"/>
      <c r="D10" s="19"/>
      <c r="E10" s="19"/>
      <c r="F10" s="20"/>
      <c r="G10" s="69"/>
      <c r="H10" s="5"/>
      <c r="I10" s="5"/>
      <c r="J10" s="5"/>
      <c r="K10" s="6"/>
      <c r="L10" s="76"/>
      <c r="M10" s="5"/>
      <c r="N10" s="5"/>
      <c r="O10" s="5"/>
      <c r="P10" s="6"/>
      <c r="Q10" s="76" t="s">
        <v>14</v>
      </c>
      <c r="R10" s="5"/>
      <c r="S10" s="5"/>
      <c r="T10" s="6"/>
      <c r="U10" s="78" t="s">
        <v>55</v>
      </c>
      <c r="V10" s="5"/>
      <c r="W10" s="6"/>
      <c r="X10" s="69"/>
      <c r="Y10" s="5"/>
      <c r="Z10" s="5"/>
      <c r="AA10" s="5"/>
      <c r="AB10" s="5"/>
      <c r="AC10" s="5"/>
      <c r="AD10" s="6"/>
      <c r="AE10" s="78" t="s">
        <v>56</v>
      </c>
      <c r="AF10" s="5"/>
      <c r="AG10" s="6"/>
      <c r="AH10" s="69"/>
      <c r="AI10" s="5"/>
      <c r="AJ10" s="5"/>
      <c r="AK10" s="5"/>
      <c r="AL10" s="5"/>
      <c r="AM10" s="5"/>
      <c r="AN10" s="6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</row>
    <row r="11" ht="15.0" customHeight="1">
      <c r="A11" s="80" t="s">
        <v>57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2"/>
      <c r="AP11" s="82"/>
      <c r="AQ11" s="82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</row>
    <row r="12" ht="3.75" customHeight="1">
      <c r="A12" s="83"/>
      <c r="B12" s="84"/>
      <c r="C12" s="84"/>
      <c r="D12" s="84"/>
      <c r="E12" s="84"/>
      <c r="F12" s="84"/>
      <c r="G12" s="84"/>
      <c r="H12" s="84"/>
      <c r="I12" s="84"/>
      <c r="J12" s="84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ht="15.0" customHeight="1">
      <c r="A13" s="86" t="s">
        <v>58</v>
      </c>
      <c r="B13" s="30"/>
      <c r="C13" s="30"/>
      <c r="D13" s="30"/>
      <c r="E13" s="30"/>
      <c r="F13" s="54" t="s">
        <v>59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</row>
    <row r="14" ht="14.25" customHeight="1">
      <c r="A14" s="9"/>
      <c r="F14" s="14"/>
      <c r="AM14" s="15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</row>
    <row r="15" ht="14.25" customHeight="1">
      <c r="A15" s="9"/>
      <c r="F15" s="18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20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</row>
    <row r="16" ht="15.0" customHeight="1">
      <c r="A16" s="38" t="s">
        <v>60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6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</row>
    <row r="17" ht="14.25" customHeight="1">
      <c r="A17" s="89"/>
      <c r="B17" s="90" t="s">
        <v>61</v>
      </c>
      <c r="C17" s="91"/>
      <c r="D17" s="91"/>
      <c r="E17" s="91"/>
      <c r="F17" s="91"/>
      <c r="G17" s="91"/>
      <c r="H17" s="91"/>
      <c r="I17" s="91"/>
      <c r="J17" s="91"/>
      <c r="K17" s="91"/>
      <c r="L17" s="22" t="s">
        <v>62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6"/>
      <c r="AN17" s="92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</row>
    <row r="18" ht="14.25" customHeight="1">
      <c r="A18" s="89"/>
      <c r="B18" s="90" t="s">
        <v>63</v>
      </c>
      <c r="C18" s="91"/>
      <c r="D18" s="91"/>
      <c r="E18" s="91"/>
      <c r="F18" s="94"/>
      <c r="G18" s="95" t="s">
        <v>64</v>
      </c>
      <c r="H18" s="91"/>
      <c r="I18" s="91"/>
      <c r="J18" s="91"/>
      <c r="K18" s="94"/>
      <c r="L18" s="96" t="s">
        <v>65</v>
      </c>
      <c r="M18" s="17"/>
      <c r="N18" s="97"/>
      <c r="O18" s="96">
        <v>1.0</v>
      </c>
      <c r="P18" s="17"/>
      <c r="Q18" s="97"/>
      <c r="R18" s="98" t="s">
        <v>66</v>
      </c>
      <c r="S18" s="17"/>
      <c r="T18" s="17"/>
      <c r="U18" s="17"/>
      <c r="V18" s="17"/>
      <c r="W18" s="17"/>
      <c r="X18" s="97"/>
      <c r="Y18" s="96">
        <v>2.0</v>
      </c>
      <c r="Z18" s="17"/>
      <c r="AA18" s="17"/>
      <c r="AB18" s="97"/>
      <c r="AC18" s="96" t="s">
        <v>67</v>
      </c>
      <c r="AD18" s="17"/>
      <c r="AE18" s="17"/>
      <c r="AF18" s="97"/>
      <c r="AG18" s="96" t="s">
        <v>68</v>
      </c>
      <c r="AH18" s="17"/>
      <c r="AI18" s="17"/>
      <c r="AJ18" s="17"/>
      <c r="AK18" s="17"/>
      <c r="AL18" s="17"/>
      <c r="AM18" s="97"/>
      <c r="AN18" s="92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</row>
    <row r="19" ht="3.75" customHeight="1">
      <c r="A19" s="9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100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</row>
    <row r="20" ht="15.0" customHeight="1">
      <c r="A20" s="38" t="s">
        <v>69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6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</row>
    <row r="21" ht="45.0" customHeight="1">
      <c r="A21" s="101" t="s">
        <v>70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6"/>
      <c r="P21" s="102" t="s">
        <v>71</v>
      </c>
      <c r="Q21" s="103"/>
      <c r="R21" s="103"/>
      <c r="S21" s="103"/>
      <c r="T21" s="104"/>
      <c r="U21" s="105" t="s">
        <v>72</v>
      </c>
      <c r="V21" s="103"/>
      <c r="W21" s="103"/>
      <c r="X21" s="103"/>
      <c r="Y21" s="104"/>
      <c r="Z21" s="105"/>
      <c r="AA21" s="103"/>
      <c r="AB21" s="103"/>
      <c r="AC21" s="103"/>
      <c r="AD21" s="104"/>
      <c r="AE21" s="105"/>
      <c r="AF21" s="103"/>
      <c r="AG21" s="103"/>
      <c r="AH21" s="103"/>
      <c r="AI21" s="104"/>
      <c r="AJ21" s="105"/>
      <c r="AK21" s="103"/>
      <c r="AL21" s="103"/>
      <c r="AM21" s="103"/>
      <c r="AN21" s="104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4.25" customHeight="1">
      <c r="A22" s="106" t="s">
        <v>73</v>
      </c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4"/>
      <c r="P22" s="107">
        <v>0.4722222222222222</v>
      </c>
      <c r="Q22" s="91"/>
      <c r="R22" s="91"/>
      <c r="S22" s="91"/>
      <c r="T22" s="94"/>
      <c r="U22" s="108"/>
      <c r="V22" s="91"/>
      <c r="W22" s="91"/>
      <c r="X22" s="91"/>
      <c r="Y22" s="94"/>
      <c r="Z22" s="108"/>
      <c r="AA22" s="91"/>
      <c r="AB22" s="91"/>
      <c r="AC22" s="91"/>
      <c r="AD22" s="94"/>
      <c r="AE22" s="108"/>
      <c r="AF22" s="91"/>
      <c r="AG22" s="91"/>
      <c r="AH22" s="91"/>
      <c r="AI22" s="94"/>
      <c r="AJ22" s="108"/>
      <c r="AK22" s="91"/>
      <c r="AL22" s="91"/>
      <c r="AM22" s="91"/>
      <c r="AN22" s="94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</row>
    <row r="23" ht="14.25" customHeight="1">
      <c r="A23" s="109" t="s">
        <v>74</v>
      </c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4"/>
      <c r="P23" s="107">
        <v>0.4826388888888889</v>
      </c>
      <c r="Q23" s="91"/>
      <c r="R23" s="91"/>
      <c r="S23" s="91"/>
      <c r="T23" s="94"/>
      <c r="U23" s="108"/>
      <c r="V23" s="91"/>
      <c r="W23" s="91"/>
      <c r="X23" s="91"/>
      <c r="Y23" s="94"/>
      <c r="Z23" s="108"/>
      <c r="AA23" s="91"/>
      <c r="AB23" s="91"/>
      <c r="AC23" s="91"/>
      <c r="AD23" s="94"/>
      <c r="AE23" s="108"/>
      <c r="AF23" s="91"/>
      <c r="AG23" s="91"/>
      <c r="AH23" s="91"/>
      <c r="AI23" s="94"/>
      <c r="AJ23" s="108"/>
      <c r="AK23" s="91"/>
      <c r="AL23" s="91"/>
      <c r="AM23" s="91"/>
      <c r="AN23" s="94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</row>
    <row r="24" ht="14.25" customHeight="1">
      <c r="A24" s="109" t="s">
        <v>75</v>
      </c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4"/>
      <c r="P24" s="108" t="s">
        <v>76</v>
      </c>
      <c r="Q24" s="91"/>
      <c r="R24" s="91"/>
      <c r="S24" s="91"/>
      <c r="T24" s="94"/>
      <c r="U24" s="108"/>
      <c r="V24" s="91"/>
      <c r="W24" s="91"/>
      <c r="X24" s="91"/>
      <c r="Y24" s="94"/>
      <c r="Z24" s="108"/>
      <c r="AA24" s="91"/>
      <c r="AB24" s="91"/>
      <c r="AC24" s="91"/>
      <c r="AD24" s="94"/>
      <c r="AE24" s="108"/>
      <c r="AF24" s="91"/>
      <c r="AG24" s="91"/>
      <c r="AH24" s="91"/>
      <c r="AI24" s="94"/>
      <c r="AJ24" s="108"/>
      <c r="AK24" s="91"/>
      <c r="AL24" s="91"/>
      <c r="AM24" s="91"/>
      <c r="AN24" s="94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</row>
    <row r="25" ht="14.25" customHeight="1">
      <c r="A25" s="109" t="s">
        <v>77</v>
      </c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4"/>
      <c r="P25" s="108"/>
      <c r="Q25" s="91"/>
      <c r="R25" s="91"/>
      <c r="S25" s="91"/>
      <c r="T25" s="94"/>
      <c r="U25" s="108"/>
      <c r="V25" s="91"/>
      <c r="W25" s="91"/>
      <c r="X25" s="91"/>
      <c r="Y25" s="94"/>
      <c r="Z25" s="108"/>
      <c r="AA25" s="91"/>
      <c r="AB25" s="91"/>
      <c r="AC25" s="91"/>
      <c r="AD25" s="94"/>
      <c r="AE25" s="108"/>
      <c r="AF25" s="91"/>
      <c r="AG25" s="91"/>
      <c r="AH25" s="91"/>
      <c r="AI25" s="94"/>
      <c r="AJ25" s="108"/>
      <c r="AK25" s="91"/>
      <c r="AL25" s="91"/>
      <c r="AM25" s="91"/>
      <c r="AN25" s="94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</row>
    <row r="26" ht="15.0" customHeight="1">
      <c r="A26" s="110" t="s">
        <v>78</v>
      </c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4"/>
      <c r="P26" s="108">
        <v>5.0</v>
      </c>
      <c r="Q26" s="91"/>
      <c r="R26" s="91"/>
      <c r="S26" s="91"/>
      <c r="T26" s="94"/>
      <c r="U26" s="108"/>
      <c r="V26" s="91"/>
      <c r="W26" s="91"/>
      <c r="X26" s="91"/>
      <c r="Y26" s="94"/>
      <c r="Z26" s="108"/>
      <c r="AA26" s="91"/>
      <c r="AB26" s="91"/>
      <c r="AC26" s="91"/>
      <c r="AD26" s="94"/>
      <c r="AE26" s="108"/>
      <c r="AF26" s="91"/>
      <c r="AG26" s="91"/>
      <c r="AH26" s="91"/>
      <c r="AI26" s="94"/>
      <c r="AJ26" s="108"/>
      <c r="AK26" s="91"/>
      <c r="AL26" s="91"/>
      <c r="AM26" s="91"/>
      <c r="AN26" s="94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</row>
    <row r="27" ht="3.75" customHeight="1">
      <c r="A27" s="95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4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</row>
    <row r="28" ht="14.25" customHeight="1">
      <c r="A28" s="111" t="s">
        <v>79</v>
      </c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4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.0" customHeight="1">
      <c r="A29" s="112" t="s">
        <v>80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113" t="s">
        <v>81</v>
      </c>
      <c r="AK29" s="114"/>
      <c r="AL29" s="114"/>
      <c r="AM29" s="114"/>
      <c r="AN29" s="115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</row>
    <row r="30" ht="32.25" customHeight="1">
      <c r="A30" s="116">
        <v>1.0</v>
      </c>
      <c r="B30" s="117" t="s">
        <v>82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6"/>
      <c r="AJ30" s="118">
        <v>2.0</v>
      </c>
      <c r="AK30" s="5"/>
      <c r="AL30" s="5"/>
      <c r="AM30" s="5"/>
      <c r="AN30" s="6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</row>
    <row r="31" ht="32.25" customHeight="1">
      <c r="A31" s="116">
        <v>2.0</v>
      </c>
      <c r="B31" s="117" t="s">
        <v>83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6"/>
      <c r="AJ31" s="118">
        <v>2.0</v>
      </c>
      <c r="AK31" s="5"/>
      <c r="AL31" s="5"/>
      <c r="AM31" s="5"/>
      <c r="AN31" s="6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</row>
    <row r="32" ht="32.25" customHeight="1">
      <c r="A32" s="116">
        <v>3.0</v>
      </c>
      <c r="B32" s="117" t="s">
        <v>84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6"/>
      <c r="AJ32" s="118">
        <v>2.0</v>
      </c>
      <c r="AK32" s="5"/>
      <c r="AL32" s="5"/>
      <c r="AM32" s="5"/>
      <c r="AN32" s="6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</row>
    <row r="33" ht="43.5" customHeight="1">
      <c r="A33" s="119" t="s">
        <v>40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6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</row>
    <row r="34" ht="32.25" customHeight="1">
      <c r="A34" s="22" t="s">
        <v>85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6"/>
      <c r="O34" s="120">
        <v>6.0</v>
      </c>
      <c r="P34" s="5"/>
      <c r="Q34" s="5"/>
      <c r="R34" s="6"/>
      <c r="S34" s="121" t="s">
        <v>86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18">
        <v>6.0</v>
      </c>
      <c r="AK34" s="5"/>
      <c r="AL34" s="5"/>
      <c r="AM34" s="5"/>
      <c r="AN34" s="6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</row>
    <row r="35" ht="15.0" customHeight="1">
      <c r="A35" s="122" t="s">
        <v>87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6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35.25" customHeight="1">
      <c r="A36" s="116">
        <v>4.0</v>
      </c>
      <c r="B36" s="117" t="s">
        <v>88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6"/>
      <c r="AJ36" s="118">
        <v>2.0</v>
      </c>
      <c r="AK36" s="5"/>
      <c r="AL36" s="5"/>
      <c r="AM36" s="5"/>
      <c r="AN36" s="6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</row>
    <row r="37" ht="35.25" customHeight="1">
      <c r="A37" s="116">
        <v>5.0</v>
      </c>
      <c r="B37" s="117" t="s">
        <v>89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6"/>
      <c r="AJ37" s="118">
        <v>2.0</v>
      </c>
      <c r="AK37" s="5"/>
      <c r="AL37" s="5"/>
      <c r="AM37" s="5"/>
      <c r="AN37" s="6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</row>
    <row r="38" ht="35.25" customHeight="1">
      <c r="A38" s="116">
        <v>6.0</v>
      </c>
      <c r="B38" s="117" t="s">
        <v>90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6"/>
      <c r="AJ38" s="118">
        <v>2.0</v>
      </c>
      <c r="AK38" s="5"/>
      <c r="AL38" s="5"/>
      <c r="AM38" s="5"/>
      <c r="AN38" s="6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</row>
    <row r="39" ht="35.25" customHeight="1">
      <c r="A39" s="116">
        <v>9.0</v>
      </c>
      <c r="B39" s="117" t="s">
        <v>91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6"/>
      <c r="AJ39" s="118">
        <v>2.0</v>
      </c>
      <c r="AK39" s="5"/>
      <c r="AL39" s="5"/>
      <c r="AM39" s="5"/>
      <c r="AN39" s="6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</row>
    <row r="40" ht="35.25" customHeight="1">
      <c r="A40" s="116">
        <v>10.0</v>
      </c>
      <c r="B40" s="117" t="s">
        <v>92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6"/>
      <c r="AJ40" s="118">
        <v>2.0</v>
      </c>
      <c r="AK40" s="5"/>
      <c r="AL40" s="5"/>
      <c r="AM40" s="5"/>
      <c r="AN40" s="6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35.25" customHeight="1">
      <c r="A41" s="116">
        <v>11.0</v>
      </c>
      <c r="B41" s="117" t="s">
        <v>93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6"/>
      <c r="AJ41" s="118">
        <v>2.0</v>
      </c>
      <c r="AK41" s="5"/>
      <c r="AL41" s="5"/>
      <c r="AM41" s="5"/>
      <c r="AN41" s="6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</row>
    <row r="42" ht="43.5" customHeight="1">
      <c r="A42" s="123" t="s">
        <v>94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6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</row>
    <row r="43" ht="30.75" customHeight="1">
      <c r="A43" s="22" t="s">
        <v>85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6"/>
      <c r="O43" s="120">
        <v>12.0</v>
      </c>
      <c r="P43" s="5"/>
      <c r="Q43" s="5"/>
      <c r="R43" s="6"/>
      <c r="S43" s="121" t="s">
        <v>86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18">
        <v>12.0</v>
      </c>
      <c r="AK43" s="5"/>
      <c r="AL43" s="5"/>
      <c r="AM43" s="5"/>
      <c r="AN43" s="6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</row>
    <row r="44" ht="15.0" customHeight="1">
      <c r="A44" s="122" t="s">
        <v>95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6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</row>
    <row r="45" ht="33.0" customHeight="1">
      <c r="A45" s="116">
        <v>12.0</v>
      </c>
      <c r="B45" s="117" t="s">
        <v>96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6"/>
      <c r="AJ45" s="118">
        <v>2.0</v>
      </c>
      <c r="AK45" s="5"/>
      <c r="AL45" s="5"/>
      <c r="AM45" s="5"/>
      <c r="AN45" s="6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33.0" customHeight="1">
      <c r="A46" s="116">
        <v>13.0</v>
      </c>
      <c r="B46" s="117" t="s">
        <v>97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6"/>
      <c r="AJ46" s="118">
        <v>2.0</v>
      </c>
      <c r="AK46" s="5"/>
      <c r="AL46" s="5"/>
      <c r="AM46" s="5"/>
      <c r="AN46" s="6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</row>
    <row r="47" ht="33.0" customHeight="1">
      <c r="A47" s="116">
        <v>14.0</v>
      </c>
      <c r="B47" s="117" t="s">
        <v>98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6"/>
      <c r="AJ47" s="118">
        <v>2.0</v>
      </c>
      <c r="AK47" s="5"/>
      <c r="AL47" s="5"/>
      <c r="AM47" s="5"/>
      <c r="AN47" s="6"/>
      <c r="AO47" s="63"/>
      <c r="AP47" s="63"/>
      <c r="AQ47" s="63"/>
      <c r="AR47" s="63"/>
      <c r="AS47" s="63"/>
      <c r="AT47" s="63"/>
      <c r="AU47" s="63"/>
      <c r="AV47" s="63"/>
      <c r="AW47" s="63"/>
      <c r="AX47" s="63"/>
      <c r="AY47" s="63"/>
      <c r="AZ47" s="63"/>
      <c r="BA47" s="63"/>
      <c r="BB47" s="63"/>
    </row>
    <row r="48" ht="33.0" customHeight="1">
      <c r="A48" s="116">
        <v>15.0</v>
      </c>
      <c r="B48" s="117" t="s">
        <v>99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6"/>
      <c r="AJ48" s="118">
        <v>2.0</v>
      </c>
      <c r="AK48" s="5"/>
      <c r="AL48" s="5"/>
      <c r="AM48" s="5"/>
      <c r="AN48" s="6"/>
      <c r="AO48" s="63"/>
      <c r="AP48" s="63"/>
      <c r="AQ48" s="63"/>
      <c r="AR48" s="63"/>
      <c r="AS48" s="63"/>
      <c r="AT48" s="63"/>
      <c r="AU48" s="63"/>
      <c r="AV48" s="63"/>
      <c r="AW48" s="63"/>
      <c r="AX48" s="63"/>
      <c r="AY48" s="63"/>
      <c r="AZ48" s="63"/>
      <c r="BA48" s="63"/>
      <c r="BB48" s="63"/>
    </row>
    <row r="49" ht="33.0" customHeight="1">
      <c r="A49" s="116">
        <v>16.0</v>
      </c>
      <c r="B49" s="117" t="s">
        <v>100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6"/>
      <c r="AJ49" s="118">
        <v>2.0</v>
      </c>
      <c r="AK49" s="5"/>
      <c r="AL49" s="5"/>
      <c r="AM49" s="5"/>
      <c r="AN49" s="6"/>
      <c r="AO49" s="63"/>
      <c r="AP49" s="63"/>
      <c r="AQ49" s="63"/>
      <c r="AR49" s="63"/>
      <c r="AS49" s="63"/>
      <c r="AT49" s="63"/>
      <c r="AU49" s="63"/>
      <c r="AV49" s="63"/>
      <c r="AW49" s="63"/>
      <c r="AX49" s="63"/>
      <c r="AY49" s="63"/>
      <c r="AZ49" s="63"/>
      <c r="BA49" s="63"/>
      <c r="BB49" s="63"/>
    </row>
    <row r="50" ht="33.0" customHeight="1">
      <c r="A50" s="116">
        <v>17.0</v>
      </c>
      <c r="B50" s="117" t="s">
        <v>101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6"/>
      <c r="AJ50" s="118">
        <v>2.0</v>
      </c>
      <c r="AK50" s="5"/>
      <c r="AL50" s="5"/>
      <c r="AM50" s="5"/>
      <c r="AN50" s="6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63"/>
      <c r="BA50" s="63"/>
      <c r="BB50" s="63"/>
    </row>
    <row r="51" ht="33.0" customHeight="1">
      <c r="A51" s="116">
        <v>18.0</v>
      </c>
      <c r="B51" s="117" t="s">
        <v>102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6"/>
      <c r="AJ51" s="118">
        <v>2.0</v>
      </c>
      <c r="AK51" s="5"/>
      <c r="AL51" s="5"/>
      <c r="AM51" s="5"/>
      <c r="AN51" s="6"/>
      <c r="AO51" s="63"/>
      <c r="AP51" s="63"/>
      <c r="AQ51" s="63"/>
      <c r="AR51" s="63"/>
      <c r="AS51" s="63"/>
      <c r="AT51" s="63"/>
      <c r="AU51" s="63"/>
      <c r="AV51" s="63"/>
      <c r="AW51" s="63"/>
      <c r="AX51" s="63"/>
      <c r="AY51" s="63"/>
      <c r="AZ51" s="63"/>
      <c r="BA51" s="63"/>
      <c r="BB51" s="63"/>
    </row>
    <row r="52" ht="43.5" customHeight="1">
      <c r="A52" s="123" t="s">
        <v>94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6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63"/>
      <c r="BA52" s="63"/>
      <c r="BB52" s="63"/>
    </row>
    <row r="53" ht="33.0" customHeight="1">
      <c r="A53" s="22" t="s">
        <v>85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6"/>
      <c r="O53" s="120">
        <v>14.0</v>
      </c>
      <c r="P53" s="5"/>
      <c r="Q53" s="5"/>
      <c r="R53" s="6"/>
      <c r="S53" s="121" t="s">
        <v>86</v>
      </c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18">
        <v>14.0</v>
      </c>
      <c r="AK53" s="5"/>
      <c r="AL53" s="5"/>
      <c r="AM53" s="5"/>
      <c r="AN53" s="6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63"/>
      <c r="BA53" s="63"/>
      <c r="BB53" s="63"/>
    </row>
    <row r="54" ht="15.0" customHeight="1">
      <c r="A54" s="122" t="s">
        <v>103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6"/>
      <c r="AO54" s="63"/>
      <c r="AP54" s="63"/>
      <c r="AQ54" s="63"/>
      <c r="AR54" s="63"/>
      <c r="AS54" s="63"/>
      <c r="AT54" s="63"/>
      <c r="AU54" s="63"/>
      <c r="AV54" s="63"/>
      <c r="AW54" s="63"/>
      <c r="AX54" s="63"/>
      <c r="AY54" s="63"/>
      <c r="AZ54" s="63"/>
      <c r="BA54" s="63"/>
      <c r="BB54" s="63"/>
    </row>
    <row r="55" ht="33.0" customHeight="1">
      <c r="A55" s="116">
        <v>19.0</v>
      </c>
      <c r="B55" s="117" t="s">
        <v>104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6"/>
      <c r="AJ55" s="118">
        <v>2.0</v>
      </c>
      <c r="AK55" s="5"/>
      <c r="AL55" s="5"/>
      <c r="AM55" s="5"/>
      <c r="AN55" s="6"/>
      <c r="AO55" s="63"/>
      <c r="AP55" s="63"/>
      <c r="AQ55" s="63"/>
      <c r="AR55" s="63"/>
      <c r="AS55" s="63"/>
      <c r="AT55" s="63"/>
      <c r="AU55" s="63"/>
      <c r="AV55" s="63"/>
      <c r="AW55" s="63"/>
      <c r="AX55" s="63"/>
      <c r="AY55" s="63"/>
      <c r="AZ55" s="63"/>
      <c r="BA55" s="63"/>
      <c r="BB55" s="63"/>
    </row>
    <row r="56" ht="33.0" customHeight="1">
      <c r="A56" s="116">
        <v>20.0</v>
      </c>
      <c r="B56" s="117" t="s">
        <v>105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6"/>
      <c r="AJ56" s="118">
        <v>2.0</v>
      </c>
      <c r="AK56" s="5"/>
      <c r="AL56" s="5"/>
      <c r="AM56" s="5"/>
      <c r="AN56" s="6"/>
      <c r="AO56" s="63"/>
      <c r="AP56" s="63"/>
      <c r="AQ56" s="63"/>
      <c r="AR56" s="63"/>
      <c r="AS56" s="63"/>
      <c r="AT56" s="63"/>
      <c r="AU56" s="63"/>
      <c r="AV56" s="63"/>
      <c r="AW56" s="63"/>
      <c r="AX56" s="63"/>
      <c r="AY56" s="63"/>
      <c r="AZ56" s="63"/>
      <c r="BA56" s="63"/>
      <c r="BB56" s="63"/>
    </row>
    <row r="57" ht="33.0" customHeight="1">
      <c r="A57" s="116">
        <v>21.0</v>
      </c>
      <c r="B57" s="117" t="s">
        <v>106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6"/>
      <c r="AJ57" s="118">
        <v>2.0</v>
      </c>
      <c r="AK57" s="5"/>
      <c r="AL57" s="5"/>
      <c r="AM57" s="5"/>
      <c r="AN57" s="6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3"/>
      <c r="AZ57" s="63"/>
      <c r="BA57" s="63"/>
      <c r="BB57" s="63"/>
    </row>
    <row r="58" ht="33.0" customHeight="1">
      <c r="A58" s="116">
        <v>22.0</v>
      </c>
      <c r="B58" s="117" t="s">
        <v>107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6"/>
      <c r="AJ58" s="118">
        <v>2.0</v>
      </c>
      <c r="AK58" s="5"/>
      <c r="AL58" s="5"/>
      <c r="AM58" s="5"/>
      <c r="AN58" s="6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63"/>
      <c r="BA58" s="63"/>
      <c r="BB58" s="63"/>
    </row>
    <row r="59" ht="33.0" customHeight="1">
      <c r="A59" s="116">
        <v>23.0</v>
      </c>
      <c r="B59" s="117" t="s">
        <v>108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6"/>
      <c r="AJ59" s="118">
        <v>2.0</v>
      </c>
      <c r="AK59" s="5"/>
      <c r="AL59" s="5"/>
      <c r="AM59" s="5"/>
      <c r="AN59" s="6"/>
      <c r="AO59" s="63"/>
      <c r="AP59" s="63"/>
      <c r="AQ59" s="63"/>
      <c r="AR59" s="63"/>
      <c r="AS59" s="63"/>
      <c r="AT59" s="63"/>
      <c r="AU59" s="63"/>
      <c r="AV59" s="63"/>
      <c r="AW59" s="63"/>
      <c r="AX59" s="63"/>
      <c r="AY59" s="63"/>
      <c r="AZ59" s="63"/>
      <c r="BA59" s="63"/>
      <c r="BB59" s="63"/>
    </row>
    <row r="60" ht="23.25" customHeight="1">
      <c r="A60" s="22" t="s">
        <v>85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6"/>
      <c r="O60" s="120">
        <v>10.0</v>
      </c>
      <c r="P60" s="5"/>
      <c r="Q60" s="5"/>
      <c r="R60" s="6"/>
      <c r="S60" s="121" t="s">
        <v>86</v>
      </c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18">
        <v>10.0</v>
      </c>
      <c r="AK60" s="5"/>
      <c r="AL60" s="5"/>
      <c r="AM60" s="5"/>
      <c r="AN60" s="6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3"/>
      <c r="AZ60" s="63"/>
      <c r="BA60" s="63"/>
      <c r="BB60" s="63"/>
    </row>
    <row r="61" ht="38.25" customHeight="1">
      <c r="A61" s="78" t="s">
        <v>109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6"/>
      <c r="R61" s="79" t="s">
        <v>110</v>
      </c>
      <c r="S61" s="5"/>
      <c r="T61" s="5"/>
      <c r="U61" s="5"/>
      <c r="V61" s="79">
        <v>42.0</v>
      </c>
      <c r="W61" s="6"/>
      <c r="X61" s="79" t="s">
        <v>111</v>
      </c>
      <c r="Y61" s="5"/>
      <c r="Z61" s="5"/>
      <c r="AA61" s="6"/>
      <c r="AB61" s="69">
        <v>42.0</v>
      </c>
      <c r="AC61" s="5"/>
      <c r="AD61" s="6"/>
      <c r="AE61" s="79" t="s">
        <v>112</v>
      </c>
      <c r="AF61" s="5"/>
      <c r="AG61" s="5"/>
      <c r="AH61" s="5"/>
      <c r="AI61" s="5"/>
      <c r="AJ61" s="6"/>
      <c r="AK61" s="124">
        <v>1.0</v>
      </c>
      <c r="AO61" s="63"/>
      <c r="AP61" s="63"/>
      <c r="AQ61" s="63"/>
      <c r="AR61" s="63"/>
      <c r="AS61" s="63"/>
      <c r="AT61" s="63"/>
      <c r="AU61" s="63"/>
      <c r="AV61" s="63"/>
      <c r="AW61" s="63"/>
      <c r="AX61" s="63"/>
      <c r="AY61" s="63"/>
      <c r="AZ61" s="63"/>
      <c r="BA61" s="63"/>
      <c r="BB61" s="63"/>
    </row>
    <row r="62" ht="29.25" customHeight="1">
      <c r="A62" s="125" t="s">
        <v>94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6"/>
      <c r="AO62" s="63"/>
      <c r="AP62" s="63"/>
      <c r="AQ62" s="63"/>
      <c r="AR62" s="63"/>
      <c r="AS62" s="63"/>
      <c r="AT62" s="63"/>
      <c r="AU62" s="63"/>
      <c r="AV62" s="63"/>
      <c r="AW62" s="63"/>
      <c r="AX62" s="63"/>
      <c r="AY62" s="63"/>
      <c r="AZ62" s="63"/>
      <c r="BA62" s="63"/>
      <c r="BB62" s="63"/>
    </row>
    <row r="63" ht="30.0" customHeight="1">
      <c r="A63" s="12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6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</row>
    <row r="64" ht="30.0" customHeight="1">
      <c r="A64" s="12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6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</row>
    <row r="65" ht="30.0" customHeight="1">
      <c r="A65" s="12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6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</row>
    <row r="66" ht="14.25" customHeight="1">
      <c r="A66" s="127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  <c r="BA66" s="59"/>
      <c r="BB66" s="59"/>
    </row>
    <row r="67" ht="15.0" customHeight="1">
      <c r="A67" s="52"/>
      <c r="B67" s="53"/>
      <c r="C67" s="130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38" t="s">
        <v>113</v>
      </c>
      <c r="P67" s="5"/>
      <c r="Q67" s="5"/>
      <c r="R67" s="5"/>
      <c r="S67" s="5"/>
      <c r="T67" s="5"/>
      <c r="U67" s="5"/>
      <c r="V67" s="5"/>
      <c r="W67" s="5"/>
      <c r="X67" s="5"/>
      <c r="Y67" s="5"/>
      <c r="Z67" s="6"/>
      <c r="AA67" s="38" t="s">
        <v>113</v>
      </c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6"/>
      <c r="AM67" s="53"/>
      <c r="AN67" s="131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  <c r="BA67" s="59"/>
      <c r="BB67" s="59"/>
    </row>
    <row r="68" ht="14.25" customHeight="1">
      <c r="A68" s="52"/>
      <c r="B68" s="53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54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3"/>
      <c r="AA68" s="54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3"/>
      <c r="AM68" s="53"/>
      <c r="AN68" s="131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  <c r="BA68" s="59"/>
      <c r="BB68" s="59"/>
    </row>
    <row r="69" ht="14.25" customHeight="1">
      <c r="A69" s="52"/>
      <c r="B69" s="53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18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20"/>
      <c r="AA69" s="18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20"/>
      <c r="AM69" s="53"/>
      <c r="AN69" s="131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  <c r="BA69" s="59"/>
      <c r="BB69" s="59"/>
    </row>
    <row r="70" ht="21.75" customHeight="1">
      <c r="A70" s="52"/>
      <c r="B70" s="53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23" t="s">
        <v>42</v>
      </c>
      <c r="P70" s="5"/>
      <c r="Q70" s="5"/>
      <c r="R70" s="5"/>
      <c r="S70" s="5"/>
      <c r="T70" s="5"/>
      <c r="U70" s="5"/>
      <c r="V70" s="5"/>
      <c r="W70" s="5"/>
      <c r="X70" s="5"/>
      <c r="Y70" s="5"/>
      <c r="Z70" s="6"/>
      <c r="AA70" s="23" t="s">
        <v>42</v>
      </c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6"/>
      <c r="AM70" s="53"/>
      <c r="AN70" s="131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  <c r="BA70" s="59"/>
      <c r="BB70" s="59"/>
    </row>
    <row r="71" ht="24.0" customHeight="1">
      <c r="A71" s="52"/>
      <c r="B71" s="53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23" t="s">
        <v>43</v>
      </c>
      <c r="P71" s="5"/>
      <c r="Q71" s="5"/>
      <c r="R71" s="5"/>
      <c r="S71" s="5"/>
      <c r="T71" s="5"/>
      <c r="U71" s="5"/>
      <c r="V71" s="5"/>
      <c r="W71" s="5"/>
      <c r="X71" s="5"/>
      <c r="Y71" s="5"/>
      <c r="Z71" s="6"/>
      <c r="AA71" s="23" t="s">
        <v>43</v>
      </c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6"/>
      <c r="AM71" s="53"/>
      <c r="AN71" s="131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</row>
    <row r="72" ht="21.75" customHeight="1">
      <c r="A72" s="52"/>
      <c r="B72" s="53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23" t="s">
        <v>44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6"/>
      <c r="AA72" s="23" t="s">
        <v>44</v>
      </c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6"/>
      <c r="AM72" s="53"/>
      <c r="AN72" s="131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</row>
    <row r="73" ht="14.25" customHeight="1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8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4.2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63"/>
      <c r="AX74" s="63"/>
      <c r="AY74" s="63"/>
      <c r="AZ74" s="63"/>
      <c r="BA74" s="63"/>
      <c r="BB74" s="63"/>
    </row>
    <row r="75" ht="14.2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63"/>
      <c r="AX75" s="63"/>
      <c r="AY75" s="63"/>
      <c r="AZ75" s="63"/>
      <c r="BA75" s="63"/>
      <c r="BB75" s="63"/>
    </row>
    <row r="76" ht="14.2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63"/>
      <c r="AX76" s="63"/>
      <c r="AY76" s="63"/>
      <c r="AZ76" s="63"/>
      <c r="BA76" s="63"/>
      <c r="BB76" s="63"/>
    </row>
    <row r="77" ht="14.2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63"/>
      <c r="AX77" s="63"/>
      <c r="AY77" s="63"/>
      <c r="AZ77" s="63"/>
      <c r="BA77" s="63"/>
      <c r="BB77" s="63"/>
    </row>
    <row r="78" ht="14.2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63"/>
      <c r="AW78" s="63"/>
      <c r="AX78" s="63"/>
      <c r="AY78" s="63"/>
      <c r="AZ78" s="63"/>
      <c r="BA78" s="63"/>
      <c r="BB78" s="63"/>
    </row>
    <row r="79" ht="14.2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3"/>
      <c r="AP79" s="63"/>
      <c r="AQ79" s="63"/>
      <c r="AR79" s="63"/>
      <c r="AS79" s="63"/>
      <c r="AT79" s="63"/>
      <c r="AU79" s="63"/>
      <c r="AV79" s="63"/>
      <c r="AW79" s="63"/>
      <c r="AX79" s="63"/>
      <c r="AY79" s="63"/>
      <c r="AZ79" s="63"/>
      <c r="BA79" s="63"/>
      <c r="BB79" s="63"/>
    </row>
    <row r="80" ht="14.2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  <c r="AN80" s="63"/>
      <c r="AO80" s="63"/>
      <c r="AP80" s="63"/>
      <c r="AQ80" s="63"/>
      <c r="AR80" s="63"/>
      <c r="AS80" s="63"/>
      <c r="AT80" s="63"/>
      <c r="AU80" s="63"/>
      <c r="AV80" s="63"/>
      <c r="AW80" s="63"/>
      <c r="AX80" s="63"/>
      <c r="AY80" s="63"/>
      <c r="AZ80" s="63"/>
      <c r="BA80" s="63"/>
      <c r="BB80" s="63"/>
    </row>
    <row r="81" ht="14.2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63"/>
      <c r="AV81" s="63"/>
      <c r="AW81" s="63"/>
      <c r="AX81" s="63"/>
      <c r="AY81" s="63"/>
      <c r="AZ81" s="63"/>
      <c r="BA81" s="63"/>
      <c r="BB81" s="63"/>
    </row>
    <row r="82" ht="14.2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63"/>
      <c r="AV82" s="63"/>
      <c r="AW82" s="63"/>
      <c r="AX82" s="63"/>
      <c r="AY82" s="63"/>
      <c r="AZ82" s="63"/>
      <c r="BA82" s="63"/>
      <c r="BB82" s="63"/>
    </row>
    <row r="83" ht="14.2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63"/>
      <c r="AX83" s="63"/>
      <c r="AY83" s="63"/>
      <c r="AZ83" s="63"/>
      <c r="BA83" s="63"/>
      <c r="BB83" s="63"/>
    </row>
    <row r="84" ht="14.2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63"/>
      <c r="AX84" s="63"/>
      <c r="AY84" s="63"/>
      <c r="AZ84" s="63"/>
      <c r="BA84" s="63"/>
      <c r="BB84" s="63"/>
    </row>
    <row r="85" ht="14.2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63"/>
      <c r="AX85" s="63"/>
      <c r="AY85" s="63"/>
      <c r="AZ85" s="63"/>
      <c r="BA85" s="63"/>
      <c r="BB85" s="63"/>
    </row>
    <row r="86" ht="14.2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63"/>
      <c r="AX86" s="63"/>
      <c r="AY86" s="63"/>
      <c r="AZ86" s="63"/>
      <c r="BA86" s="63"/>
      <c r="BB86" s="63"/>
    </row>
    <row r="87" ht="14.2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63"/>
      <c r="AX87" s="63"/>
      <c r="AY87" s="63"/>
      <c r="AZ87" s="63"/>
      <c r="BA87" s="63"/>
      <c r="BB87" s="63"/>
    </row>
    <row r="88" ht="14.2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</row>
    <row r="89" ht="14.2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63"/>
      <c r="AX89" s="63"/>
      <c r="AY89" s="63"/>
      <c r="AZ89" s="63"/>
      <c r="BA89" s="63"/>
      <c r="BB89" s="63"/>
    </row>
    <row r="90" ht="14.2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63"/>
      <c r="AX90" s="63"/>
      <c r="AY90" s="63"/>
      <c r="AZ90" s="63"/>
      <c r="BA90" s="63"/>
      <c r="BB90" s="63"/>
    </row>
    <row r="91" ht="14.2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63"/>
      <c r="AX91" s="63"/>
      <c r="AY91" s="63"/>
      <c r="AZ91" s="63"/>
      <c r="BA91" s="63"/>
      <c r="BB91" s="63"/>
    </row>
    <row r="92" ht="14.2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63"/>
      <c r="AX92" s="63"/>
      <c r="AY92" s="63"/>
      <c r="AZ92" s="63"/>
      <c r="BA92" s="63"/>
      <c r="BB92" s="63"/>
    </row>
    <row r="93" ht="14.2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63"/>
      <c r="AX93" s="63"/>
      <c r="AY93" s="63"/>
      <c r="AZ93" s="63"/>
      <c r="BA93" s="63"/>
      <c r="BB93" s="63"/>
    </row>
    <row r="94" ht="14.2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  <c r="AN94" s="63"/>
      <c r="AO94" s="63"/>
      <c r="AP94" s="63"/>
      <c r="AQ94" s="63"/>
      <c r="AR94" s="63"/>
      <c r="AS94" s="63"/>
      <c r="AT94" s="63"/>
      <c r="AU94" s="63"/>
      <c r="AV94" s="63"/>
      <c r="AW94" s="63"/>
      <c r="AX94" s="63"/>
      <c r="AY94" s="63"/>
      <c r="AZ94" s="63"/>
      <c r="BA94" s="63"/>
      <c r="BB94" s="63"/>
    </row>
    <row r="95" ht="14.2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63"/>
      <c r="AX95" s="63"/>
      <c r="AY95" s="63"/>
      <c r="AZ95" s="63"/>
      <c r="BA95" s="63"/>
      <c r="BB95" s="63"/>
    </row>
    <row r="96" ht="14.2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63"/>
      <c r="AU96" s="63"/>
      <c r="AV96" s="63"/>
      <c r="AW96" s="63"/>
      <c r="AX96" s="63"/>
      <c r="AY96" s="63"/>
      <c r="AZ96" s="63"/>
      <c r="BA96" s="63"/>
      <c r="BB96" s="63"/>
    </row>
    <row r="97" ht="14.2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4.2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63"/>
      <c r="AW98" s="63"/>
      <c r="AX98" s="63"/>
      <c r="AY98" s="63"/>
      <c r="AZ98" s="63"/>
      <c r="BA98" s="63"/>
      <c r="BB98" s="63"/>
    </row>
    <row r="99" ht="14.2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63"/>
      <c r="AW99" s="63"/>
      <c r="AX99" s="63"/>
      <c r="AY99" s="63"/>
      <c r="AZ99" s="63"/>
      <c r="BA99" s="63"/>
      <c r="BB99" s="63"/>
    </row>
    <row r="100" ht="14.2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63"/>
      <c r="AU100" s="63"/>
      <c r="AV100" s="63"/>
      <c r="AW100" s="63"/>
      <c r="AX100" s="63"/>
      <c r="AY100" s="63"/>
      <c r="AZ100" s="63"/>
      <c r="BA100" s="63"/>
      <c r="BB100" s="63"/>
    </row>
    <row r="101" ht="14.2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63"/>
      <c r="AU101" s="63"/>
      <c r="AV101" s="63"/>
      <c r="AW101" s="63"/>
      <c r="AX101" s="63"/>
      <c r="AY101" s="63"/>
      <c r="AZ101" s="63"/>
      <c r="BA101" s="63"/>
      <c r="BB101" s="63"/>
    </row>
    <row r="102" ht="14.2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63"/>
      <c r="AR102" s="63"/>
      <c r="AS102" s="63"/>
      <c r="AT102" s="63"/>
      <c r="AU102" s="63"/>
      <c r="AV102" s="63"/>
      <c r="AW102" s="63"/>
      <c r="AX102" s="63"/>
      <c r="AY102" s="63"/>
      <c r="AZ102" s="63"/>
      <c r="BA102" s="63"/>
      <c r="BB102" s="63"/>
    </row>
    <row r="103" ht="14.2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63"/>
      <c r="AR103" s="63"/>
      <c r="AS103" s="63"/>
      <c r="AT103" s="63"/>
      <c r="AU103" s="63"/>
      <c r="AV103" s="63"/>
      <c r="AW103" s="63"/>
      <c r="AX103" s="63"/>
      <c r="AY103" s="63"/>
      <c r="AZ103" s="63"/>
      <c r="BA103" s="63"/>
      <c r="BB103" s="63"/>
    </row>
    <row r="104" ht="14.2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63"/>
      <c r="AR104" s="63"/>
      <c r="AS104" s="63"/>
      <c r="AT104" s="63"/>
      <c r="AU104" s="63"/>
      <c r="AV104" s="63"/>
      <c r="AW104" s="63"/>
      <c r="AX104" s="63"/>
      <c r="AY104" s="63"/>
      <c r="AZ104" s="63"/>
      <c r="BA104" s="63"/>
      <c r="BB104" s="63"/>
    </row>
    <row r="105" ht="14.2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3"/>
      <c r="AP105" s="63"/>
      <c r="AQ105" s="63"/>
      <c r="AR105" s="63"/>
      <c r="AS105" s="63"/>
      <c r="AT105" s="63"/>
      <c r="AU105" s="63"/>
      <c r="AV105" s="63"/>
      <c r="AW105" s="63"/>
      <c r="AX105" s="63"/>
      <c r="AY105" s="63"/>
      <c r="AZ105" s="63"/>
      <c r="BA105" s="63"/>
      <c r="BB105" s="63"/>
    </row>
    <row r="106" ht="14.2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4.2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3"/>
      <c r="AP107" s="63"/>
      <c r="AQ107" s="63"/>
      <c r="AR107" s="63"/>
      <c r="AS107" s="63"/>
      <c r="AT107" s="63"/>
      <c r="AU107" s="63"/>
      <c r="AV107" s="63"/>
      <c r="AW107" s="63"/>
      <c r="AX107" s="63"/>
      <c r="AY107" s="63"/>
      <c r="AZ107" s="63"/>
      <c r="BA107" s="63"/>
      <c r="BB107" s="63"/>
    </row>
    <row r="108" ht="14.2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3"/>
      <c r="AQ108" s="63"/>
      <c r="AR108" s="63"/>
      <c r="AS108" s="63"/>
      <c r="AT108" s="63"/>
      <c r="AU108" s="63"/>
      <c r="AV108" s="63"/>
      <c r="AW108" s="63"/>
      <c r="AX108" s="63"/>
      <c r="AY108" s="63"/>
      <c r="AZ108" s="63"/>
      <c r="BA108" s="63"/>
      <c r="BB108" s="63"/>
    </row>
    <row r="109" ht="14.2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63"/>
      <c r="AU109" s="63"/>
      <c r="AV109" s="63"/>
      <c r="AW109" s="63"/>
      <c r="AX109" s="63"/>
      <c r="AY109" s="63"/>
      <c r="AZ109" s="63"/>
      <c r="BA109" s="63"/>
      <c r="BB109" s="63"/>
    </row>
    <row r="110" ht="14.2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  <c r="AN110" s="63"/>
      <c r="AO110" s="63"/>
      <c r="AP110" s="63"/>
      <c r="AQ110" s="63"/>
      <c r="AR110" s="63"/>
      <c r="AS110" s="63"/>
      <c r="AT110" s="63"/>
      <c r="AU110" s="63"/>
      <c r="AV110" s="63"/>
      <c r="AW110" s="63"/>
      <c r="AX110" s="63"/>
      <c r="AY110" s="63"/>
      <c r="AZ110" s="63"/>
      <c r="BA110" s="63"/>
      <c r="BB110" s="63"/>
    </row>
    <row r="111" ht="14.2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63"/>
      <c r="AW111" s="63"/>
      <c r="AX111" s="63"/>
      <c r="AY111" s="63"/>
      <c r="AZ111" s="63"/>
      <c r="BA111" s="63"/>
      <c r="BB111" s="63"/>
    </row>
    <row r="112" ht="14.2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/>
      <c r="AU112" s="63"/>
      <c r="AV112" s="63"/>
      <c r="AW112" s="63"/>
      <c r="AX112" s="63"/>
      <c r="AY112" s="63"/>
      <c r="AZ112" s="63"/>
      <c r="BA112" s="63"/>
      <c r="BB112" s="63"/>
    </row>
    <row r="113" ht="14.2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/>
      <c r="AU113" s="63"/>
      <c r="AV113" s="63"/>
      <c r="AW113" s="63"/>
      <c r="AX113" s="63"/>
      <c r="AY113" s="63"/>
      <c r="AZ113" s="63"/>
      <c r="BA113" s="63"/>
      <c r="BB113" s="63"/>
    </row>
    <row r="114" ht="14.2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/>
      <c r="AU114" s="63"/>
      <c r="AV114" s="63"/>
      <c r="AW114" s="63"/>
      <c r="AX114" s="63"/>
      <c r="AY114" s="63"/>
      <c r="AZ114" s="63"/>
      <c r="BA114" s="63"/>
      <c r="BB114" s="63"/>
    </row>
    <row r="115" ht="14.2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63"/>
      <c r="AX115" s="63"/>
      <c r="AY115" s="63"/>
      <c r="AZ115" s="63"/>
      <c r="BA115" s="63"/>
      <c r="BB115" s="63"/>
    </row>
    <row r="116" ht="14.2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63"/>
      <c r="AX116" s="63"/>
      <c r="AY116" s="63"/>
      <c r="AZ116" s="63"/>
      <c r="BA116" s="63"/>
      <c r="BB116" s="63"/>
    </row>
    <row r="117" ht="14.2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63"/>
      <c r="AX117" s="63"/>
      <c r="AY117" s="63"/>
      <c r="AZ117" s="63"/>
      <c r="BA117" s="63"/>
      <c r="BB117" s="63"/>
    </row>
    <row r="118" ht="14.2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4.2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/>
      <c r="AU119" s="63"/>
      <c r="AV119" s="63"/>
      <c r="AW119" s="63"/>
      <c r="AX119" s="63"/>
      <c r="AY119" s="63"/>
      <c r="AZ119" s="63"/>
      <c r="BA119" s="63"/>
      <c r="BB119" s="63"/>
    </row>
    <row r="120" ht="14.2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/>
      <c r="AU120" s="63"/>
      <c r="AV120" s="63"/>
      <c r="AW120" s="63"/>
      <c r="AX120" s="63"/>
      <c r="AY120" s="63"/>
      <c r="AZ120" s="63"/>
      <c r="BA120" s="63"/>
      <c r="BB120" s="63"/>
    </row>
    <row r="121" ht="14.2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  <c r="AV121" s="63"/>
      <c r="AW121" s="63"/>
      <c r="AX121" s="63"/>
      <c r="AY121" s="63"/>
      <c r="AZ121" s="63"/>
      <c r="BA121" s="63"/>
      <c r="BB121" s="63"/>
    </row>
    <row r="122" ht="14.2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63"/>
      <c r="AX122" s="63"/>
      <c r="AY122" s="63"/>
      <c r="AZ122" s="63"/>
      <c r="BA122" s="63"/>
      <c r="BB122" s="63"/>
    </row>
    <row r="123" ht="14.2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/>
      <c r="AU123" s="63"/>
      <c r="AV123" s="63"/>
      <c r="AW123" s="63"/>
      <c r="AX123" s="63"/>
      <c r="AY123" s="63"/>
      <c r="AZ123" s="63"/>
      <c r="BA123" s="63"/>
      <c r="BB123" s="63"/>
    </row>
    <row r="124" ht="14.2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</row>
    <row r="125" ht="14.2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6" ht="14.2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63"/>
      <c r="AX126" s="63"/>
      <c r="AY126" s="63"/>
      <c r="AZ126" s="63"/>
      <c r="BA126" s="63"/>
      <c r="BB126" s="63"/>
    </row>
    <row r="127" ht="14.2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/>
      <c r="AU127" s="63"/>
      <c r="AV127" s="63"/>
      <c r="AW127" s="63"/>
      <c r="AX127" s="63"/>
      <c r="AY127" s="63"/>
      <c r="AZ127" s="63"/>
      <c r="BA127" s="63"/>
      <c r="BB127" s="63"/>
    </row>
    <row r="128" ht="14.2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/>
      <c r="AU128" s="63"/>
      <c r="AV128" s="63"/>
      <c r="AW128" s="63"/>
      <c r="AX128" s="63"/>
      <c r="AY128" s="63"/>
      <c r="AZ128" s="63"/>
      <c r="BA128" s="63"/>
      <c r="BB128" s="63"/>
    </row>
    <row r="129" ht="14.2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/>
      <c r="AU129" s="63"/>
      <c r="AV129" s="63"/>
      <c r="AW129" s="63"/>
      <c r="AX129" s="63"/>
      <c r="AY129" s="63"/>
      <c r="AZ129" s="63"/>
      <c r="BA129" s="63"/>
      <c r="BB129" s="63"/>
    </row>
    <row r="130" ht="14.2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/>
      <c r="AU130" s="63"/>
      <c r="AV130" s="63"/>
      <c r="AW130" s="63"/>
      <c r="AX130" s="63"/>
      <c r="AY130" s="63"/>
      <c r="AZ130" s="63"/>
      <c r="BA130" s="63"/>
      <c r="BB130" s="63"/>
    </row>
    <row r="131" ht="14.2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/>
      <c r="AU131" s="63"/>
      <c r="AV131" s="63"/>
      <c r="AW131" s="63"/>
      <c r="AX131" s="63"/>
      <c r="AY131" s="63"/>
      <c r="AZ131" s="63"/>
      <c r="BA131" s="63"/>
      <c r="BB131" s="63"/>
    </row>
    <row r="132" ht="14.2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/>
      <c r="AU132" s="63"/>
      <c r="AV132" s="63"/>
      <c r="AW132" s="63"/>
      <c r="AX132" s="63"/>
      <c r="AY132" s="63"/>
      <c r="AZ132" s="63"/>
      <c r="BA132" s="63"/>
      <c r="BB132" s="63"/>
    </row>
    <row r="133" ht="14.2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/>
      <c r="AU133" s="63"/>
      <c r="AV133" s="63"/>
      <c r="AW133" s="63"/>
      <c r="AX133" s="63"/>
      <c r="AY133" s="63"/>
      <c r="AZ133" s="63"/>
      <c r="BA133" s="63"/>
      <c r="BB133" s="63"/>
    </row>
    <row r="134" ht="14.2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/>
      <c r="AU134" s="63"/>
      <c r="AV134" s="63"/>
      <c r="AW134" s="63"/>
      <c r="AX134" s="63"/>
      <c r="AY134" s="63"/>
      <c r="AZ134" s="63"/>
      <c r="BA134" s="63"/>
      <c r="BB134" s="63"/>
    </row>
    <row r="135" ht="14.2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/>
      <c r="AU135" s="63"/>
      <c r="AV135" s="63"/>
      <c r="AW135" s="63"/>
      <c r="AX135" s="63"/>
      <c r="AY135" s="63"/>
      <c r="AZ135" s="63"/>
      <c r="BA135" s="63"/>
      <c r="BB135" s="63"/>
    </row>
    <row r="136" ht="14.2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/>
      <c r="AU136" s="63"/>
      <c r="AV136" s="63"/>
      <c r="AW136" s="63"/>
      <c r="AX136" s="63"/>
      <c r="AY136" s="63"/>
      <c r="AZ136" s="63"/>
      <c r="BA136" s="63"/>
      <c r="BB136" s="63"/>
    </row>
    <row r="137" ht="14.2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/>
      <c r="AU137" s="63"/>
      <c r="AV137" s="63"/>
      <c r="AW137" s="63"/>
      <c r="AX137" s="63"/>
      <c r="AY137" s="63"/>
      <c r="AZ137" s="63"/>
      <c r="BA137" s="63"/>
      <c r="BB137" s="63"/>
    </row>
    <row r="138" ht="14.2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/>
      <c r="AU138" s="63"/>
      <c r="AV138" s="63"/>
      <c r="AW138" s="63"/>
      <c r="AX138" s="63"/>
      <c r="AY138" s="63"/>
      <c r="AZ138" s="63"/>
      <c r="BA138" s="63"/>
      <c r="BB138" s="63"/>
    </row>
    <row r="139" ht="14.2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/>
      <c r="AU139" s="63"/>
      <c r="AV139" s="63"/>
      <c r="AW139" s="63"/>
      <c r="AX139" s="63"/>
      <c r="AY139" s="63"/>
      <c r="AZ139" s="63"/>
      <c r="BA139" s="63"/>
      <c r="BB139" s="63"/>
    </row>
    <row r="140" ht="14.2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/>
      <c r="AU140" s="63"/>
      <c r="AV140" s="63"/>
      <c r="AW140" s="63"/>
      <c r="AX140" s="63"/>
      <c r="AY140" s="63"/>
      <c r="AZ140" s="63"/>
      <c r="BA140" s="63"/>
      <c r="BB140" s="63"/>
    </row>
    <row r="141" ht="14.2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/>
      <c r="AU141" s="63"/>
      <c r="AV141" s="63"/>
      <c r="AW141" s="63"/>
      <c r="AX141" s="63"/>
      <c r="AY141" s="63"/>
      <c r="AZ141" s="63"/>
      <c r="BA141" s="63"/>
      <c r="BB141" s="63"/>
    </row>
    <row r="142" ht="14.2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/>
      <c r="AU142" s="63"/>
      <c r="AV142" s="63"/>
      <c r="AW142" s="63"/>
      <c r="AX142" s="63"/>
      <c r="AY142" s="63"/>
      <c r="AZ142" s="63"/>
      <c r="BA142" s="63"/>
      <c r="BB142" s="63"/>
    </row>
    <row r="143" ht="14.2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/>
      <c r="AU143" s="63"/>
      <c r="AV143" s="63"/>
      <c r="AW143" s="63"/>
      <c r="AX143" s="63"/>
      <c r="AY143" s="63"/>
      <c r="AZ143" s="63"/>
      <c r="BA143" s="63"/>
      <c r="BB143" s="63"/>
    </row>
    <row r="144" ht="14.2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/>
      <c r="AU144" s="63"/>
      <c r="AV144" s="63"/>
      <c r="AW144" s="63"/>
      <c r="AX144" s="63"/>
      <c r="AY144" s="63"/>
      <c r="AZ144" s="63"/>
      <c r="BA144" s="63"/>
      <c r="BB144" s="63"/>
    </row>
    <row r="145" ht="14.2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63"/>
      <c r="AW145" s="63"/>
      <c r="AX145" s="63"/>
      <c r="AY145" s="63"/>
      <c r="AZ145" s="63"/>
      <c r="BA145" s="63"/>
      <c r="BB145" s="63"/>
    </row>
    <row r="146" ht="14.2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63"/>
      <c r="AW146" s="63"/>
      <c r="AX146" s="63"/>
      <c r="AY146" s="63"/>
      <c r="AZ146" s="63"/>
      <c r="BA146" s="63"/>
      <c r="BB146" s="63"/>
    </row>
    <row r="147" ht="14.2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63"/>
      <c r="AV147" s="63"/>
      <c r="AW147" s="63"/>
      <c r="AX147" s="63"/>
      <c r="AY147" s="63"/>
      <c r="AZ147" s="63"/>
      <c r="BA147" s="63"/>
      <c r="BB147" s="63"/>
    </row>
    <row r="148" ht="14.2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/>
      <c r="AU148" s="63"/>
      <c r="AV148" s="63"/>
      <c r="AW148" s="63"/>
      <c r="AX148" s="63"/>
      <c r="AY148" s="63"/>
      <c r="AZ148" s="63"/>
      <c r="BA148" s="63"/>
      <c r="BB148" s="63"/>
    </row>
    <row r="149" ht="14.2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63"/>
    </row>
    <row r="150" ht="14.2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/>
      <c r="AU150" s="63"/>
      <c r="AV150" s="63"/>
      <c r="AW150" s="63"/>
      <c r="AX150" s="63"/>
      <c r="AY150" s="63"/>
      <c r="AZ150" s="63"/>
      <c r="BA150" s="63"/>
      <c r="BB150" s="63"/>
    </row>
    <row r="151" ht="14.2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/>
      <c r="AU151" s="63"/>
      <c r="AV151" s="63"/>
      <c r="AW151" s="63"/>
      <c r="AX151" s="63"/>
      <c r="AY151" s="63"/>
      <c r="AZ151" s="63"/>
      <c r="BA151" s="63"/>
      <c r="BB151" s="63"/>
    </row>
    <row r="152" ht="14.2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/>
      <c r="AU152" s="63"/>
      <c r="AV152" s="63"/>
      <c r="AW152" s="63"/>
      <c r="AX152" s="63"/>
      <c r="AY152" s="63"/>
      <c r="AZ152" s="63"/>
      <c r="BA152" s="63"/>
      <c r="BB152" s="63"/>
    </row>
    <row r="153" ht="14.2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/>
      <c r="AU153" s="63"/>
      <c r="AV153" s="63"/>
      <c r="AW153" s="63"/>
      <c r="AX153" s="63"/>
      <c r="AY153" s="63"/>
      <c r="AZ153" s="63"/>
      <c r="BA153" s="63"/>
      <c r="BB153" s="63"/>
    </row>
    <row r="154" ht="14.2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/>
      <c r="AU154" s="63"/>
      <c r="AV154" s="63"/>
      <c r="AW154" s="63"/>
      <c r="AX154" s="63"/>
      <c r="AY154" s="63"/>
      <c r="AZ154" s="63"/>
      <c r="BA154" s="63"/>
      <c r="BB154" s="63"/>
    </row>
    <row r="155" ht="14.2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63"/>
      <c r="AW155" s="63"/>
      <c r="AX155" s="63"/>
      <c r="AY155" s="63"/>
      <c r="AZ155" s="63"/>
      <c r="BA155" s="63"/>
      <c r="BB155" s="63"/>
    </row>
    <row r="156" ht="14.2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63"/>
      <c r="AW156" s="63"/>
      <c r="AX156" s="63"/>
      <c r="AY156" s="63"/>
      <c r="AZ156" s="63"/>
      <c r="BA156" s="63"/>
      <c r="BB156" s="63"/>
    </row>
    <row r="157" ht="14.2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63"/>
      <c r="AW157" s="63"/>
      <c r="AX157" s="63"/>
      <c r="AY157" s="63"/>
      <c r="AZ157" s="63"/>
      <c r="BA157" s="63"/>
      <c r="BB157" s="63"/>
    </row>
    <row r="158" ht="14.2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63"/>
      <c r="AW158" s="63"/>
      <c r="AX158" s="63"/>
      <c r="AY158" s="63"/>
      <c r="AZ158" s="63"/>
      <c r="BA158" s="63"/>
      <c r="BB158" s="63"/>
    </row>
    <row r="159" ht="14.2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63"/>
      <c r="AX159" s="63"/>
      <c r="AY159" s="63"/>
      <c r="AZ159" s="63"/>
      <c r="BA159" s="63"/>
      <c r="BB159" s="63"/>
    </row>
    <row r="160" ht="14.2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63"/>
      <c r="AX160" s="63"/>
      <c r="AY160" s="63"/>
      <c r="AZ160" s="63"/>
      <c r="BA160" s="63"/>
      <c r="BB160" s="63"/>
    </row>
    <row r="161" ht="14.2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63"/>
      <c r="AW161" s="63"/>
      <c r="AX161" s="63"/>
      <c r="AY161" s="63"/>
      <c r="AZ161" s="63"/>
      <c r="BA161" s="63"/>
      <c r="BB161" s="63"/>
    </row>
    <row r="162" ht="14.2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/>
      <c r="AU162" s="63"/>
      <c r="AV162" s="63"/>
      <c r="AW162" s="63"/>
      <c r="AX162" s="63"/>
      <c r="AY162" s="63"/>
      <c r="AZ162" s="63"/>
      <c r="BA162" s="63"/>
      <c r="BB162" s="63"/>
    </row>
    <row r="163" ht="14.2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/>
      <c r="AU163" s="63"/>
      <c r="AV163" s="63"/>
      <c r="AW163" s="63"/>
      <c r="AX163" s="63"/>
      <c r="AY163" s="63"/>
      <c r="AZ163" s="63"/>
      <c r="BA163" s="63"/>
      <c r="BB163" s="63"/>
    </row>
    <row r="164" ht="14.2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/>
      <c r="AU164" s="63"/>
      <c r="AV164" s="63"/>
      <c r="AW164" s="63"/>
      <c r="AX164" s="63"/>
      <c r="AY164" s="63"/>
      <c r="AZ164" s="63"/>
      <c r="BA164" s="63"/>
      <c r="BB164" s="63"/>
    </row>
    <row r="165" ht="14.2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63"/>
      <c r="AW165" s="63"/>
      <c r="AX165" s="63"/>
      <c r="AY165" s="63"/>
      <c r="AZ165" s="63"/>
      <c r="BA165" s="63"/>
      <c r="BB165" s="63"/>
    </row>
    <row r="166" ht="14.2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63"/>
      <c r="AW166" s="63"/>
      <c r="AX166" s="63"/>
      <c r="AY166" s="63"/>
      <c r="AZ166" s="63"/>
      <c r="BA166" s="63"/>
      <c r="BB166" s="63"/>
    </row>
    <row r="167" ht="14.2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63"/>
      <c r="AW167" s="63"/>
      <c r="AX167" s="63"/>
      <c r="AY167" s="63"/>
      <c r="AZ167" s="63"/>
      <c r="BA167" s="63"/>
      <c r="BB167" s="63"/>
    </row>
    <row r="168" ht="14.2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/>
      <c r="AU168" s="63"/>
      <c r="AV168" s="63"/>
      <c r="AW168" s="63"/>
      <c r="AX168" s="63"/>
      <c r="AY168" s="63"/>
      <c r="AZ168" s="63"/>
      <c r="BA168" s="63"/>
      <c r="BB168" s="63"/>
    </row>
    <row r="169" ht="14.2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/>
      <c r="AU169" s="63"/>
      <c r="AV169" s="63"/>
      <c r="AW169" s="63"/>
      <c r="AX169" s="63"/>
      <c r="AY169" s="63"/>
      <c r="AZ169" s="63"/>
      <c r="BA169" s="63"/>
      <c r="BB169" s="63"/>
    </row>
    <row r="170" ht="14.2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/>
      <c r="AU170" s="63"/>
      <c r="AV170" s="63"/>
      <c r="AW170" s="63"/>
      <c r="AX170" s="63"/>
      <c r="AY170" s="63"/>
      <c r="AZ170" s="63"/>
      <c r="BA170" s="63"/>
      <c r="BB170" s="63"/>
    </row>
    <row r="171" ht="14.2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  <c r="AM171" s="63"/>
      <c r="AN171" s="63"/>
      <c r="AO171" s="63"/>
      <c r="AP171" s="63"/>
      <c r="AQ171" s="63"/>
      <c r="AR171" s="63"/>
      <c r="AS171" s="63"/>
      <c r="AT171" s="63"/>
      <c r="AU171" s="63"/>
      <c r="AV171" s="63"/>
      <c r="AW171" s="63"/>
      <c r="AX171" s="63"/>
      <c r="AY171" s="63"/>
      <c r="AZ171" s="63"/>
      <c r="BA171" s="63"/>
      <c r="BB171" s="63"/>
    </row>
    <row r="172" ht="14.2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  <c r="AM172" s="63"/>
      <c r="AN172" s="63"/>
      <c r="AO172" s="63"/>
      <c r="AP172" s="63"/>
      <c r="AQ172" s="63"/>
      <c r="AR172" s="63"/>
      <c r="AS172" s="63"/>
      <c r="AT172" s="63"/>
      <c r="AU172" s="63"/>
      <c r="AV172" s="63"/>
      <c r="AW172" s="63"/>
      <c r="AX172" s="63"/>
      <c r="AY172" s="63"/>
      <c r="AZ172" s="63"/>
      <c r="BA172" s="63"/>
      <c r="BB172" s="63"/>
    </row>
    <row r="173" ht="14.2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  <c r="AM173" s="63"/>
      <c r="AN173" s="63"/>
      <c r="AO173" s="63"/>
      <c r="AP173" s="63"/>
      <c r="AQ173" s="63"/>
      <c r="AR173" s="63"/>
      <c r="AS173" s="63"/>
      <c r="AT173" s="63"/>
      <c r="AU173" s="63"/>
      <c r="AV173" s="63"/>
      <c r="AW173" s="63"/>
      <c r="AX173" s="63"/>
      <c r="AY173" s="63"/>
      <c r="AZ173" s="63"/>
      <c r="BA173" s="63"/>
      <c r="BB173" s="63"/>
    </row>
    <row r="174" ht="14.2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  <c r="AM174" s="63"/>
      <c r="AN174" s="63"/>
      <c r="AO174" s="63"/>
      <c r="AP174" s="63"/>
      <c r="AQ174" s="63"/>
      <c r="AR174" s="63"/>
      <c r="AS174" s="63"/>
      <c r="AT174" s="63"/>
      <c r="AU174" s="63"/>
      <c r="AV174" s="63"/>
      <c r="AW174" s="63"/>
      <c r="AX174" s="63"/>
      <c r="AY174" s="63"/>
      <c r="AZ174" s="63"/>
      <c r="BA174" s="63"/>
      <c r="BB174" s="63"/>
    </row>
    <row r="175" ht="14.2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  <c r="AM175" s="63"/>
      <c r="AN175" s="63"/>
      <c r="AO175" s="63"/>
      <c r="AP175" s="63"/>
      <c r="AQ175" s="63"/>
      <c r="AR175" s="63"/>
      <c r="AS175" s="63"/>
      <c r="AT175" s="63"/>
      <c r="AU175" s="63"/>
      <c r="AV175" s="63"/>
      <c r="AW175" s="63"/>
      <c r="AX175" s="63"/>
      <c r="AY175" s="63"/>
      <c r="AZ175" s="63"/>
      <c r="BA175" s="63"/>
      <c r="BB175" s="63"/>
    </row>
    <row r="176" ht="14.2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  <c r="AM176" s="63"/>
      <c r="AN176" s="63"/>
      <c r="AO176" s="63"/>
      <c r="AP176" s="63"/>
      <c r="AQ176" s="63"/>
      <c r="AR176" s="63"/>
      <c r="AS176" s="63"/>
      <c r="AT176" s="63"/>
      <c r="AU176" s="63"/>
      <c r="AV176" s="63"/>
      <c r="AW176" s="63"/>
      <c r="AX176" s="63"/>
      <c r="AY176" s="63"/>
      <c r="AZ176" s="63"/>
      <c r="BA176" s="63"/>
      <c r="BB176" s="63"/>
    </row>
    <row r="177" ht="14.2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63"/>
      <c r="AW177" s="63"/>
      <c r="AX177" s="63"/>
      <c r="AY177" s="63"/>
      <c r="AZ177" s="63"/>
      <c r="BA177" s="63"/>
      <c r="BB177" s="63"/>
    </row>
    <row r="178" ht="14.2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  <c r="AM178" s="63"/>
      <c r="AN178" s="63"/>
      <c r="AO178" s="63"/>
      <c r="AP178" s="63"/>
      <c r="AQ178" s="63"/>
      <c r="AR178" s="63"/>
      <c r="AS178" s="63"/>
      <c r="AT178" s="63"/>
      <c r="AU178" s="63"/>
      <c r="AV178" s="63"/>
      <c r="AW178" s="63"/>
      <c r="AX178" s="63"/>
      <c r="AY178" s="63"/>
      <c r="AZ178" s="63"/>
      <c r="BA178" s="63"/>
      <c r="BB178" s="63"/>
    </row>
    <row r="179" ht="14.2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  <c r="AN179" s="63"/>
      <c r="AO179" s="63"/>
      <c r="AP179" s="63"/>
      <c r="AQ179" s="63"/>
      <c r="AR179" s="63"/>
      <c r="AS179" s="63"/>
      <c r="AT179" s="63"/>
      <c r="AU179" s="63"/>
      <c r="AV179" s="63"/>
      <c r="AW179" s="63"/>
      <c r="AX179" s="63"/>
      <c r="AY179" s="63"/>
      <c r="AZ179" s="63"/>
      <c r="BA179" s="63"/>
      <c r="BB179" s="63"/>
    </row>
    <row r="180" ht="14.2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  <c r="AM180" s="63"/>
      <c r="AN180" s="63"/>
      <c r="AO180" s="63"/>
      <c r="AP180" s="63"/>
      <c r="AQ180" s="63"/>
      <c r="AR180" s="63"/>
      <c r="AS180" s="63"/>
      <c r="AT180" s="63"/>
      <c r="AU180" s="63"/>
      <c r="AV180" s="63"/>
      <c r="AW180" s="63"/>
      <c r="AX180" s="63"/>
      <c r="AY180" s="63"/>
      <c r="AZ180" s="63"/>
      <c r="BA180" s="63"/>
      <c r="BB180" s="63"/>
    </row>
    <row r="181" ht="14.2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3"/>
      <c r="AP181" s="63"/>
      <c r="AQ181" s="63"/>
      <c r="AR181" s="63"/>
      <c r="AS181" s="63"/>
      <c r="AT181" s="63"/>
      <c r="AU181" s="63"/>
      <c r="AV181" s="63"/>
      <c r="AW181" s="63"/>
      <c r="AX181" s="63"/>
      <c r="AY181" s="63"/>
      <c r="AZ181" s="63"/>
      <c r="BA181" s="63"/>
      <c r="BB181" s="63"/>
    </row>
    <row r="182" ht="14.2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  <c r="AM182" s="63"/>
      <c r="AN182" s="63"/>
      <c r="AO182" s="63"/>
      <c r="AP182" s="63"/>
      <c r="AQ182" s="63"/>
      <c r="AR182" s="63"/>
      <c r="AS182" s="63"/>
      <c r="AT182" s="63"/>
      <c r="AU182" s="63"/>
      <c r="AV182" s="63"/>
      <c r="AW182" s="63"/>
      <c r="AX182" s="63"/>
      <c r="AY182" s="63"/>
      <c r="AZ182" s="63"/>
      <c r="BA182" s="63"/>
      <c r="BB182" s="63"/>
    </row>
    <row r="183" ht="14.2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3"/>
      <c r="AP183" s="63"/>
      <c r="AQ183" s="63"/>
      <c r="AR183" s="63"/>
      <c r="AS183" s="63"/>
      <c r="AT183" s="63"/>
      <c r="AU183" s="63"/>
      <c r="AV183" s="63"/>
      <c r="AW183" s="63"/>
      <c r="AX183" s="63"/>
      <c r="AY183" s="63"/>
      <c r="AZ183" s="63"/>
      <c r="BA183" s="63"/>
      <c r="BB183" s="63"/>
    </row>
    <row r="184" ht="14.2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  <c r="AM184" s="63"/>
      <c r="AN184" s="63"/>
      <c r="AO184" s="63"/>
      <c r="AP184" s="63"/>
      <c r="AQ184" s="63"/>
      <c r="AR184" s="63"/>
      <c r="AS184" s="63"/>
      <c r="AT184" s="63"/>
      <c r="AU184" s="63"/>
      <c r="AV184" s="63"/>
      <c r="AW184" s="63"/>
      <c r="AX184" s="63"/>
      <c r="AY184" s="63"/>
      <c r="AZ184" s="63"/>
      <c r="BA184" s="63"/>
      <c r="BB184" s="63"/>
    </row>
    <row r="185" ht="14.2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3"/>
      <c r="AP185" s="63"/>
      <c r="AQ185" s="63"/>
      <c r="AR185" s="63"/>
      <c r="AS185" s="63"/>
      <c r="AT185" s="63"/>
      <c r="AU185" s="63"/>
      <c r="AV185" s="63"/>
      <c r="AW185" s="63"/>
      <c r="AX185" s="63"/>
      <c r="AY185" s="63"/>
      <c r="AZ185" s="63"/>
      <c r="BA185" s="63"/>
      <c r="BB185" s="63"/>
    </row>
    <row r="186" ht="14.2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  <c r="AM186" s="63"/>
      <c r="AN186" s="63"/>
      <c r="AO186" s="63"/>
      <c r="AP186" s="63"/>
      <c r="AQ186" s="63"/>
      <c r="AR186" s="63"/>
      <c r="AS186" s="63"/>
      <c r="AT186" s="63"/>
      <c r="AU186" s="63"/>
      <c r="AV186" s="63"/>
      <c r="AW186" s="63"/>
      <c r="AX186" s="63"/>
      <c r="AY186" s="63"/>
      <c r="AZ186" s="63"/>
      <c r="BA186" s="63"/>
      <c r="BB186" s="63"/>
    </row>
    <row r="187" ht="14.2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3"/>
      <c r="AP187" s="63"/>
      <c r="AQ187" s="63"/>
      <c r="AR187" s="63"/>
      <c r="AS187" s="63"/>
      <c r="AT187" s="63"/>
      <c r="AU187" s="63"/>
      <c r="AV187" s="63"/>
      <c r="AW187" s="63"/>
      <c r="AX187" s="63"/>
      <c r="AY187" s="63"/>
      <c r="AZ187" s="63"/>
      <c r="BA187" s="63"/>
      <c r="BB187" s="63"/>
    </row>
    <row r="188" ht="14.2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  <c r="AM188" s="63"/>
      <c r="AN188" s="63"/>
      <c r="AO188" s="63"/>
      <c r="AP188" s="63"/>
      <c r="AQ188" s="63"/>
      <c r="AR188" s="63"/>
      <c r="AS188" s="63"/>
      <c r="AT188" s="63"/>
      <c r="AU188" s="63"/>
      <c r="AV188" s="63"/>
      <c r="AW188" s="63"/>
      <c r="AX188" s="63"/>
      <c r="AY188" s="63"/>
      <c r="AZ188" s="63"/>
      <c r="BA188" s="63"/>
      <c r="BB188" s="63"/>
    </row>
    <row r="189" ht="14.2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63"/>
      <c r="AW189" s="63"/>
      <c r="AX189" s="63"/>
      <c r="AY189" s="63"/>
      <c r="AZ189" s="63"/>
      <c r="BA189" s="63"/>
      <c r="BB189" s="63"/>
    </row>
    <row r="190" ht="14.2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63"/>
      <c r="AW190" s="63"/>
      <c r="AX190" s="63"/>
      <c r="AY190" s="63"/>
      <c r="AZ190" s="63"/>
      <c r="BA190" s="63"/>
      <c r="BB190" s="63"/>
    </row>
    <row r="191" ht="14.2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63"/>
      <c r="AW191" s="63"/>
      <c r="AX191" s="63"/>
      <c r="AY191" s="63"/>
      <c r="AZ191" s="63"/>
      <c r="BA191" s="63"/>
      <c r="BB191" s="63"/>
    </row>
    <row r="192" ht="14.2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  <c r="AM192" s="63"/>
      <c r="AN192" s="63"/>
      <c r="AO192" s="63"/>
      <c r="AP192" s="63"/>
      <c r="AQ192" s="63"/>
      <c r="AR192" s="63"/>
      <c r="AS192" s="63"/>
      <c r="AT192" s="63"/>
      <c r="AU192" s="63"/>
      <c r="AV192" s="63"/>
      <c r="AW192" s="63"/>
      <c r="AX192" s="63"/>
      <c r="AY192" s="63"/>
      <c r="AZ192" s="63"/>
      <c r="BA192" s="63"/>
      <c r="BB192" s="63"/>
    </row>
    <row r="193" ht="14.2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63"/>
      <c r="AX193" s="63"/>
      <c r="AY193" s="63"/>
      <c r="AZ193" s="63"/>
      <c r="BA193" s="63"/>
      <c r="BB193" s="63"/>
    </row>
    <row r="194" ht="14.2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  <c r="AM194" s="63"/>
      <c r="AN194" s="63"/>
      <c r="AO194" s="63"/>
      <c r="AP194" s="63"/>
      <c r="AQ194" s="63"/>
      <c r="AR194" s="63"/>
      <c r="AS194" s="63"/>
      <c r="AT194" s="63"/>
      <c r="AU194" s="63"/>
      <c r="AV194" s="63"/>
      <c r="AW194" s="63"/>
      <c r="AX194" s="63"/>
      <c r="AY194" s="63"/>
      <c r="AZ194" s="63"/>
      <c r="BA194" s="63"/>
      <c r="BB194" s="63"/>
    </row>
    <row r="195" ht="14.2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  <c r="AM195" s="63"/>
      <c r="AN195" s="63"/>
      <c r="AO195" s="63"/>
      <c r="AP195" s="63"/>
      <c r="AQ195" s="63"/>
      <c r="AR195" s="63"/>
      <c r="AS195" s="63"/>
      <c r="AT195" s="63"/>
      <c r="AU195" s="63"/>
      <c r="AV195" s="63"/>
      <c r="AW195" s="63"/>
      <c r="AX195" s="63"/>
      <c r="AY195" s="63"/>
      <c r="AZ195" s="63"/>
      <c r="BA195" s="63"/>
      <c r="BB195" s="63"/>
    </row>
    <row r="196" ht="14.2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  <c r="AM196" s="63"/>
      <c r="AN196" s="63"/>
      <c r="AO196" s="63"/>
      <c r="AP196" s="63"/>
      <c r="AQ196" s="63"/>
      <c r="AR196" s="63"/>
      <c r="AS196" s="63"/>
      <c r="AT196" s="63"/>
      <c r="AU196" s="63"/>
      <c r="AV196" s="63"/>
      <c r="AW196" s="63"/>
      <c r="AX196" s="63"/>
      <c r="AY196" s="63"/>
      <c r="AZ196" s="63"/>
      <c r="BA196" s="63"/>
      <c r="BB196" s="63"/>
    </row>
    <row r="197" ht="14.2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  <c r="AM197" s="63"/>
      <c r="AN197" s="63"/>
      <c r="AO197" s="63"/>
      <c r="AP197" s="63"/>
      <c r="AQ197" s="63"/>
      <c r="AR197" s="63"/>
      <c r="AS197" s="63"/>
      <c r="AT197" s="63"/>
      <c r="AU197" s="63"/>
      <c r="AV197" s="63"/>
      <c r="AW197" s="63"/>
      <c r="AX197" s="63"/>
      <c r="AY197" s="63"/>
      <c r="AZ197" s="63"/>
      <c r="BA197" s="63"/>
      <c r="BB197" s="63"/>
    </row>
    <row r="198" ht="14.2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  <c r="AM198" s="63"/>
      <c r="AN198" s="63"/>
      <c r="AO198" s="63"/>
      <c r="AP198" s="63"/>
      <c r="AQ198" s="63"/>
      <c r="AR198" s="63"/>
      <c r="AS198" s="63"/>
      <c r="AT198" s="63"/>
      <c r="AU198" s="63"/>
      <c r="AV198" s="63"/>
      <c r="AW198" s="63"/>
      <c r="AX198" s="63"/>
      <c r="AY198" s="63"/>
      <c r="AZ198" s="63"/>
      <c r="BA198" s="63"/>
      <c r="BB198" s="63"/>
    </row>
    <row r="199" ht="14.2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3"/>
      <c r="AP199" s="63"/>
      <c r="AQ199" s="63"/>
      <c r="AR199" s="63"/>
      <c r="AS199" s="63"/>
      <c r="AT199" s="63"/>
      <c r="AU199" s="63"/>
      <c r="AV199" s="63"/>
      <c r="AW199" s="63"/>
      <c r="AX199" s="63"/>
      <c r="AY199" s="63"/>
      <c r="AZ199" s="63"/>
      <c r="BA199" s="63"/>
      <c r="BB199" s="63"/>
    </row>
    <row r="200" ht="14.2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  <c r="AM200" s="63"/>
      <c r="AN200" s="63"/>
      <c r="AO200" s="63"/>
      <c r="AP200" s="63"/>
      <c r="AQ200" s="63"/>
      <c r="AR200" s="63"/>
      <c r="AS200" s="63"/>
      <c r="AT200" s="63"/>
      <c r="AU200" s="63"/>
      <c r="AV200" s="63"/>
      <c r="AW200" s="63"/>
      <c r="AX200" s="63"/>
      <c r="AY200" s="63"/>
      <c r="AZ200" s="63"/>
      <c r="BA200" s="63"/>
      <c r="BB200" s="63"/>
    </row>
    <row r="201" ht="14.2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  <c r="AN201" s="63"/>
      <c r="AO201" s="63"/>
      <c r="AP201" s="63"/>
      <c r="AQ201" s="63"/>
      <c r="AR201" s="63"/>
      <c r="AS201" s="63"/>
      <c r="AT201" s="63"/>
      <c r="AU201" s="63"/>
      <c r="AV201" s="63"/>
      <c r="AW201" s="63"/>
      <c r="AX201" s="63"/>
      <c r="AY201" s="63"/>
      <c r="AZ201" s="63"/>
      <c r="BA201" s="63"/>
      <c r="BB201" s="63"/>
    </row>
    <row r="202" ht="14.2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  <c r="AM202" s="63"/>
      <c r="AN202" s="63"/>
      <c r="AO202" s="63"/>
      <c r="AP202" s="63"/>
      <c r="AQ202" s="63"/>
      <c r="AR202" s="63"/>
      <c r="AS202" s="63"/>
      <c r="AT202" s="63"/>
      <c r="AU202" s="63"/>
      <c r="AV202" s="63"/>
      <c r="AW202" s="63"/>
      <c r="AX202" s="63"/>
      <c r="AY202" s="63"/>
      <c r="AZ202" s="63"/>
      <c r="BA202" s="63"/>
      <c r="BB202" s="63"/>
    </row>
    <row r="203" ht="14.2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  <c r="AM203" s="63"/>
      <c r="AN203" s="63"/>
      <c r="AO203" s="63"/>
      <c r="AP203" s="63"/>
      <c r="AQ203" s="63"/>
      <c r="AR203" s="63"/>
      <c r="AS203" s="63"/>
      <c r="AT203" s="63"/>
      <c r="AU203" s="63"/>
      <c r="AV203" s="63"/>
      <c r="AW203" s="63"/>
      <c r="AX203" s="63"/>
      <c r="AY203" s="63"/>
      <c r="AZ203" s="63"/>
      <c r="BA203" s="63"/>
      <c r="BB203" s="63"/>
    </row>
    <row r="204" ht="14.2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  <c r="AM204" s="63"/>
      <c r="AN204" s="63"/>
      <c r="AO204" s="63"/>
      <c r="AP204" s="63"/>
      <c r="AQ204" s="63"/>
      <c r="AR204" s="63"/>
      <c r="AS204" s="63"/>
      <c r="AT204" s="63"/>
      <c r="AU204" s="63"/>
      <c r="AV204" s="63"/>
      <c r="AW204" s="63"/>
      <c r="AX204" s="63"/>
      <c r="AY204" s="63"/>
      <c r="AZ204" s="63"/>
      <c r="BA204" s="63"/>
      <c r="BB204" s="63"/>
    </row>
    <row r="205" ht="14.2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  <c r="AM205" s="63"/>
      <c r="AN205" s="63"/>
      <c r="AO205" s="63"/>
      <c r="AP205" s="63"/>
      <c r="AQ205" s="63"/>
      <c r="AR205" s="63"/>
      <c r="AS205" s="63"/>
      <c r="AT205" s="63"/>
      <c r="AU205" s="63"/>
      <c r="AV205" s="63"/>
      <c r="AW205" s="63"/>
      <c r="AX205" s="63"/>
      <c r="AY205" s="63"/>
      <c r="AZ205" s="63"/>
      <c r="BA205" s="63"/>
      <c r="BB205" s="63"/>
    </row>
    <row r="206" ht="14.2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  <c r="AM206" s="63"/>
      <c r="AN206" s="63"/>
      <c r="AO206" s="63"/>
      <c r="AP206" s="63"/>
      <c r="AQ206" s="63"/>
      <c r="AR206" s="63"/>
      <c r="AS206" s="63"/>
      <c r="AT206" s="63"/>
      <c r="AU206" s="63"/>
      <c r="AV206" s="63"/>
      <c r="AW206" s="63"/>
      <c r="AX206" s="63"/>
      <c r="AY206" s="63"/>
      <c r="AZ206" s="63"/>
      <c r="BA206" s="63"/>
      <c r="BB206" s="63"/>
    </row>
    <row r="207" ht="14.2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  <c r="AM207" s="63"/>
      <c r="AN207" s="63"/>
      <c r="AO207" s="63"/>
      <c r="AP207" s="63"/>
      <c r="AQ207" s="63"/>
      <c r="AR207" s="63"/>
      <c r="AS207" s="63"/>
      <c r="AT207" s="63"/>
      <c r="AU207" s="63"/>
      <c r="AV207" s="63"/>
      <c r="AW207" s="63"/>
      <c r="AX207" s="63"/>
      <c r="AY207" s="63"/>
      <c r="AZ207" s="63"/>
      <c r="BA207" s="63"/>
      <c r="BB207" s="63"/>
    </row>
    <row r="208" ht="14.2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3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</row>
    <row r="209" ht="14.2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  <c r="AM209" s="63"/>
      <c r="AN209" s="63"/>
      <c r="AO209" s="63"/>
      <c r="AP209" s="63"/>
      <c r="AQ209" s="63"/>
      <c r="AR209" s="63"/>
      <c r="AS209" s="63"/>
      <c r="AT209" s="63"/>
      <c r="AU209" s="63"/>
      <c r="AV209" s="63"/>
      <c r="AW209" s="63"/>
      <c r="AX209" s="63"/>
      <c r="AY209" s="63"/>
      <c r="AZ209" s="63"/>
      <c r="BA209" s="63"/>
      <c r="BB209" s="63"/>
    </row>
    <row r="210" ht="14.2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  <c r="AM210" s="63"/>
      <c r="AN210" s="63"/>
      <c r="AO210" s="63"/>
      <c r="AP210" s="63"/>
      <c r="AQ210" s="63"/>
      <c r="AR210" s="63"/>
      <c r="AS210" s="63"/>
      <c r="AT210" s="63"/>
      <c r="AU210" s="63"/>
      <c r="AV210" s="63"/>
      <c r="AW210" s="63"/>
      <c r="AX210" s="63"/>
      <c r="AY210" s="63"/>
      <c r="AZ210" s="63"/>
      <c r="BA210" s="63"/>
      <c r="BB210" s="63"/>
    </row>
    <row r="211" ht="14.2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  <c r="AM211" s="63"/>
      <c r="AN211" s="63"/>
      <c r="AO211" s="63"/>
      <c r="AP211" s="63"/>
      <c r="AQ211" s="63"/>
      <c r="AR211" s="63"/>
      <c r="AS211" s="63"/>
      <c r="AT211" s="63"/>
      <c r="AU211" s="63"/>
      <c r="AV211" s="63"/>
      <c r="AW211" s="63"/>
      <c r="AX211" s="63"/>
      <c r="AY211" s="63"/>
      <c r="AZ211" s="63"/>
      <c r="BA211" s="63"/>
      <c r="BB211" s="63"/>
    </row>
    <row r="212" ht="14.2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  <c r="AM212" s="63"/>
      <c r="AN212" s="63"/>
      <c r="AO212" s="63"/>
      <c r="AP212" s="63"/>
      <c r="AQ212" s="63"/>
      <c r="AR212" s="63"/>
      <c r="AS212" s="63"/>
      <c r="AT212" s="63"/>
      <c r="AU212" s="63"/>
      <c r="AV212" s="63"/>
      <c r="AW212" s="63"/>
      <c r="AX212" s="63"/>
      <c r="AY212" s="63"/>
      <c r="AZ212" s="63"/>
      <c r="BA212" s="63"/>
      <c r="BB212" s="63"/>
    </row>
    <row r="213" ht="14.2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  <c r="AM213" s="63"/>
      <c r="AN213" s="63"/>
      <c r="AO213" s="63"/>
      <c r="AP213" s="63"/>
      <c r="AQ213" s="63"/>
      <c r="AR213" s="63"/>
      <c r="AS213" s="63"/>
      <c r="AT213" s="63"/>
      <c r="AU213" s="63"/>
      <c r="AV213" s="63"/>
      <c r="AW213" s="63"/>
      <c r="AX213" s="63"/>
      <c r="AY213" s="63"/>
      <c r="AZ213" s="63"/>
      <c r="BA213" s="63"/>
      <c r="BB213" s="63"/>
    </row>
    <row r="214" ht="14.2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  <c r="AM214" s="63"/>
      <c r="AN214" s="63"/>
      <c r="AO214" s="63"/>
      <c r="AP214" s="63"/>
      <c r="AQ214" s="63"/>
      <c r="AR214" s="63"/>
      <c r="AS214" s="63"/>
      <c r="AT214" s="63"/>
      <c r="AU214" s="63"/>
      <c r="AV214" s="63"/>
      <c r="AW214" s="63"/>
      <c r="AX214" s="63"/>
      <c r="AY214" s="63"/>
      <c r="AZ214" s="63"/>
      <c r="BA214" s="63"/>
      <c r="BB214" s="63"/>
    </row>
    <row r="215" ht="14.2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3"/>
      <c r="AP215" s="63"/>
      <c r="AQ215" s="63"/>
      <c r="AR215" s="63"/>
      <c r="AS215" s="63"/>
      <c r="AT215" s="63"/>
      <c r="AU215" s="63"/>
      <c r="AV215" s="63"/>
      <c r="AW215" s="63"/>
      <c r="AX215" s="63"/>
      <c r="AY215" s="63"/>
      <c r="AZ215" s="63"/>
      <c r="BA215" s="63"/>
      <c r="BB215" s="63"/>
    </row>
    <row r="216" ht="14.2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  <c r="AM216" s="63"/>
      <c r="AN216" s="63"/>
      <c r="AO216" s="63"/>
      <c r="AP216" s="63"/>
      <c r="AQ216" s="63"/>
      <c r="AR216" s="63"/>
      <c r="AS216" s="63"/>
      <c r="AT216" s="63"/>
      <c r="AU216" s="63"/>
      <c r="AV216" s="63"/>
      <c r="AW216" s="63"/>
      <c r="AX216" s="63"/>
      <c r="AY216" s="63"/>
      <c r="AZ216" s="63"/>
      <c r="BA216" s="63"/>
      <c r="BB216" s="63"/>
    </row>
    <row r="217" ht="14.2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3"/>
      <c r="AP217" s="63"/>
      <c r="AQ217" s="63"/>
      <c r="AR217" s="63"/>
      <c r="AS217" s="63"/>
      <c r="AT217" s="63"/>
      <c r="AU217" s="63"/>
      <c r="AV217" s="63"/>
      <c r="AW217" s="63"/>
      <c r="AX217" s="63"/>
      <c r="AY217" s="63"/>
      <c r="AZ217" s="63"/>
      <c r="BA217" s="63"/>
      <c r="BB217" s="63"/>
    </row>
    <row r="218" ht="14.2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  <c r="AM218" s="63"/>
      <c r="AN218" s="63"/>
      <c r="AO218" s="63"/>
      <c r="AP218" s="63"/>
      <c r="AQ218" s="63"/>
      <c r="AR218" s="63"/>
      <c r="AS218" s="63"/>
      <c r="AT218" s="63"/>
      <c r="AU218" s="63"/>
      <c r="AV218" s="63"/>
      <c r="AW218" s="63"/>
      <c r="AX218" s="63"/>
      <c r="AY218" s="63"/>
      <c r="AZ218" s="63"/>
      <c r="BA218" s="63"/>
      <c r="BB218" s="63"/>
    </row>
    <row r="219" ht="14.2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3"/>
      <c r="AP219" s="63"/>
      <c r="AQ219" s="63"/>
      <c r="AR219" s="63"/>
      <c r="AS219" s="63"/>
      <c r="AT219" s="63"/>
      <c r="AU219" s="63"/>
      <c r="AV219" s="63"/>
      <c r="AW219" s="63"/>
      <c r="AX219" s="63"/>
      <c r="AY219" s="63"/>
      <c r="AZ219" s="63"/>
      <c r="BA219" s="63"/>
      <c r="BB219" s="63"/>
    </row>
    <row r="220" ht="14.2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63"/>
      <c r="AO220" s="63"/>
      <c r="AP220" s="63"/>
      <c r="AQ220" s="63"/>
      <c r="AR220" s="63"/>
      <c r="AS220" s="63"/>
      <c r="AT220" s="63"/>
      <c r="AU220" s="63"/>
      <c r="AV220" s="63"/>
      <c r="AW220" s="63"/>
      <c r="AX220" s="63"/>
      <c r="AY220" s="63"/>
      <c r="AZ220" s="63"/>
      <c r="BA220" s="63"/>
      <c r="BB220" s="63"/>
    </row>
    <row r="221" ht="14.2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3"/>
      <c r="AP221" s="63"/>
      <c r="AQ221" s="63"/>
      <c r="AR221" s="63"/>
      <c r="AS221" s="63"/>
      <c r="AT221" s="63"/>
      <c r="AU221" s="63"/>
      <c r="AV221" s="63"/>
      <c r="AW221" s="63"/>
      <c r="AX221" s="63"/>
      <c r="AY221" s="63"/>
      <c r="AZ221" s="63"/>
      <c r="BA221" s="63"/>
      <c r="BB221" s="63"/>
    </row>
    <row r="222" ht="14.2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  <c r="AO222" s="63"/>
      <c r="AP222" s="63"/>
      <c r="AQ222" s="63"/>
      <c r="AR222" s="63"/>
      <c r="AS222" s="63"/>
      <c r="AT222" s="63"/>
      <c r="AU222" s="63"/>
      <c r="AV222" s="63"/>
      <c r="AW222" s="63"/>
      <c r="AX222" s="63"/>
      <c r="AY222" s="63"/>
      <c r="AZ222" s="63"/>
      <c r="BA222" s="63"/>
      <c r="BB222" s="63"/>
    </row>
    <row r="223" ht="14.2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  <c r="AO223" s="63"/>
      <c r="AP223" s="63"/>
      <c r="AQ223" s="63"/>
      <c r="AR223" s="63"/>
      <c r="AS223" s="63"/>
      <c r="AT223" s="63"/>
      <c r="AU223" s="63"/>
      <c r="AV223" s="63"/>
      <c r="AW223" s="63"/>
      <c r="AX223" s="63"/>
      <c r="AY223" s="63"/>
      <c r="AZ223" s="63"/>
      <c r="BA223" s="63"/>
      <c r="BB223" s="63"/>
    </row>
    <row r="224" ht="14.2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  <c r="AO224" s="63"/>
      <c r="AP224" s="63"/>
      <c r="AQ224" s="63"/>
      <c r="AR224" s="63"/>
      <c r="AS224" s="63"/>
      <c r="AT224" s="63"/>
      <c r="AU224" s="63"/>
      <c r="AV224" s="63"/>
      <c r="AW224" s="63"/>
      <c r="AX224" s="63"/>
      <c r="AY224" s="63"/>
      <c r="AZ224" s="63"/>
      <c r="BA224" s="63"/>
      <c r="BB224" s="63"/>
    </row>
    <row r="225" ht="14.2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  <c r="AO225" s="63"/>
      <c r="AP225" s="63"/>
      <c r="AQ225" s="63"/>
      <c r="AR225" s="63"/>
      <c r="AS225" s="63"/>
      <c r="AT225" s="63"/>
      <c r="AU225" s="63"/>
      <c r="AV225" s="63"/>
      <c r="AW225" s="63"/>
      <c r="AX225" s="63"/>
      <c r="AY225" s="63"/>
      <c r="AZ225" s="63"/>
      <c r="BA225" s="63"/>
      <c r="BB225" s="63"/>
    </row>
    <row r="226" ht="14.2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  <c r="AS226" s="63"/>
      <c r="AT226" s="63"/>
      <c r="AU226" s="63"/>
      <c r="AV226" s="63"/>
      <c r="AW226" s="63"/>
      <c r="AX226" s="63"/>
      <c r="AY226" s="63"/>
      <c r="AZ226" s="63"/>
      <c r="BA226" s="63"/>
      <c r="BB226" s="63"/>
    </row>
    <row r="227" ht="14.2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  <c r="AS227" s="63"/>
      <c r="AT227" s="63"/>
      <c r="AU227" s="63"/>
      <c r="AV227" s="63"/>
      <c r="AW227" s="63"/>
      <c r="AX227" s="63"/>
      <c r="AY227" s="63"/>
      <c r="AZ227" s="63"/>
      <c r="BA227" s="63"/>
      <c r="BB227" s="63"/>
    </row>
    <row r="228" ht="14.2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  <c r="AS228" s="63"/>
      <c r="AT228" s="63"/>
      <c r="AU228" s="63"/>
      <c r="AV228" s="63"/>
      <c r="AW228" s="63"/>
      <c r="AX228" s="63"/>
      <c r="AY228" s="63"/>
      <c r="AZ228" s="63"/>
      <c r="BA228" s="63"/>
      <c r="BB228" s="63"/>
    </row>
    <row r="229" ht="14.2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  <c r="AS229" s="63"/>
      <c r="AT229" s="63"/>
      <c r="AU229" s="63"/>
      <c r="AV229" s="63"/>
      <c r="AW229" s="63"/>
      <c r="AX229" s="63"/>
      <c r="AY229" s="63"/>
      <c r="AZ229" s="63"/>
      <c r="BA229" s="63"/>
      <c r="BB229" s="63"/>
    </row>
    <row r="230" ht="14.2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  <c r="AS230" s="63"/>
      <c r="AT230" s="63"/>
      <c r="AU230" s="63"/>
      <c r="AV230" s="63"/>
      <c r="AW230" s="63"/>
      <c r="AX230" s="63"/>
      <c r="AY230" s="63"/>
      <c r="AZ230" s="63"/>
      <c r="BA230" s="63"/>
      <c r="BB230" s="63"/>
    </row>
    <row r="231" ht="14.2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  <c r="AS231" s="63"/>
      <c r="AT231" s="63"/>
      <c r="AU231" s="63"/>
      <c r="AV231" s="63"/>
      <c r="AW231" s="63"/>
      <c r="AX231" s="63"/>
      <c r="AY231" s="63"/>
      <c r="AZ231" s="63"/>
      <c r="BA231" s="63"/>
      <c r="BB231" s="63"/>
    </row>
    <row r="232" ht="14.2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  <c r="AS232" s="63"/>
      <c r="AT232" s="63"/>
      <c r="AU232" s="63"/>
      <c r="AV232" s="63"/>
      <c r="AW232" s="63"/>
      <c r="AX232" s="63"/>
      <c r="AY232" s="63"/>
      <c r="AZ232" s="63"/>
      <c r="BA232" s="63"/>
      <c r="BB232" s="63"/>
    </row>
    <row r="233" ht="14.2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  <c r="AS233" s="63"/>
      <c r="AT233" s="63"/>
      <c r="AU233" s="63"/>
      <c r="AV233" s="63"/>
      <c r="AW233" s="63"/>
      <c r="AX233" s="63"/>
      <c r="AY233" s="63"/>
      <c r="AZ233" s="63"/>
      <c r="BA233" s="63"/>
      <c r="BB233" s="63"/>
    </row>
    <row r="234" ht="14.2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  <c r="AU234" s="63"/>
      <c r="AV234" s="63"/>
      <c r="AW234" s="63"/>
      <c r="AX234" s="63"/>
      <c r="AY234" s="63"/>
      <c r="AZ234" s="63"/>
      <c r="BA234" s="63"/>
      <c r="BB234" s="63"/>
    </row>
    <row r="235" ht="14.2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  <c r="AU235" s="63"/>
      <c r="AV235" s="63"/>
      <c r="AW235" s="63"/>
      <c r="AX235" s="63"/>
      <c r="AY235" s="63"/>
      <c r="AZ235" s="63"/>
      <c r="BA235" s="63"/>
      <c r="BB235" s="63"/>
    </row>
    <row r="236" ht="14.2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  <c r="AU236" s="63"/>
      <c r="AV236" s="63"/>
      <c r="AW236" s="63"/>
      <c r="AX236" s="63"/>
      <c r="AY236" s="63"/>
      <c r="AZ236" s="63"/>
      <c r="BA236" s="63"/>
      <c r="BB236" s="63"/>
    </row>
    <row r="237" ht="14.2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  <c r="AU237" s="63"/>
      <c r="AV237" s="63"/>
      <c r="AW237" s="63"/>
      <c r="AX237" s="63"/>
      <c r="AY237" s="63"/>
      <c r="AZ237" s="63"/>
      <c r="BA237" s="63"/>
      <c r="BB237" s="63"/>
    </row>
    <row r="238" ht="14.2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  <c r="AU238" s="63"/>
      <c r="AV238" s="63"/>
      <c r="AW238" s="63"/>
      <c r="AX238" s="63"/>
      <c r="AY238" s="63"/>
      <c r="AZ238" s="63"/>
      <c r="BA238" s="63"/>
      <c r="BB238" s="63"/>
    </row>
    <row r="239" ht="14.2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  <c r="AU239" s="63"/>
      <c r="AV239" s="63"/>
      <c r="AW239" s="63"/>
      <c r="AX239" s="63"/>
      <c r="AY239" s="63"/>
      <c r="AZ239" s="63"/>
      <c r="BA239" s="63"/>
      <c r="BB239" s="63"/>
    </row>
    <row r="240" ht="14.2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  <c r="AU240" s="63"/>
      <c r="AV240" s="63"/>
      <c r="AW240" s="63"/>
      <c r="AX240" s="63"/>
      <c r="AY240" s="63"/>
      <c r="AZ240" s="63"/>
      <c r="BA240" s="63"/>
      <c r="BB240" s="63"/>
    </row>
    <row r="241" ht="14.2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  <c r="AU241" s="63"/>
      <c r="AV241" s="63"/>
      <c r="AW241" s="63"/>
      <c r="AX241" s="63"/>
      <c r="AY241" s="63"/>
      <c r="AZ241" s="63"/>
      <c r="BA241" s="63"/>
      <c r="BB241" s="63"/>
    </row>
    <row r="242" ht="14.2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  <c r="AU242" s="63"/>
      <c r="AV242" s="63"/>
      <c r="AW242" s="63"/>
      <c r="AX242" s="63"/>
      <c r="AY242" s="63"/>
      <c r="AZ242" s="63"/>
      <c r="BA242" s="63"/>
      <c r="BB242" s="63"/>
    </row>
    <row r="243" ht="14.2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  <c r="AU243" s="63"/>
      <c r="AV243" s="63"/>
      <c r="AW243" s="63"/>
      <c r="AX243" s="63"/>
      <c r="AY243" s="63"/>
      <c r="AZ243" s="63"/>
      <c r="BA243" s="63"/>
      <c r="BB243" s="63"/>
    </row>
    <row r="244" ht="14.2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  <c r="AU244" s="63"/>
      <c r="AV244" s="63"/>
      <c r="AW244" s="63"/>
      <c r="AX244" s="63"/>
      <c r="AY244" s="63"/>
      <c r="AZ244" s="63"/>
      <c r="BA244" s="63"/>
      <c r="BB244" s="63"/>
    </row>
    <row r="245" ht="14.2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  <c r="AU245" s="63"/>
      <c r="AV245" s="63"/>
      <c r="AW245" s="63"/>
      <c r="AX245" s="63"/>
      <c r="AY245" s="63"/>
      <c r="AZ245" s="63"/>
      <c r="BA245" s="63"/>
      <c r="BB245" s="63"/>
    </row>
    <row r="246" ht="14.2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  <c r="AU246" s="63"/>
      <c r="AV246" s="63"/>
      <c r="AW246" s="63"/>
      <c r="AX246" s="63"/>
      <c r="AY246" s="63"/>
      <c r="AZ246" s="63"/>
      <c r="BA246" s="63"/>
      <c r="BB246" s="63"/>
    </row>
    <row r="247" ht="14.2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  <c r="AU247" s="63"/>
      <c r="AV247" s="63"/>
      <c r="AW247" s="63"/>
      <c r="AX247" s="63"/>
      <c r="AY247" s="63"/>
      <c r="AZ247" s="63"/>
      <c r="BA247" s="63"/>
      <c r="BB247" s="63"/>
    </row>
    <row r="248" ht="14.2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  <c r="AU248" s="63"/>
      <c r="AV248" s="63"/>
      <c r="AW248" s="63"/>
      <c r="AX248" s="63"/>
      <c r="AY248" s="63"/>
      <c r="AZ248" s="63"/>
      <c r="BA248" s="63"/>
      <c r="BB248" s="63"/>
    </row>
    <row r="249" ht="14.2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  <c r="AU249" s="63"/>
      <c r="AV249" s="63"/>
      <c r="AW249" s="63"/>
      <c r="AX249" s="63"/>
      <c r="AY249" s="63"/>
      <c r="AZ249" s="63"/>
      <c r="BA249" s="63"/>
      <c r="BB249" s="63"/>
    </row>
    <row r="250" ht="14.2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  <c r="AU250" s="63"/>
      <c r="AV250" s="63"/>
      <c r="AW250" s="63"/>
      <c r="AX250" s="63"/>
      <c r="AY250" s="63"/>
      <c r="AZ250" s="63"/>
      <c r="BA250" s="63"/>
      <c r="BB250" s="63"/>
    </row>
    <row r="251" ht="14.2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  <c r="AU251" s="63"/>
      <c r="AV251" s="63"/>
      <c r="AW251" s="63"/>
      <c r="AX251" s="63"/>
      <c r="AY251" s="63"/>
      <c r="AZ251" s="63"/>
      <c r="BA251" s="63"/>
      <c r="BB251" s="63"/>
    </row>
    <row r="252" ht="14.2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  <c r="AU252" s="63"/>
      <c r="AV252" s="63"/>
      <c r="AW252" s="63"/>
      <c r="AX252" s="63"/>
      <c r="AY252" s="63"/>
      <c r="AZ252" s="63"/>
      <c r="BA252" s="63"/>
      <c r="BB252" s="63"/>
    </row>
    <row r="253" ht="14.2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  <c r="AU253" s="63"/>
      <c r="AV253" s="63"/>
      <c r="AW253" s="63"/>
      <c r="AX253" s="63"/>
      <c r="AY253" s="63"/>
      <c r="AZ253" s="63"/>
      <c r="BA253" s="63"/>
      <c r="BB253" s="63"/>
    </row>
    <row r="254" ht="14.2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  <c r="AU254" s="63"/>
      <c r="AV254" s="63"/>
      <c r="AW254" s="63"/>
      <c r="AX254" s="63"/>
      <c r="AY254" s="63"/>
      <c r="AZ254" s="63"/>
      <c r="BA254" s="63"/>
      <c r="BB254" s="63"/>
    </row>
    <row r="255" ht="14.2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  <c r="AU255" s="63"/>
      <c r="AV255" s="63"/>
      <c r="AW255" s="63"/>
      <c r="AX255" s="63"/>
      <c r="AY255" s="63"/>
      <c r="AZ255" s="63"/>
      <c r="BA255" s="63"/>
      <c r="BB255" s="63"/>
    </row>
    <row r="256" ht="14.2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  <c r="AU256" s="63"/>
      <c r="AV256" s="63"/>
      <c r="AW256" s="63"/>
      <c r="AX256" s="63"/>
      <c r="AY256" s="63"/>
      <c r="AZ256" s="63"/>
      <c r="BA256" s="63"/>
      <c r="BB256" s="63"/>
    </row>
    <row r="257" ht="14.2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  <c r="AU257" s="63"/>
      <c r="AV257" s="63"/>
      <c r="AW257" s="63"/>
      <c r="AX257" s="63"/>
      <c r="AY257" s="63"/>
      <c r="AZ257" s="63"/>
      <c r="BA257" s="63"/>
      <c r="BB257" s="63"/>
    </row>
    <row r="258" ht="14.2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  <c r="AU258" s="63"/>
      <c r="AV258" s="63"/>
      <c r="AW258" s="63"/>
      <c r="AX258" s="63"/>
      <c r="AY258" s="63"/>
      <c r="AZ258" s="63"/>
      <c r="BA258" s="63"/>
      <c r="BB258" s="63"/>
    </row>
    <row r="259" ht="14.2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  <c r="AU259" s="63"/>
      <c r="AV259" s="63"/>
      <c r="AW259" s="63"/>
      <c r="AX259" s="63"/>
      <c r="AY259" s="63"/>
      <c r="AZ259" s="63"/>
      <c r="BA259" s="63"/>
      <c r="BB259" s="63"/>
    </row>
    <row r="260" ht="14.2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  <c r="AU260" s="63"/>
      <c r="AV260" s="63"/>
      <c r="AW260" s="63"/>
      <c r="AX260" s="63"/>
      <c r="AY260" s="63"/>
      <c r="AZ260" s="63"/>
      <c r="BA260" s="63"/>
      <c r="BB260" s="63"/>
    </row>
    <row r="261" ht="14.2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  <c r="AU261" s="63"/>
      <c r="AV261" s="63"/>
      <c r="AW261" s="63"/>
      <c r="AX261" s="63"/>
      <c r="AY261" s="63"/>
      <c r="AZ261" s="63"/>
      <c r="BA261" s="63"/>
      <c r="BB261" s="63"/>
    </row>
    <row r="262" ht="14.2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  <c r="AU262" s="63"/>
      <c r="AV262" s="63"/>
      <c r="AW262" s="63"/>
      <c r="AX262" s="63"/>
      <c r="AY262" s="63"/>
      <c r="AZ262" s="63"/>
      <c r="BA262" s="63"/>
      <c r="BB262" s="63"/>
    </row>
    <row r="263" ht="14.2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  <c r="AU263" s="63"/>
      <c r="AV263" s="63"/>
      <c r="AW263" s="63"/>
      <c r="AX263" s="63"/>
      <c r="AY263" s="63"/>
      <c r="AZ263" s="63"/>
      <c r="BA263" s="63"/>
      <c r="BB263" s="63"/>
    </row>
    <row r="264" ht="14.2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  <c r="AU264" s="63"/>
      <c r="AV264" s="63"/>
      <c r="AW264" s="63"/>
      <c r="AX264" s="63"/>
      <c r="AY264" s="63"/>
      <c r="AZ264" s="63"/>
      <c r="BA264" s="63"/>
      <c r="BB264" s="63"/>
    </row>
    <row r="265" ht="14.2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  <c r="AU265" s="63"/>
      <c r="AV265" s="63"/>
      <c r="AW265" s="63"/>
      <c r="AX265" s="63"/>
      <c r="AY265" s="63"/>
      <c r="AZ265" s="63"/>
      <c r="BA265" s="63"/>
      <c r="BB265" s="63"/>
    </row>
    <row r="266" ht="14.2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  <c r="AU266" s="63"/>
      <c r="AV266" s="63"/>
      <c r="AW266" s="63"/>
      <c r="AX266" s="63"/>
      <c r="AY266" s="63"/>
      <c r="AZ266" s="63"/>
      <c r="BA266" s="63"/>
      <c r="BB266" s="63"/>
    </row>
    <row r="267" ht="14.2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  <c r="AU267" s="63"/>
      <c r="AV267" s="63"/>
      <c r="AW267" s="63"/>
      <c r="AX267" s="63"/>
      <c r="AY267" s="63"/>
      <c r="AZ267" s="63"/>
      <c r="BA267" s="63"/>
      <c r="BB267" s="63"/>
    </row>
    <row r="268" ht="14.2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  <c r="AU268" s="63"/>
      <c r="AV268" s="63"/>
      <c r="AW268" s="63"/>
      <c r="AX268" s="63"/>
      <c r="AY268" s="63"/>
      <c r="AZ268" s="63"/>
      <c r="BA268" s="63"/>
      <c r="BB268" s="63"/>
    </row>
    <row r="269" ht="14.2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  <c r="AU269" s="63"/>
      <c r="AV269" s="63"/>
      <c r="AW269" s="63"/>
      <c r="AX269" s="63"/>
      <c r="AY269" s="63"/>
      <c r="AZ269" s="63"/>
      <c r="BA269" s="63"/>
      <c r="BB269" s="63"/>
    </row>
    <row r="270" ht="14.2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  <c r="AU270" s="63"/>
      <c r="AV270" s="63"/>
      <c r="AW270" s="63"/>
      <c r="AX270" s="63"/>
      <c r="AY270" s="63"/>
      <c r="AZ270" s="63"/>
      <c r="BA270" s="63"/>
      <c r="BB270" s="63"/>
    </row>
    <row r="271" ht="14.2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  <c r="AU271" s="63"/>
      <c r="AV271" s="63"/>
      <c r="AW271" s="63"/>
      <c r="AX271" s="63"/>
      <c r="AY271" s="63"/>
      <c r="AZ271" s="63"/>
      <c r="BA271" s="63"/>
      <c r="BB271" s="63"/>
    </row>
    <row r="272" ht="14.2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  <c r="AU272" s="63"/>
      <c r="AV272" s="63"/>
      <c r="AW272" s="63"/>
      <c r="AX272" s="63"/>
      <c r="AY272" s="63"/>
      <c r="AZ272" s="63"/>
      <c r="BA272" s="63"/>
      <c r="BB272" s="63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1">
    <mergeCell ref="Q10:T10"/>
    <mergeCell ref="U10:W10"/>
    <mergeCell ref="X10:AD10"/>
    <mergeCell ref="AE10:AG10"/>
    <mergeCell ref="AH10:AN10"/>
    <mergeCell ref="A11:AN11"/>
    <mergeCell ref="G10:K10"/>
    <mergeCell ref="L10:P10"/>
    <mergeCell ref="A13:E15"/>
    <mergeCell ref="F13:AM15"/>
    <mergeCell ref="A16:AN16"/>
    <mergeCell ref="B17:K17"/>
    <mergeCell ref="L17:AM17"/>
    <mergeCell ref="B18:F18"/>
    <mergeCell ref="G18:K18"/>
    <mergeCell ref="L18:N18"/>
    <mergeCell ref="O18:Q18"/>
    <mergeCell ref="R18:X18"/>
    <mergeCell ref="Y18:AB18"/>
    <mergeCell ref="AC18:AF18"/>
    <mergeCell ref="AG18:AM18"/>
    <mergeCell ref="A20:AN20"/>
    <mergeCell ref="P21:T21"/>
    <mergeCell ref="U21:Y21"/>
    <mergeCell ref="Z21:AD21"/>
    <mergeCell ref="AE21:AI21"/>
    <mergeCell ref="AJ21:AN21"/>
    <mergeCell ref="A1:E5"/>
    <mergeCell ref="F1:J5"/>
    <mergeCell ref="K1:AF1"/>
    <mergeCell ref="AG1:AN5"/>
    <mergeCell ref="K2:AF2"/>
    <mergeCell ref="K3:AF5"/>
    <mergeCell ref="G6:AN6"/>
    <mergeCell ref="AX7:AZ7"/>
    <mergeCell ref="BA7:BB7"/>
    <mergeCell ref="AX8:AZ8"/>
    <mergeCell ref="BA8:BB8"/>
    <mergeCell ref="T8:W8"/>
    <mergeCell ref="X8:AD8"/>
    <mergeCell ref="X9:AD9"/>
    <mergeCell ref="AE9:AG9"/>
    <mergeCell ref="AE8:AJ8"/>
    <mergeCell ref="AK8:AN8"/>
    <mergeCell ref="AH9:AN9"/>
    <mergeCell ref="A6:F6"/>
    <mergeCell ref="A7:F7"/>
    <mergeCell ref="G7:N7"/>
    <mergeCell ref="O7:W7"/>
    <mergeCell ref="X7:AN7"/>
    <mergeCell ref="AP7:AT8"/>
    <mergeCell ref="AU7:AW7"/>
    <mergeCell ref="AU8:AW8"/>
    <mergeCell ref="A8:F8"/>
    <mergeCell ref="G8:S8"/>
    <mergeCell ref="A9:F10"/>
    <mergeCell ref="G9:K9"/>
    <mergeCell ref="L9:P9"/>
    <mergeCell ref="Q9:T9"/>
    <mergeCell ref="U9:W9"/>
    <mergeCell ref="A21:O21"/>
    <mergeCell ref="A22:O22"/>
    <mergeCell ref="P22:T22"/>
    <mergeCell ref="U22:Y22"/>
    <mergeCell ref="Z22:AD22"/>
    <mergeCell ref="AE22:AI22"/>
    <mergeCell ref="AJ22:AN22"/>
    <mergeCell ref="B32:AI32"/>
    <mergeCell ref="AJ32:AN32"/>
    <mergeCell ref="A33:AN33"/>
    <mergeCell ref="A34:N34"/>
    <mergeCell ref="O34:R34"/>
    <mergeCell ref="S34:AI34"/>
    <mergeCell ref="AJ34:AN34"/>
    <mergeCell ref="A35:AN35"/>
    <mergeCell ref="B36:AI36"/>
    <mergeCell ref="AJ36:AN36"/>
    <mergeCell ref="B37:AI37"/>
    <mergeCell ref="AJ37:AN37"/>
    <mergeCell ref="B38:AI38"/>
    <mergeCell ref="AJ38:AN38"/>
    <mergeCell ref="B39:AI39"/>
    <mergeCell ref="AJ39:AN39"/>
    <mergeCell ref="B40:AI40"/>
    <mergeCell ref="AJ40:AN40"/>
    <mergeCell ref="B41:AI41"/>
    <mergeCell ref="AJ41:AN41"/>
    <mergeCell ref="A42:AN42"/>
    <mergeCell ref="A43:N43"/>
    <mergeCell ref="O43:R43"/>
    <mergeCell ref="S43:AI43"/>
    <mergeCell ref="AJ43:AN43"/>
    <mergeCell ref="A44:AN44"/>
    <mergeCell ref="B45:AI45"/>
    <mergeCell ref="AJ45:AN45"/>
    <mergeCell ref="B46:AI46"/>
    <mergeCell ref="AJ46:AN46"/>
    <mergeCell ref="B47:AI47"/>
    <mergeCell ref="AJ47:AN47"/>
    <mergeCell ref="B48:AI48"/>
    <mergeCell ref="AJ48:AN48"/>
    <mergeCell ref="AJ49:AN49"/>
    <mergeCell ref="B49:AI49"/>
    <mergeCell ref="B50:AI50"/>
    <mergeCell ref="AJ50:AN50"/>
    <mergeCell ref="B51:AI51"/>
    <mergeCell ref="AJ51:AN51"/>
    <mergeCell ref="A52:AN52"/>
    <mergeCell ref="A53:N53"/>
    <mergeCell ref="AJ53:AN53"/>
    <mergeCell ref="O60:R60"/>
    <mergeCell ref="S60:AI60"/>
    <mergeCell ref="B57:AI57"/>
    <mergeCell ref="AJ57:AN57"/>
    <mergeCell ref="B58:AI58"/>
    <mergeCell ref="AJ58:AN58"/>
    <mergeCell ref="B59:AI59"/>
    <mergeCell ref="AJ59:AN59"/>
    <mergeCell ref="AJ60:AN60"/>
    <mergeCell ref="A60:N60"/>
    <mergeCell ref="R61:U61"/>
    <mergeCell ref="V61:W61"/>
    <mergeCell ref="X61:AA61"/>
    <mergeCell ref="AB61:AD61"/>
    <mergeCell ref="AE61:AJ61"/>
    <mergeCell ref="AK61:AN61"/>
    <mergeCell ref="A61:Q61"/>
    <mergeCell ref="A62:AN62"/>
    <mergeCell ref="A63:AN63"/>
    <mergeCell ref="A64:AN64"/>
    <mergeCell ref="A65:AN65"/>
    <mergeCell ref="C67:N67"/>
    <mergeCell ref="AA67:AL67"/>
    <mergeCell ref="O72:Z72"/>
    <mergeCell ref="AA72:AL72"/>
    <mergeCell ref="O67:Z67"/>
    <mergeCell ref="O68:Z69"/>
    <mergeCell ref="AA68:AL69"/>
    <mergeCell ref="O70:Z70"/>
    <mergeCell ref="AA70:AL70"/>
    <mergeCell ref="O71:Z71"/>
    <mergeCell ref="AA71:AL71"/>
    <mergeCell ref="P24:T24"/>
    <mergeCell ref="U24:Y24"/>
    <mergeCell ref="Z24:AD24"/>
    <mergeCell ref="AE24:AI24"/>
    <mergeCell ref="A23:O23"/>
    <mergeCell ref="P23:T23"/>
    <mergeCell ref="U23:Y23"/>
    <mergeCell ref="Z23:AD23"/>
    <mergeCell ref="AE23:AI23"/>
    <mergeCell ref="AJ23:AN23"/>
    <mergeCell ref="AJ24:AN24"/>
    <mergeCell ref="A24:O24"/>
    <mergeCell ref="A25:O25"/>
    <mergeCell ref="P25:T25"/>
    <mergeCell ref="U25:Y25"/>
    <mergeCell ref="Z25:AD25"/>
    <mergeCell ref="AE25:AI25"/>
    <mergeCell ref="AJ25:AN25"/>
    <mergeCell ref="A26:O26"/>
    <mergeCell ref="P26:T26"/>
    <mergeCell ref="U26:Y26"/>
    <mergeCell ref="Z26:AD26"/>
    <mergeCell ref="AE26:AI26"/>
    <mergeCell ref="AJ26:AN26"/>
    <mergeCell ref="A27:AN27"/>
    <mergeCell ref="A28:AN28"/>
    <mergeCell ref="A29:AI29"/>
    <mergeCell ref="AJ29:AN29"/>
    <mergeCell ref="B30:AI30"/>
    <mergeCell ref="AJ30:AN30"/>
    <mergeCell ref="B31:AI31"/>
    <mergeCell ref="AJ31:AN31"/>
    <mergeCell ref="O53:R53"/>
    <mergeCell ref="S53:AI53"/>
    <mergeCell ref="A54:AN54"/>
    <mergeCell ref="B55:AI55"/>
    <mergeCell ref="AJ55:AN55"/>
    <mergeCell ref="B56:AI56"/>
    <mergeCell ref="AJ56:AN5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3.71"/>
    <col customWidth="1" min="6" max="6" width="5.0"/>
    <col customWidth="1" min="7" max="9" width="3.71"/>
    <col customWidth="1" min="10" max="10" width="4.29"/>
    <col customWidth="1" min="11" max="11" width="5.86"/>
    <col customWidth="1" min="12" max="25" width="3.71"/>
    <col customWidth="1" min="26" max="26" width="7.0"/>
    <col customWidth="1" min="27" max="40" width="3.71"/>
    <col customWidth="1" min="41" max="54" width="11.43"/>
  </cols>
  <sheetData>
    <row r="1" ht="15.0" customHeight="1">
      <c r="A1" s="132"/>
      <c r="B1" s="12"/>
      <c r="C1" s="12"/>
      <c r="D1" s="12"/>
      <c r="E1" s="12"/>
      <c r="F1" s="12"/>
      <c r="G1" s="12"/>
      <c r="H1" s="12"/>
      <c r="I1" s="12"/>
      <c r="J1" s="13"/>
      <c r="K1" s="133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  <c r="AH1" s="134" t="s">
        <v>1</v>
      </c>
      <c r="AI1" s="12"/>
      <c r="AJ1" s="12"/>
      <c r="AK1" s="12"/>
      <c r="AL1" s="12"/>
      <c r="AM1" s="12"/>
      <c r="AN1" s="13"/>
      <c r="AO1" s="135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2" ht="15.0" customHeight="1">
      <c r="A2" s="14"/>
      <c r="J2" s="15"/>
      <c r="K2" s="40" t="s">
        <v>114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4"/>
      <c r="AN2" s="15"/>
      <c r="AO2" s="135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</row>
    <row r="3" ht="15.0" customHeight="1">
      <c r="A3" s="14"/>
      <c r="J3" s="15"/>
      <c r="K3" s="14"/>
      <c r="AH3" s="14"/>
      <c r="AN3" s="15"/>
      <c r="AO3" s="135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ht="15.0" customHeight="1">
      <c r="A4" s="14"/>
      <c r="J4" s="15"/>
      <c r="K4" s="14"/>
      <c r="AH4" s="14"/>
      <c r="AN4" s="15"/>
      <c r="AO4" s="135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</row>
    <row r="5" ht="15.0" customHeight="1">
      <c r="A5" s="18"/>
      <c r="B5" s="19"/>
      <c r="C5" s="19"/>
      <c r="D5" s="19"/>
      <c r="E5" s="19"/>
      <c r="F5" s="19"/>
      <c r="G5" s="19"/>
      <c r="H5" s="19"/>
      <c r="I5" s="19"/>
      <c r="J5" s="20"/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8"/>
      <c r="AI5" s="19"/>
      <c r="AJ5" s="19"/>
      <c r="AK5" s="19"/>
      <c r="AL5" s="19"/>
      <c r="AM5" s="19"/>
      <c r="AN5" s="20"/>
      <c r="AO5" s="135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</row>
    <row r="6" ht="19.5" customHeight="1">
      <c r="A6" s="66" t="s">
        <v>47</v>
      </c>
      <c r="B6" s="5"/>
      <c r="C6" s="5"/>
      <c r="D6" s="5"/>
      <c r="E6" s="5"/>
      <c r="F6" s="6"/>
      <c r="G6" s="66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</row>
    <row r="7" ht="24.0" customHeight="1">
      <c r="A7" s="68" t="s">
        <v>5</v>
      </c>
      <c r="B7" s="5"/>
      <c r="C7" s="5"/>
      <c r="D7" s="5"/>
      <c r="E7" s="5"/>
      <c r="F7" s="5"/>
      <c r="G7" s="5"/>
      <c r="H7" s="5"/>
      <c r="I7" s="6"/>
      <c r="J7" s="136"/>
      <c r="K7" s="25"/>
      <c r="L7" s="25"/>
      <c r="M7" s="25"/>
      <c r="N7" s="25"/>
      <c r="O7" s="25"/>
      <c r="P7" s="25"/>
      <c r="Q7" s="25"/>
      <c r="R7" s="43" t="s">
        <v>6</v>
      </c>
      <c r="S7" s="5"/>
      <c r="T7" s="5"/>
      <c r="U7" s="5"/>
      <c r="V7" s="5"/>
      <c r="W7" s="6"/>
      <c r="X7" s="69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6"/>
      <c r="AO7" s="64"/>
      <c r="AP7" s="70"/>
      <c r="AQ7" s="30"/>
      <c r="AR7" s="30"/>
      <c r="AS7" s="30"/>
      <c r="AT7" s="30"/>
      <c r="AU7" s="71"/>
      <c r="AV7" s="25"/>
      <c r="AW7" s="25"/>
      <c r="AX7" s="72"/>
      <c r="AY7" s="25"/>
      <c r="AZ7" s="25"/>
      <c r="BA7" s="73"/>
      <c r="BB7" s="25"/>
    </row>
    <row r="8" ht="21.75" customHeight="1">
      <c r="A8" s="137" t="s">
        <v>12</v>
      </c>
      <c r="B8" s="5"/>
      <c r="C8" s="5"/>
      <c r="D8" s="5"/>
      <c r="E8" s="5"/>
      <c r="F8" s="5"/>
      <c r="G8" s="6"/>
      <c r="H8" s="43" t="s">
        <v>50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6"/>
      <c r="X8" s="68" t="s">
        <v>115</v>
      </c>
      <c r="Y8" s="5"/>
      <c r="Z8" s="6"/>
      <c r="AA8" s="68" t="s">
        <v>116</v>
      </c>
      <c r="AB8" s="5"/>
      <c r="AC8" s="5"/>
      <c r="AD8" s="6"/>
      <c r="AE8" s="68" t="s">
        <v>117</v>
      </c>
      <c r="AF8" s="5"/>
      <c r="AG8" s="5"/>
      <c r="AH8" s="5"/>
      <c r="AI8" s="6"/>
      <c r="AJ8" s="68" t="s">
        <v>118</v>
      </c>
      <c r="AK8" s="5"/>
      <c r="AL8" s="5"/>
      <c r="AM8" s="5"/>
      <c r="AN8" s="6"/>
      <c r="AO8" s="64"/>
      <c r="AP8" s="10"/>
      <c r="AU8" s="74"/>
      <c r="AV8" s="25"/>
      <c r="AW8" s="25"/>
      <c r="AX8" s="59"/>
      <c r="BA8" s="59"/>
    </row>
    <row r="9" ht="14.25" customHeight="1">
      <c r="A9" s="138" t="s">
        <v>51</v>
      </c>
      <c r="B9" s="12"/>
      <c r="C9" s="12"/>
      <c r="D9" s="12"/>
      <c r="E9" s="12"/>
      <c r="F9" s="12"/>
      <c r="G9" s="13"/>
      <c r="H9" s="134" t="s">
        <v>119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3"/>
      <c r="X9" s="139" t="s">
        <v>120</v>
      </c>
      <c r="Y9" s="12"/>
      <c r="Z9" s="13"/>
      <c r="AA9" s="134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</row>
    <row r="10" ht="14.25" customHeight="1">
      <c r="A10" s="18"/>
      <c r="B10" s="19"/>
      <c r="C10" s="19"/>
      <c r="D10" s="19"/>
      <c r="E10" s="19"/>
      <c r="F10" s="19"/>
      <c r="G10" s="20"/>
      <c r="H10" s="18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  <c r="X10" s="18"/>
      <c r="Y10" s="19"/>
      <c r="Z10" s="20"/>
      <c r="AA10" s="18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20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</row>
    <row r="11" ht="15.0" customHeight="1">
      <c r="A11" s="140" t="s">
        <v>121</v>
      </c>
      <c r="B11" s="5"/>
      <c r="C11" s="5"/>
      <c r="D11" s="5"/>
      <c r="E11" s="5"/>
      <c r="F11" s="5"/>
      <c r="G11" s="6"/>
      <c r="H11" s="79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6"/>
      <c r="X11" s="78" t="s">
        <v>122</v>
      </c>
      <c r="Y11" s="5"/>
      <c r="Z11" s="5"/>
      <c r="AA11" s="5"/>
      <c r="AB11" s="5"/>
      <c r="AC11" s="6"/>
      <c r="AD11" s="79"/>
      <c r="AE11" s="5"/>
      <c r="AF11" s="5"/>
      <c r="AG11" s="5"/>
      <c r="AH11" s="5"/>
      <c r="AI11" s="5"/>
      <c r="AJ11" s="5"/>
      <c r="AK11" s="5"/>
      <c r="AL11" s="5"/>
      <c r="AM11" s="5"/>
      <c r="AN11" s="6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.0" customHeight="1">
      <c r="A12" s="140" t="s">
        <v>55</v>
      </c>
      <c r="B12" s="5"/>
      <c r="C12" s="5"/>
      <c r="D12" s="5"/>
      <c r="E12" s="5"/>
      <c r="F12" s="5"/>
      <c r="G12" s="6"/>
      <c r="H12" s="79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6"/>
      <c r="X12" s="78" t="s">
        <v>123</v>
      </c>
      <c r="Y12" s="5"/>
      <c r="Z12" s="5"/>
      <c r="AA12" s="5"/>
      <c r="AB12" s="5"/>
      <c r="AC12" s="6"/>
      <c r="AD12" s="134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</row>
    <row r="13" ht="15.0" customHeight="1">
      <c r="A13" s="141" t="s">
        <v>124</v>
      </c>
      <c r="B13" s="91"/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4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</row>
    <row r="14" ht="14.25" customHeight="1">
      <c r="A14" s="142" t="s">
        <v>125</v>
      </c>
      <c r="B14" s="12"/>
      <c r="C14" s="12"/>
      <c r="D14" s="12"/>
      <c r="E14" s="12"/>
      <c r="F14" s="12"/>
      <c r="G14" s="12"/>
      <c r="H14" s="13"/>
      <c r="I14" s="143" t="s">
        <v>59</v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</row>
    <row r="15" ht="15.75" customHeight="1">
      <c r="A15" s="14"/>
      <c r="H15" s="15"/>
      <c r="I15" s="14"/>
      <c r="AN15" s="15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</row>
    <row r="16" ht="20.25" customHeight="1">
      <c r="A16" s="18"/>
      <c r="B16" s="19"/>
      <c r="C16" s="19"/>
      <c r="D16" s="19"/>
      <c r="E16" s="19"/>
      <c r="F16" s="19"/>
      <c r="G16" s="19"/>
      <c r="H16" s="20"/>
      <c r="I16" s="1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20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</row>
    <row r="17" ht="23.25" customHeight="1">
      <c r="A17" s="142" t="s">
        <v>126</v>
      </c>
      <c r="B17" s="12"/>
      <c r="C17" s="12"/>
      <c r="D17" s="12"/>
      <c r="E17" s="12"/>
      <c r="F17" s="12"/>
      <c r="G17" s="12"/>
      <c r="H17" s="13"/>
      <c r="I17" s="144" t="s">
        <v>127</v>
      </c>
      <c r="J17" s="5"/>
      <c r="K17" s="6"/>
      <c r="L17" s="14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6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</row>
    <row r="18" ht="27.0" customHeight="1">
      <c r="A18" s="18"/>
      <c r="B18" s="19"/>
      <c r="C18" s="19"/>
      <c r="D18" s="19"/>
      <c r="E18" s="19"/>
      <c r="F18" s="19"/>
      <c r="G18" s="19"/>
      <c r="H18" s="20"/>
      <c r="I18" s="120" t="s">
        <v>128</v>
      </c>
      <c r="J18" s="5"/>
      <c r="K18" s="6"/>
      <c r="L18" s="12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6"/>
      <c r="Z18" s="145" t="s">
        <v>129</v>
      </c>
      <c r="AA18" s="120"/>
      <c r="AB18" s="5"/>
      <c r="AC18" s="5"/>
      <c r="AD18" s="5"/>
      <c r="AE18" s="6"/>
      <c r="AF18" s="144" t="s">
        <v>130</v>
      </c>
      <c r="AG18" s="5"/>
      <c r="AH18" s="5"/>
      <c r="AI18" s="6"/>
      <c r="AJ18" s="144"/>
      <c r="AK18" s="5"/>
      <c r="AL18" s="5"/>
      <c r="AM18" s="5"/>
      <c r="AN18" s="6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</row>
    <row r="19" ht="17.25" customHeight="1">
      <c r="A19" s="22" t="s">
        <v>131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6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</row>
    <row r="20" ht="15.0" customHeight="1">
      <c r="A20" s="38" t="s">
        <v>132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6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</row>
    <row r="21" ht="15.0" customHeight="1">
      <c r="A21" s="38" t="s">
        <v>133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6"/>
      <c r="AK21" s="38" t="s">
        <v>81</v>
      </c>
      <c r="AL21" s="5"/>
      <c r="AM21" s="5"/>
      <c r="AN21" s="6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28.5" customHeight="1">
      <c r="A22" s="96">
        <v>1.0</v>
      </c>
      <c r="B22" s="146" t="s">
        <v>134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6"/>
      <c r="AK22" s="147"/>
      <c r="AL22" s="5"/>
      <c r="AM22" s="5"/>
      <c r="AN22" s="6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</row>
    <row r="23" ht="28.5" customHeight="1">
      <c r="A23" s="95">
        <v>2.0</v>
      </c>
      <c r="B23" s="146" t="s">
        <v>135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6"/>
      <c r="AK23" s="147"/>
      <c r="AL23" s="5"/>
      <c r="AM23" s="5"/>
      <c r="AN23" s="6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</row>
    <row r="24" ht="28.5" customHeight="1">
      <c r="A24" s="95">
        <v>3.0</v>
      </c>
      <c r="B24" s="146" t="s">
        <v>136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6"/>
      <c r="AK24" s="147"/>
      <c r="AL24" s="5"/>
      <c r="AM24" s="5"/>
      <c r="AN24" s="6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</row>
    <row r="25" ht="28.5" customHeight="1">
      <c r="A25" s="95">
        <v>4.0</v>
      </c>
      <c r="B25" s="146" t="s">
        <v>137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6"/>
      <c r="AK25" s="147"/>
      <c r="AL25" s="5"/>
      <c r="AM25" s="5"/>
      <c r="AN25" s="6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</row>
    <row r="26" ht="28.5" customHeight="1">
      <c r="A26" s="95">
        <v>5.0</v>
      </c>
      <c r="B26" s="146" t="s">
        <v>138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6"/>
      <c r="AK26" s="147"/>
      <c r="AL26" s="5"/>
      <c r="AM26" s="5"/>
      <c r="AN26" s="6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</row>
    <row r="27" ht="28.5" customHeight="1">
      <c r="A27" s="95">
        <v>6.0</v>
      </c>
      <c r="B27" s="146" t="s">
        <v>139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6"/>
      <c r="AK27" s="147"/>
      <c r="AL27" s="5"/>
      <c r="AM27" s="5"/>
      <c r="AN27" s="6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</row>
    <row r="28" ht="28.5" customHeight="1">
      <c r="A28" s="95">
        <v>7.0</v>
      </c>
      <c r="B28" s="146" t="s">
        <v>140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6"/>
      <c r="AK28" s="147"/>
      <c r="AL28" s="5"/>
      <c r="AM28" s="5"/>
      <c r="AN28" s="6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28.5" customHeight="1">
      <c r="A29" s="95">
        <v>8.0</v>
      </c>
      <c r="B29" s="146" t="s">
        <v>141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6"/>
      <c r="AK29" s="147"/>
      <c r="AL29" s="5"/>
      <c r="AM29" s="5"/>
      <c r="AN29" s="6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</row>
    <row r="30" ht="28.5" customHeight="1">
      <c r="A30" s="95">
        <v>9.0</v>
      </c>
      <c r="B30" s="146" t="s">
        <v>142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6"/>
      <c r="AK30" s="147"/>
      <c r="AL30" s="5"/>
      <c r="AM30" s="5"/>
      <c r="AN30" s="6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</row>
    <row r="31" ht="28.5" customHeight="1">
      <c r="A31" s="95">
        <v>10.0</v>
      </c>
      <c r="B31" s="146" t="s">
        <v>143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6"/>
      <c r="AK31" s="147"/>
      <c r="AL31" s="5"/>
      <c r="AM31" s="5"/>
      <c r="AN31" s="6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</row>
    <row r="32" ht="29.25" customHeight="1">
      <c r="A32" s="95">
        <v>11.0</v>
      </c>
      <c r="B32" s="146" t="s">
        <v>144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6"/>
      <c r="AK32" s="147"/>
      <c r="AL32" s="5"/>
      <c r="AM32" s="5"/>
      <c r="AN32" s="6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</row>
    <row r="33" ht="29.25" customHeight="1">
      <c r="A33" s="148">
        <v>12.0</v>
      </c>
      <c r="B33" s="149" t="s">
        <v>145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3"/>
      <c r="AK33" s="150"/>
      <c r="AL33" s="12"/>
      <c r="AM33" s="12"/>
      <c r="AN33" s="1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</row>
    <row r="34" ht="29.25" customHeight="1">
      <c r="A34" s="148">
        <v>13.0</v>
      </c>
      <c r="B34" s="149" t="s">
        <v>146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3"/>
      <c r="AK34" s="150"/>
      <c r="AL34" s="12"/>
      <c r="AM34" s="12"/>
      <c r="AN34" s="1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</row>
    <row r="35" ht="29.25" customHeight="1">
      <c r="A35" s="148">
        <v>14.0</v>
      </c>
      <c r="B35" s="149" t="s">
        <v>147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3"/>
      <c r="AK35" s="150"/>
      <c r="AL35" s="12"/>
      <c r="AM35" s="12"/>
      <c r="AN35" s="1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29.25" customHeight="1">
      <c r="A36" s="148">
        <v>15.0</v>
      </c>
      <c r="B36" s="149" t="s">
        <v>148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3"/>
      <c r="AK36" s="150"/>
      <c r="AL36" s="12"/>
      <c r="AM36" s="12"/>
      <c r="AN36" s="1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</row>
    <row r="37" ht="15.0" customHeight="1">
      <c r="A37" s="125" t="s">
        <v>94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6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</row>
    <row r="38" ht="14.25" customHeight="1">
      <c r="A38" s="126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6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</row>
    <row r="39" ht="14.25" customHeight="1">
      <c r="A39" s="147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6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</row>
    <row r="40" ht="14.25" customHeight="1">
      <c r="A40" s="147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6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4.25" customHeight="1">
      <c r="A41" s="147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6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</row>
    <row r="42" ht="14.25" customHeight="1">
      <c r="A42" s="147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6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</row>
    <row r="43" ht="14.25" customHeight="1">
      <c r="A43" s="147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6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</row>
    <row r="44" ht="14.25" customHeight="1">
      <c r="A44" s="147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6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</row>
    <row r="45" ht="14.25" customHeight="1">
      <c r="A45" s="147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6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4.5" customHeight="1">
      <c r="A46" s="52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131"/>
      <c r="AO46" s="59"/>
      <c r="AP46" s="59"/>
      <c r="AQ46" s="59"/>
      <c r="AR46" s="59"/>
      <c r="AS46" s="59"/>
      <c r="AT46" s="59"/>
      <c r="AU46" s="59"/>
      <c r="AV46" s="59"/>
      <c r="AW46" s="59"/>
      <c r="AX46" s="59"/>
      <c r="AY46" s="59"/>
      <c r="AZ46" s="59"/>
      <c r="BA46" s="59"/>
      <c r="BB46" s="59"/>
    </row>
    <row r="47" ht="15.0" customHeight="1">
      <c r="A47" s="52"/>
      <c r="B47" s="53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38" t="s">
        <v>113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6"/>
      <c r="AA47" s="38" t="s">
        <v>113</v>
      </c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6"/>
      <c r="AM47" s="53"/>
      <c r="AN47" s="131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59"/>
    </row>
    <row r="48" ht="14.25" customHeight="1">
      <c r="A48" s="52"/>
      <c r="B48" s="53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54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3"/>
      <c r="AA48" s="54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3"/>
      <c r="AM48" s="53"/>
      <c r="AN48" s="131"/>
      <c r="AO48" s="59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</row>
    <row r="49" ht="14.25" customHeight="1">
      <c r="A49" s="52"/>
      <c r="B49" s="53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18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20"/>
      <c r="AA49" s="18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20"/>
      <c r="AM49" s="53"/>
      <c r="AN49" s="131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</row>
    <row r="50" ht="14.25" customHeight="1">
      <c r="A50" s="52"/>
      <c r="B50" s="53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23" t="s">
        <v>42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6"/>
      <c r="AA50" s="23" t="s">
        <v>42</v>
      </c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6"/>
      <c r="AM50" s="53"/>
      <c r="AN50" s="131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</row>
    <row r="51" ht="14.25" customHeight="1">
      <c r="A51" s="52"/>
      <c r="B51" s="53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23" t="s">
        <v>43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6"/>
      <c r="AA51" s="23" t="s">
        <v>43</v>
      </c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6"/>
      <c r="AM51" s="53"/>
      <c r="AN51" s="131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</row>
    <row r="52" ht="14.25" customHeight="1">
      <c r="A52" s="52"/>
      <c r="B52" s="53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23" t="s">
        <v>44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6"/>
      <c r="AA52" s="23" t="s">
        <v>44</v>
      </c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6"/>
      <c r="AM52" s="53"/>
      <c r="AN52" s="131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59"/>
    </row>
    <row r="53" ht="4.5" customHeight="1">
      <c r="A53" s="56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8"/>
      <c r="AO53" s="59"/>
      <c r="AP53" s="59"/>
      <c r="AQ53" s="59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59"/>
    </row>
    <row r="54" ht="14.2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63"/>
      <c r="AX54" s="63"/>
      <c r="AY54" s="63"/>
      <c r="AZ54" s="63"/>
      <c r="BA54" s="63"/>
      <c r="BB54" s="63"/>
    </row>
    <row r="55" ht="14.2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63"/>
      <c r="AX55" s="63"/>
      <c r="AY55" s="63"/>
      <c r="AZ55" s="63"/>
      <c r="BA55" s="63"/>
      <c r="BB55" s="63"/>
    </row>
    <row r="56" ht="14.2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63"/>
      <c r="AX56" s="63"/>
      <c r="AY56" s="63"/>
      <c r="AZ56" s="63"/>
      <c r="BA56" s="63"/>
      <c r="BB56" s="63"/>
    </row>
    <row r="57" ht="14.2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3"/>
      <c r="AZ57" s="63"/>
      <c r="BA57" s="63"/>
      <c r="BB57" s="63"/>
    </row>
    <row r="58" ht="14.2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63"/>
      <c r="BA58" s="63"/>
      <c r="BB58" s="63"/>
    </row>
    <row r="59" ht="14.2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63"/>
      <c r="AX59" s="63"/>
      <c r="AY59" s="63"/>
      <c r="AZ59" s="63"/>
      <c r="BA59" s="63"/>
      <c r="BB59" s="63"/>
    </row>
    <row r="60" ht="14.2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3"/>
      <c r="AZ60" s="63"/>
      <c r="BA60" s="63"/>
      <c r="BB60" s="63"/>
    </row>
    <row r="61" ht="14.2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63"/>
      <c r="AX61" s="63"/>
      <c r="AY61" s="63"/>
      <c r="AZ61" s="63"/>
      <c r="BA61" s="63"/>
      <c r="BB61" s="63"/>
    </row>
    <row r="62" ht="14.2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63"/>
      <c r="AX62" s="63"/>
      <c r="AY62" s="63"/>
      <c r="AZ62" s="63"/>
      <c r="BA62" s="63"/>
      <c r="BB62" s="63"/>
    </row>
    <row r="63" ht="14.2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</row>
    <row r="64" ht="14.2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</row>
    <row r="65" ht="14.2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</row>
    <row r="66" ht="14.2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</row>
    <row r="67" ht="14.2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63"/>
      <c r="AX67" s="63"/>
      <c r="AY67" s="63"/>
      <c r="AZ67" s="63"/>
      <c r="BA67" s="63"/>
      <c r="BB67" s="63"/>
    </row>
    <row r="68" ht="14.2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63"/>
      <c r="AX68" s="63"/>
      <c r="AY68" s="63"/>
      <c r="AZ68" s="63"/>
      <c r="BA68" s="63"/>
      <c r="BB68" s="63"/>
    </row>
    <row r="69" ht="14.2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63"/>
      <c r="AX69" s="63"/>
      <c r="AY69" s="63"/>
      <c r="AZ69" s="63"/>
      <c r="BA69" s="63"/>
      <c r="BB69" s="63"/>
    </row>
    <row r="70" ht="14.2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63"/>
      <c r="AX70" s="63"/>
      <c r="AY70" s="63"/>
      <c r="AZ70" s="63"/>
      <c r="BA70" s="63"/>
      <c r="BB70" s="63"/>
    </row>
    <row r="71" ht="14.2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63"/>
      <c r="AX71" s="63"/>
      <c r="AY71" s="63"/>
      <c r="AZ71" s="63"/>
      <c r="BA71" s="63"/>
      <c r="BB71" s="63"/>
    </row>
    <row r="72" ht="14.2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63"/>
      <c r="AX72" s="63"/>
      <c r="AY72" s="63"/>
      <c r="AZ72" s="63"/>
      <c r="BA72" s="63"/>
      <c r="BB72" s="63"/>
    </row>
    <row r="73" ht="14.2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4.2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63"/>
      <c r="AX74" s="63"/>
      <c r="AY74" s="63"/>
      <c r="AZ74" s="63"/>
      <c r="BA74" s="63"/>
      <c r="BB74" s="63"/>
    </row>
    <row r="75" ht="14.2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63"/>
      <c r="AX75" s="63"/>
      <c r="AY75" s="63"/>
      <c r="AZ75" s="63"/>
      <c r="BA75" s="63"/>
      <c r="BB75" s="63"/>
    </row>
    <row r="76" ht="14.2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63"/>
      <c r="AX76" s="63"/>
      <c r="AY76" s="63"/>
      <c r="AZ76" s="63"/>
      <c r="BA76" s="63"/>
      <c r="BB76" s="63"/>
    </row>
    <row r="77" ht="14.2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63"/>
      <c r="AX77" s="63"/>
      <c r="AY77" s="63"/>
      <c r="AZ77" s="63"/>
      <c r="BA77" s="63"/>
      <c r="BB77" s="63"/>
    </row>
    <row r="78" ht="14.2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63"/>
      <c r="AW78" s="63"/>
      <c r="AX78" s="63"/>
      <c r="AY78" s="63"/>
      <c r="AZ78" s="63"/>
      <c r="BA78" s="63"/>
      <c r="BB78" s="63"/>
    </row>
    <row r="79" ht="14.2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3"/>
      <c r="AP79" s="63"/>
      <c r="AQ79" s="63"/>
      <c r="AR79" s="63"/>
      <c r="AS79" s="63"/>
      <c r="AT79" s="63"/>
      <c r="AU79" s="63"/>
      <c r="AV79" s="63"/>
      <c r="AW79" s="63"/>
      <c r="AX79" s="63"/>
      <c r="AY79" s="63"/>
      <c r="AZ79" s="63"/>
      <c r="BA79" s="63"/>
      <c r="BB79" s="63"/>
    </row>
    <row r="80" ht="14.2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  <c r="AN80" s="63"/>
      <c r="AO80" s="63"/>
      <c r="AP80" s="63"/>
      <c r="AQ80" s="63"/>
      <c r="AR80" s="63"/>
      <c r="AS80" s="63"/>
      <c r="AT80" s="63"/>
      <c r="AU80" s="63"/>
      <c r="AV80" s="63"/>
      <c r="AW80" s="63"/>
      <c r="AX80" s="63"/>
      <c r="AY80" s="63"/>
      <c r="AZ80" s="63"/>
      <c r="BA80" s="63"/>
      <c r="BB80" s="63"/>
    </row>
    <row r="81" ht="14.2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63"/>
      <c r="AV81" s="63"/>
      <c r="AW81" s="63"/>
      <c r="AX81" s="63"/>
      <c r="AY81" s="63"/>
      <c r="AZ81" s="63"/>
      <c r="BA81" s="63"/>
      <c r="BB81" s="63"/>
    </row>
    <row r="82" ht="14.2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63"/>
      <c r="AV82" s="63"/>
      <c r="AW82" s="63"/>
      <c r="AX82" s="63"/>
      <c r="AY82" s="63"/>
      <c r="AZ82" s="63"/>
      <c r="BA82" s="63"/>
      <c r="BB82" s="63"/>
    </row>
    <row r="83" ht="14.2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63"/>
      <c r="AX83" s="63"/>
      <c r="AY83" s="63"/>
      <c r="AZ83" s="63"/>
      <c r="BA83" s="63"/>
      <c r="BB83" s="63"/>
    </row>
    <row r="84" ht="14.2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63"/>
      <c r="AX84" s="63"/>
      <c r="AY84" s="63"/>
      <c r="AZ84" s="63"/>
      <c r="BA84" s="63"/>
      <c r="BB84" s="63"/>
    </row>
    <row r="85" ht="14.2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63"/>
      <c r="AX85" s="63"/>
      <c r="AY85" s="63"/>
      <c r="AZ85" s="63"/>
      <c r="BA85" s="63"/>
      <c r="BB85" s="63"/>
    </row>
    <row r="86" ht="14.2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63"/>
      <c r="AX86" s="63"/>
      <c r="AY86" s="63"/>
      <c r="AZ86" s="63"/>
      <c r="BA86" s="63"/>
      <c r="BB86" s="63"/>
    </row>
    <row r="87" ht="14.2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63"/>
      <c r="AX87" s="63"/>
      <c r="AY87" s="63"/>
      <c r="AZ87" s="63"/>
      <c r="BA87" s="63"/>
      <c r="BB87" s="63"/>
    </row>
    <row r="88" ht="14.2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</row>
    <row r="89" ht="14.2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63"/>
      <c r="AX89" s="63"/>
      <c r="AY89" s="63"/>
      <c r="AZ89" s="63"/>
      <c r="BA89" s="63"/>
      <c r="BB89" s="63"/>
    </row>
    <row r="90" ht="14.2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63"/>
      <c r="AX90" s="63"/>
      <c r="AY90" s="63"/>
      <c r="AZ90" s="63"/>
      <c r="BA90" s="63"/>
      <c r="BB90" s="63"/>
    </row>
    <row r="91" ht="14.2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63"/>
      <c r="AX91" s="63"/>
      <c r="AY91" s="63"/>
      <c r="AZ91" s="63"/>
      <c r="BA91" s="63"/>
      <c r="BB91" s="63"/>
    </row>
    <row r="92" ht="14.2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63"/>
      <c r="AX92" s="63"/>
      <c r="AY92" s="63"/>
      <c r="AZ92" s="63"/>
      <c r="BA92" s="63"/>
      <c r="BB92" s="63"/>
    </row>
    <row r="93" ht="14.2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63"/>
      <c r="AX93" s="63"/>
      <c r="AY93" s="63"/>
      <c r="AZ93" s="63"/>
      <c r="BA93" s="63"/>
      <c r="BB93" s="63"/>
    </row>
    <row r="94" ht="14.2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  <c r="AN94" s="63"/>
      <c r="AO94" s="63"/>
      <c r="AP94" s="63"/>
      <c r="AQ94" s="63"/>
      <c r="AR94" s="63"/>
      <c r="AS94" s="63"/>
      <c r="AT94" s="63"/>
      <c r="AU94" s="63"/>
      <c r="AV94" s="63"/>
      <c r="AW94" s="63"/>
      <c r="AX94" s="63"/>
      <c r="AY94" s="63"/>
      <c r="AZ94" s="63"/>
      <c r="BA94" s="63"/>
      <c r="BB94" s="63"/>
    </row>
    <row r="95" ht="14.2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63"/>
      <c r="AX95" s="63"/>
      <c r="AY95" s="63"/>
      <c r="AZ95" s="63"/>
      <c r="BA95" s="63"/>
      <c r="BB95" s="63"/>
    </row>
    <row r="96" ht="14.2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63"/>
      <c r="AU96" s="63"/>
      <c r="AV96" s="63"/>
      <c r="AW96" s="63"/>
      <c r="AX96" s="63"/>
      <c r="AY96" s="63"/>
      <c r="AZ96" s="63"/>
      <c r="BA96" s="63"/>
      <c r="BB96" s="63"/>
    </row>
    <row r="97" ht="14.2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4.2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63"/>
      <c r="AW98" s="63"/>
      <c r="AX98" s="63"/>
      <c r="AY98" s="63"/>
      <c r="AZ98" s="63"/>
      <c r="BA98" s="63"/>
      <c r="BB98" s="63"/>
    </row>
    <row r="99" ht="14.2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63"/>
      <c r="AW99" s="63"/>
      <c r="AX99" s="63"/>
      <c r="AY99" s="63"/>
      <c r="AZ99" s="63"/>
      <c r="BA99" s="63"/>
      <c r="BB99" s="63"/>
    </row>
    <row r="100" ht="14.2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63"/>
      <c r="AU100" s="63"/>
      <c r="AV100" s="63"/>
      <c r="AW100" s="63"/>
      <c r="AX100" s="63"/>
      <c r="AY100" s="63"/>
      <c r="AZ100" s="63"/>
      <c r="BA100" s="63"/>
      <c r="BB100" s="63"/>
    </row>
    <row r="101" ht="14.2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63"/>
      <c r="AU101" s="63"/>
      <c r="AV101" s="63"/>
      <c r="AW101" s="63"/>
      <c r="AX101" s="63"/>
      <c r="AY101" s="63"/>
      <c r="AZ101" s="63"/>
      <c r="BA101" s="63"/>
      <c r="BB101" s="63"/>
    </row>
    <row r="102" ht="14.2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63"/>
      <c r="AR102" s="63"/>
      <c r="AS102" s="63"/>
      <c r="AT102" s="63"/>
      <c r="AU102" s="63"/>
      <c r="AV102" s="63"/>
      <c r="AW102" s="63"/>
      <c r="AX102" s="63"/>
      <c r="AY102" s="63"/>
      <c r="AZ102" s="63"/>
      <c r="BA102" s="63"/>
      <c r="BB102" s="63"/>
    </row>
    <row r="103" ht="14.2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63"/>
      <c r="AR103" s="63"/>
      <c r="AS103" s="63"/>
      <c r="AT103" s="63"/>
      <c r="AU103" s="63"/>
      <c r="AV103" s="63"/>
      <c r="AW103" s="63"/>
      <c r="AX103" s="63"/>
      <c r="AY103" s="63"/>
      <c r="AZ103" s="63"/>
      <c r="BA103" s="63"/>
      <c r="BB103" s="63"/>
    </row>
    <row r="104" ht="14.2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63"/>
      <c r="AR104" s="63"/>
      <c r="AS104" s="63"/>
      <c r="AT104" s="63"/>
      <c r="AU104" s="63"/>
      <c r="AV104" s="63"/>
      <c r="AW104" s="63"/>
      <c r="AX104" s="63"/>
      <c r="AY104" s="63"/>
      <c r="AZ104" s="63"/>
      <c r="BA104" s="63"/>
      <c r="BB104" s="63"/>
    </row>
    <row r="105" ht="14.2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3"/>
      <c r="AP105" s="63"/>
      <c r="AQ105" s="63"/>
      <c r="AR105" s="63"/>
      <c r="AS105" s="63"/>
      <c r="AT105" s="63"/>
      <c r="AU105" s="63"/>
      <c r="AV105" s="63"/>
      <c r="AW105" s="63"/>
      <c r="AX105" s="63"/>
      <c r="AY105" s="63"/>
      <c r="AZ105" s="63"/>
      <c r="BA105" s="63"/>
      <c r="BB105" s="63"/>
    </row>
    <row r="106" ht="14.2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4.2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3"/>
      <c r="AP107" s="63"/>
      <c r="AQ107" s="63"/>
      <c r="AR107" s="63"/>
      <c r="AS107" s="63"/>
      <c r="AT107" s="63"/>
      <c r="AU107" s="63"/>
      <c r="AV107" s="63"/>
      <c r="AW107" s="63"/>
      <c r="AX107" s="63"/>
      <c r="AY107" s="63"/>
      <c r="AZ107" s="63"/>
      <c r="BA107" s="63"/>
      <c r="BB107" s="63"/>
    </row>
    <row r="108" ht="14.2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3"/>
      <c r="AQ108" s="63"/>
      <c r="AR108" s="63"/>
      <c r="AS108" s="63"/>
      <c r="AT108" s="63"/>
      <c r="AU108" s="63"/>
      <c r="AV108" s="63"/>
      <c r="AW108" s="63"/>
      <c r="AX108" s="63"/>
      <c r="AY108" s="63"/>
      <c r="AZ108" s="63"/>
      <c r="BA108" s="63"/>
      <c r="BB108" s="63"/>
    </row>
    <row r="109" ht="14.2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63"/>
      <c r="AU109" s="63"/>
      <c r="AV109" s="63"/>
      <c r="AW109" s="63"/>
      <c r="AX109" s="63"/>
      <c r="AY109" s="63"/>
      <c r="AZ109" s="63"/>
      <c r="BA109" s="63"/>
      <c r="BB109" s="63"/>
    </row>
    <row r="110" ht="14.2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  <c r="AN110" s="63"/>
      <c r="AO110" s="63"/>
      <c r="AP110" s="63"/>
      <c r="AQ110" s="63"/>
      <c r="AR110" s="63"/>
      <c r="AS110" s="63"/>
      <c r="AT110" s="63"/>
      <c r="AU110" s="63"/>
      <c r="AV110" s="63"/>
      <c r="AW110" s="63"/>
      <c r="AX110" s="63"/>
      <c r="AY110" s="63"/>
      <c r="AZ110" s="63"/>
      <c r="BA110" s="63"/>
      <c r="BB110" s="63"/>
    </row>
    <row r="111" ht="14.2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63"/>
      <c r="AW111" s="63"/>
      <c r="AX111" s="63"/>
      <c r="AY111" s="63"/>
      <c r="AZ111" s="63"/>
      <c r="BA111" s="63"/>
      <c r="BB111" s="63"/>
    </row>
    <row r="112" ht="14.2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/>
      <c r="AU112" s="63"/>
      <c r="AV112" s="63"/>
      <c r="AW112" s="63"/>
      <c r="AX112" s="63"/>
      <c r="AY112" s="63"/>
      <c r="AZ112" s="63"/>
      <c r="BA112" s="63"/>
      <c r="BB112" s="63"/>
    </row>
    <row r="113" ht="14.2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/>
      <c r="AU113" s="63"/>
      <c r="AV113" s="63"/>
      <c r="AW113" s="63"/>
      <c r="AX113" s="63"/>
      <c r="AY113" s="63"/>
      <c r="AZ113" s="63"/>
      <c r="BA113" s="63"/>
      <c r="BB113" s="63"/>
    </row>
    <row r="114" ht="14.2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/>
      <c r="AU114" s="63"/>
      <c r="AV114" s="63"/>
      <c r="AW114" s="63"/>
      <c r="AX114" s="63"/>
      <c r="AY114" s="63"/>
      <c r="AZ114" s="63"/>
      <c r="BA114" s="63"/>
      <c r="BB114" s="63"/>
    </row>
    <row r="115" ht="14.2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63"/>
      <c r="AX115" s="63"/>
      <c r="AY115" s="63"/>
      <c r="AZ115" s="63"/>
      <c r="BA115" s="63"/>
      <c r="BB115" s="63"/>
    </row>
    <row r="116" ht="14.2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63"/>
      <c r="AX116" s="63"/>
      <c r="AY116" s="63"/>
      <c r="AZ116" s="63"/>
      <c r="BA116" s="63"/>
      <c r="BB116" s="63"/>
    </row>
    <row r="117" ht="14.2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63"/>
      <c r="AX117" s="63"/>
      <c r="AY117" s="63"/>
      <c r="AZ117" s="63"/>
      <c r="BA117" s="63"/>
      <c r="BB117" s="63"/>
    </row>
    <row r="118" ht="14.2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4.2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/>
      <c r="AU119" s="63"/>
      <c r="AV119" s="63"/>
      <c r="AW119" s="63"/>
      <c r="AX119" s="63"/>
      <c r="AY119" s="63"/>
      <c r="AZ119" s="63"/>
      <c r="BA119" s="63"/>
      <c r="BB119" s="63"/>
    </row>
    <row r="120" ht="14.2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/>
      <c r="AU120" s="63"/>
      <c r="AV120" s="63"/>
      <c r="AW120" s="63"/>
      <c r="AX120" s="63"/>
      <c r="AY120" s="63"/>
      <c r="AZ120" s="63"/>
      <c r="BA120" s="63"/>
      <c r="BB120" s="63"/>
    </row>
    <row r="121" ht="14.2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  <c r="AV121" s="63"/>
      <c r="AW121" s="63"/>
      <c r="AX121" s="63"/>
      <c r="AY121" s="63"/>
      <c r="AZ121" s="63"/>
      <c r="BA121" s="63"/>
      <c r="BB121" s="63"/>
    </row>
    <row r="122" ht="14.2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63"/>
      <c r="AX122" s="63"/>
      <c r="AY122" s="63"/>
      <c r="AZ122" s="63"/>
      <c r="BA122" s="63"/>
      <c r="BB122" s="63"/>
    </row>
    <row r="123" ht="14.2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/>
      <c r="AU123" s="63"/>
      <c r="AV123" s="63"/>
      <c r="AW123" s="63"/>
      <c r="AX123" s="63"/>
      <c r="AY123" s="63"/>
      <c r="AZ123" s="63"/>
      <c r="BA123" s="63"/>
      <c r="BB123" s="63"/>
    </row>
    <row r="124" ht="14.2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</row>
    <row r="125" ht="14.2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6" ht="14.2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63"/>
      <c r="AX126" s="63"/>
      <c r="AY126" s="63"/>
      <c r="AZ126" s="63"/>
      <c r="BA126" s="63"/>
      <c r="BB126" s="63"/>
    </row>
    <row r="127" ht="14.2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/>
      <c r="AU127" s="63"/>
      <c r="AV127" s="63"/>
      <c r="AW127" s="63"/>
      <c r="AX127" s="63"/>
      <c r="AY127" s="63"/>
      <c r="AZ127" s="63"/>
      <c r="BA127" s="63"/>
      <c r="BB127" s="63"/>
    </row>
    <row r="128" ht="14.2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/>
      <c r="AU128" s="63"/>
      <c r="AV128" s="63"/>
      <c r="AW128" s="63"/>
      <c r="AX128" s="63"/>
      <c r="AY128" s="63"/>
      <c r="AZ128" s="63"/>
      <c r="BA128" s="63"/>
      <c r="BB128" s="63"/>
    </row>
    <row r="129" ht="14.2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/>
      <c r="AU129" s="63"/>
      <c r="AV129" s="63"/>
      <c r="AW129" s="63"/>
      <c r="AX129" s="63"/>
      <c r="AY129" s="63"/>
      <c r="AZ129" s="63"/>
      <c r="BA129" s="63"/>
      <c r="BB129" s="63"/>
    </row>
    <row r="130" ht="14.2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/>
      <c r="AU130" s="63"/>
      <c r="AV130" s="63"/>
      <c r="AW130" s="63"/>
      <c r="AX130" s="63"/>
      <c r="AY130" s="63"/>
      <c r="AZ130" s="63"/>
      <c r="BA130" s="63"/>
      <c r="BB130" s="63"/>
    </row>
    <row r="131" ht="14.2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/>
      <c r="AU131" s="63"/>
      <c r="AV131" s="63"/>
      <c r="AW131" s="63"/>
      <c r="AX131" s="63"/>
      <c r="AY131" s="63"/>
      <c r="AZ131" s="63"/>
      <c r="BA131" s="63"/>
      <c r="BB131" s="63"/>
    </row>
    <row r="132" ht="14.2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/>
      <c r="AU132" s="63"/>
      <c r="AV132" s="63"/>
      <c r="AW132" s="63"/>
      <c r="AX132" s="63"/>
      <c r="AY132" s="63"/>
      <c r="AZ132" s="63"/>
      <c r="BA132" s="63"/>
      <c r="BB132" s="63"/>
    </row>
    <row r="133" ht="14.2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/>
      <c r="AU133" s="63"/>
      <c r="AV133" s="63"/>
      <c r="AW133" s="63"/>
      <c r="AX133" s="63"/>
      <c r="AY133" s="63"/>
      <c r="AZ133" s="63"/>
      <c r="BA133" s="63"/>
      <c r="BB133" s="63"/>
    </row>
    <row r="134" ht="14.2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/>
      <c r="AU134" s="63"/>
      <c r="AV134" s="63"/>
      <c r="AW134" s="63"/>
      <c r="AX134" s="63"/>
      <c r="AY134" s="63"/>
      <c r="AZ134" s="63"/>
      <c r="BA134" s="63"/>
      <c r="BB134" s="63"/>
    </row>
    <row r="135" ht="14.2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/>
      <c r="AU135" s="63"/>
      <c r="AV135" s="63"/>
      <c r="AW135" s="63"/>
      <c r="AX135" s="63"/>
      <c r="AY135" s="63"/>
      <c r="AZ135" s="63"/>
      <c r="BA135" s="63"/>
      <c r="BB135" s="63"/>
    </row>
    <row r="136" ht="14.2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/>
      <c r="AU136" s="63"/>
      <c r="AV136" s="63"/>
      <c r="AW136" s="63"/>
      <c r="AX136" s="63"/>
      <c r="AY136" s="63"/>
      <c r="AZ136" s="63"/>
      <c r="BA136" s="63"/>
      <c r="BB136" s="63"/>
    </row>
    <row r="137" ht="14.2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/>
      <c r="AU137" s="63"/>
      <c r="AV137" s="63"/>
      <c r="AW137" s="63"/>
      <c r="AX137" s="63"/>
      <c r="AY137" s="63"/>
      <c r="AZ137" s="63"/>
      <c r="BA137" s="63"/>
      <c r="BB137" s="63"/>
    </row>
    <row r="138" ht="14.2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/>
      <c r="AU138" s="63"/>
      <c r="AV138" s="63"/>
      <c r="AW138" s="63"/>
      <c r="AX138" s="63"/>
      <c r="AY138" s="63"/>
      <c r="AZ138" s="63"/>
      <c r="BA138" s="63"/>
      <c r="BB138" s="63"/>
    </row>
    <row r="139" ht="14.2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/>
      <c r="AU139" s="63"/>
      <c r="AV139" s="63"/>
      <c r="AW139" s="63"/>
      <c r="AX139" s="63"/>
      <c r="AY139" s="63"/>
      <c r="AZ139" s="63"/>
      <c r="BA139" s="63"/>
      <c r="BB139" s="63"/>
    </row>
    <row r="140" ht="14.2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/>
      <c r="AU140" s="63"/>
      <c r="AV140" s="63"/>
      <c r="AW140" s="63"/>
      <c r="AX140" s="63"/>
      <c r="AY140" s="63"/>
      <c r="AZ140" s="63"/>
      <c r="BA140" s="63"/>
      <c r="BB140" s="63"/>
    </row>
    <row r="141" ht="14.2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/>
      <c r="AU141" s="63"/>
      <c r="AV141" s="63"/>
      <c r="AW141" s="63"/>
      <c r="AX141" s="63"/>
      <c r="AY141" s="63"/>
      <c r="AZ141" s="63"/>
      <c r="BA141" s="63"/>
      <c r="BB141" s="63"/>
    </row>
    <row r="142" ht="14.2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/>
      <c r="AU142" s="63"/>
      <c r="AV142" s="63"/>
      <c r="AW142" s="63"/>
      <c r="AX142" s="63"/>
      <c r="AY142" s="63"/>
      <c r="AZ142" s="63"/>
      <c r="BA142" s="63"/>
      <c r="BB142" s="63"/>
    </row>
    <row r="143" ht="14.2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/>
      <c r="AU143" s="63"/>
      <c r="AV143" s="63"/>
      <c r="AW143" s="63"/>
      <c r="AX143" s="63"/>
      <c r="AY143" s="63"/>
      <c r="AZ143" s="63"/>
      <c r="BA143" s="63"/>
      <c r="BB143" s="63"/>
    </row>
    <row r="144" ht="14.2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/>
      <c r="AU144" s="63"/>
      <c r="AV144" s="63"/>
      <c r="AW144" s="63"/>
      <c r="AX144" s="63"/>
      <c r="AY144" s="63"/>
      <c r="AZ144" s="63"/>
      <c r="BA144" s="63"/>
      <c r="BB144" s="63"/>
    </row>
    <row r="145" ht="14.2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63"/>
      <c r="AW145" s="63"/>
      <c r="AX145" s="63"/>
      <c r="AY145" s="63"/>
      <c r="AZ145" s="63"/>
      <c r="BA145" s="63"/>
      <c r="BB145" s="63"/>
    </row>
    <row r="146" ht="14.2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63"/>
      <c r="AW146" s="63"/>
      <c r="AX146" s="63"/>
      <c r="AY146" s="63"/>
      <c r="AZ146" s="63"/>
      <c r="BA146" s="63"/>
      <c r="BB146" s="63"/>
    </row>
    <row r="147" ht="14.2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63"/>
      <c r="AV147" s="63"/>
      <c r="AW147" s="63"/>
      <c r="AX147" s="63"/>
      <c r="AY147" s="63"/>
      <c r="AZ147" s="63"/>
      <c r="BA147" s="63"/>
      <c r="BB147" s="63"/>
    </row>
    <row r="148" ht="14.2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/>
      <c r="AU148" s="63"/>
      <c r="AV148" s="63"/>
      <c r="AW148" s="63"/>
      <c r="AX148" s="63"/>
      <c r="AY148" s="63"/>
      <c r="AZ148" s="63"/>
      <c r="BA148" s="63"/>
      <c r="BB148" s="63"/>
    </row>
    <row r="149" ht="14.2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63"/>
    </row>
    <row r="150" ht="14.2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/>
      <c r="AU150" s="63"/>
      <c r="AV150" s="63"/>
      <c r="AW150" s="63"/>
      <c r="AX150" s="63"/>
      <c r="AY150" s="63"/>
      <c r="AZ150" s="63"/>
      <c r="BA150" s="63"/>
      <c r="BB150" s="63"/>
    </row>
    <row r="151" ht="14.2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/>
      <c r="AU151" s="63"/>
      <c r="AV151" s="63"/>
      <c r="AW151" s="63"/>
      <c r="AX151" s="63"/>
      <c r="AY151" s="63"/>
      <c r="AZ151" s="63"/>
      <c r="BA151" s="63"/>
      <c r="BB151" s="63"/>
    </row>
    <row r="152" ht="14.2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/>
      <c r="AU152" s="63"/>
      <c r="AV152" s="63"/>
      <c r="AW152" s="63"/>
      <c r="AX152" s="63"/>
      <c r="AY152" s="63"/>
      <c r="AZ152" s="63"/>
      <c r="BA152" s="63"/>
      <c r="BB152" s="63"/>
    </row>
    <row r="153" ht="14.2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/>
      <c r="AU153" s="63"/>
      <c r="AV153" s="63"/>
      <c r="AW153" s="63"/>
      <c r="AX153" s="63"/>
      <c r="AY153" s="63"/>
      <c r="AZ153" s="63"/>
      <c r="BA153" s="63"/>
      <c r="BB153" s="63"/>
    </row>
    <row r="154" ht="14.2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/>
      <c r="AU154" s="63"/>
      <c r="AV154" s="63"/>
      <c r="AW154" s="63"/>
      <c r="AX154" s="63"/>
      <c r="AY154" s="63"/>
      <c r="AZ154" s="63"/>
      <c r="BA154" s="63"/>
      <c r="BB154" s="63"/>
    </row>
    <row r="155" ht="14.2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63"/>
      <c r="AW155" s="63"/>
      <c r="AX155" s="63"/>
      <c r="AY155" s="63"/>
      <c r="AZ155" s="63"/>
      <c r="BA155" s="63"/>
      <c r="BB155" s="63"/>
    </row>
    <row r="156" ht="14.2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63"/>
      <c r="AW156" s="63"/>
      <c r="AX156" s="63"/>
      <c r="AY156" s="63"/>
      <c r="AZ156" s="63"/>
      <c r="BA156" s="63"/>
      <c r="BB156" s="63"/>
    </row>
    <row r="157" ht="14.2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63"/>
      <c r="AW157" s="63"/>
      <c r="AX157" s="63"/>
      <c r="AY157" s="63"/>
      <c r="AZ157" s="63"/>
      <c r="BA157" s="63"/>
      <c r="BB157" s="63"/>
    </row>
    <row r="158" ht="14.2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63"/>
      <c r="AW158" s="63"/>
      <c r="AX158" s="63"/>
      <c r="AY158" s="63"/>
      <c r="AZ158" s="63"/>
      <c r="BA158" s="63"/>
      <c r="BB158" s="63"/>
    </row>
    <row r="159" ht="14.2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63"/>
      <c r="AX159" s="63"/>
      <c r="AY159" s="63"/>
      <c r="AZ159" s="63"/>
      <c r="BA159" s="63"/>
      <c r="BB159" s="63"/>
    </row>
    <row r="160" ht="14.2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63"/>
      <c r="AX160" s="63"/>
      <c r="AY160" s="63"/>
      <c r="AZ160" s="63"/>
      <c r="BA160" s="63"/>
      <c r="BB160" s="63"/>
    </row>
    <row r="161" ht="14.2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63"/>
      <c r="AW161" s="63"/>
      <c r="AX161" s="63"/>
      <c r="AY161" s="63"/>
      <c r="AZ161" s="63"/>
      <c r="BA161" s="63"/>
      <c r="BB161" s="63"/>
    </row>
    <row r="162" ht="14.2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/>
      <c r="AU162" s="63"/>
      <c r="AV162" s="63"/>
      <c r="AW162" s="63"/>
      <c r="AX162" s="63"/>
      <c r="AY162" s="63"/>
      <c r="AZ162" s="63"/>
      <c r="BA162" s="63"/>
      <c r="BB162" s="63"/>
    </row>
    <row r="163" ht="14.2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/>
      <c r="AU163" s="63"/>
      <c r="AV163" s="63"/>
      <c r="AW163" s="63"/>
      <c r="AX163" s="63"/>
      <c r="AY163" s="63"/>
      <c r="AZ163" s="63"/>
      <c r="BA163" s="63"/>
      <c r="BB163" s="63"/>
    </row>
    <row r="164" ht="14.2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/>
      <c r="AU164" s="63"/>
      <c r="AV164" s="63"/>
      <c r="AW164" s="63"/>
      <c r="AX164" s="63"/>
      <c r="AY164" s="63"/>
      <c r="AZ164" s="63"/>
      <c r="BA164" s="63"/>
      <c r="BB164" s="63"/>
    </row>
    <row r="165" ht="14.2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63"/>
      <c r="AW165" s="63"/>
      <c r="AX165" s="63"/>
      <c r="AY165" s="63"/>
      <c r="AZ165" s="63"/>
      <c r="BA165" s="63"/>
      <c r="BB165" s="63"/>
    </row>
    <row r="166" ht="14.2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63"/>
      <c r="AW166" s="63"/>
      <c r="AX166" s="63"/>
      <c r="AY166" s="63"/>
      <c r="AZ166" s="63"/>
      <c r="BA166" s="63"/>
      <c r="BB166" s="63"/>
    </row>
    <row r="167" ht="14.2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63"/>
      <c r="AW167" s="63"/>
      <c r="AX167" s="63"/>
      <c r="AY167" s="63"/>
      <c r="AZ167" s="63"/>
      <c r="BA167" s="63"/>
      <c r="BB167" s="63"/>
    </row>
    <row r="168" ht="14.2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/>
      <c r="AU168" s="63"/>
      <c r="AV168" s="63"/>
      <c r="AW168" s="63"/>
      <c r="AX168" s="63"/>
      <c r="AY168" s="63"/>
      <c r="AZ168" s="63"/>
      <c r="BA168" s="63"/>
      <c r="BB168" s="63"/>
    </row>
    <row r="169" ht="14.2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/>
      <c r="AU169" s="63"/>
      <c r="AV169" s="63"/>
      <c r="AW169" s="63"/>
      <c r="AX169" s="63"/>
      <c r="AY169" s="63"/>
      <c r="AZ169" s="63"/>
      <c r="BA169" s="63"/>
      <c r="BB169" s="63"/>
    </row>
    <row r="170" ht="14.2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/>
      <c r="AU170" s="63"/>
      <c r="AV170" s="63"/>
      <c r="AW170" s="63"/>
      <c r="AX170" s="63"/>
      <c r="AY170" s="63"/>
      <c r="AZ170" s="63"/>
      <c r="BA170" s="63"/>
      <c r="BB170" s="63"/>
    </row>
    <row r="171" ht="14.2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  <c r="AM171" s="63"/>
      <c r="AN171" s="63"/>
      <c r="AO171" s="63"/>
      <c r="AP171" s="63"/>
      <c r="AQ171" s="63"/>
      <c r="AR171" s="63"/>
      <c r="AS171" s="63"/>
      <c r="AT171" s="63"/>
      <c r="AU171" s="63"/>
      <c r="AV171" s="63"/>
      <c r="AW171" s="63"/>
      <c r="AX171" s="63"/>
      <c r="AY171" s="63"/>
      <c r="AZ171" s="63"/>
      <c r="BA171" s="63"/>
      <c r="BB171" s="63"/>
    </row>
    <row r="172" ht="14.2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  <c r="AM172" s="63"/>
      <c r="AN172" s="63"/>
      <c r="AO172" s="63"/>
      <c r="AP172" s="63"/>
      <c r="AQ172" s="63"/>
      <c r="AR172" s="63"/>
      <c r="AS172" s="63"/>
      <c r="AT172" s="63"/>
      <c r="AU172" s="63"/>
      <c r="AV172" s="63"/>
      <c r="AW172" s="63"/>
      <c r="AX172" s="63"/>
      <c r="AY172" s="63"/>
      <c r="AZ172" s="63"/>
      <c r="BA172" s="63"/>
      <c r="BB172" s="63"/>
    </row>
    <row r="173" ht="14.2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  <c r="AM173" s="63"/>
      <c r="AN173" s="63"/>
      <c r="AO173" s="63"/>
      <c r="AP173" s="63"/>
      <c r="AQ173" s="63"/>
      <c r="AR173" s="63"/>
      <c r="AS173" s="63"/>
      <c r="AT173" s="63"/>
      <c r="AU173" s="63"/>
      <c r="AV173" s="63"/>
      <c r="AW173" s="63"/>
      <c r="AX173" s="63"/>
      <c r="AY173" s="63"/>
      <c r="AZ173" s="63"/>
      <c r="BA173" s="63"/>
      <c r="BB173" s="63"/>
    </row>
    <row r="174" ht="14.2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  <c r="AM174" s="63"/>
      <c r="AN174" s="63"/>
      <c r="AO174" s="63"/>
      <c r="AP174" s="63"/>
      <c r="AQ174" s="63"/>
      <c r="AR174" s="63"/>
      <c r="AS174" s="63"/>
      <c r="AT174" s="63"/>
      <c r="AU174" s="63"/>
      <c r="AV174" s="63"/>
      <c r="AW174" s="63"/>
      <c r="AX174" s="63"/>
      <c r="AY174" s="63"/>
      <c r="AZ174" s="63"/>
      <c r="BA174" s="63"/>
      <c r="BB174" s="63"/>
    </row>
    <row r="175" ht="14.2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  <c r="AM175" s="63"/>
      <c r="AN175" s="63"/>
      <c r="AO175" s="63"/>
      <c r="AP175" s="63"/>
      <c r="AQ175" s="63"/>
      <c r="AR175" s="63"/>
      <c r="AS175" s="63"/>
      <c r="AT175" s="63"/>
      <c r="AU175" s="63"/>
      <c r="AV175" s="63"/>
      <c r="AW175" s="63"/>
      <c r="AX175" s="63"/>
      <c r="AY175" s="63"/>
      <c r="AZ175" s="63"/>
      <c r="BA175" s="63"/>
      <c r="BB175" s="63"/>
    </row>
    <row r="176" ht="14.2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  <c r="AM176" s="63"/>
      <c r="AN176" s="63"/>
      <c r="AO176" s="63"/>
      <c r="AP176" s="63"/>
      <c r="AQ176" s="63"/>
      <c r="AR176" s="63"/>
      <c r="AS176" s="63"/>
      <c r="AT176" s="63"/>
      <c r="AU176" s="63"/>
      <c r="AV176" s="63"/>
      <c r="AW176" s="63"/>
      <c r="AX176" s="63"/>
      <c r="AY176" s="63"/>
      <c r="AZ176" s="63"/>
      <c r="BA176" s="63"/>
      <c r="BB176" s="63"/>
    </row>
    <row r="177" ht="14.2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63"/>
      <c r="AW177" s="63"/>
      <c r="AX177" s="63"/>
      <c r="AY177" s="63"/>
      <c r="AZ177" s="63"/>
      <c r="BA177" s="63"/>
      <c r="BB177" s="63"/>
    </row>
    <row r="178" ht="14.2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  <c r="AM178" s="63"/>
      <c r="AN178" s="63"/>
      <c r="AO178" s="63"/>
      <c r="AP178" s="63"/>
      <c r="AQ178" s="63"/>
      <c r="AR178" s="63"/>
      <c r="AS178" s="63"/>
      <c r="AT178" s="63"/>
      <c r="AU178" s="63"/>
      <c r="AV178" s="63"/>
      <c r="AW178" s="63"/>
      <c r="AX178" s="63"/>
      <c r="AY178" s="63"/>
      <c r="AZ178" s="63"/>
      <c r="BA178" s="63"/>
      <c r="BB178" s="63"/>
    </row>
    <row r="179" ht="14.2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  <c r="AN179" s="63"/>
      <c r="AO179" s="63"/>
      <c r="AP179" s="63"/>
      <c r="AQ179" s="63"/>
      <c r="AR179" s="63"/>
      <c r="AS179" s="63"/>
      <c r="AT179" s="63"/>
      <c r="AU179" s="63"/>
      <c r="AV179" s="63"/>
      <c r="AW179" s="63"/>
      <c r="AX179" s="63"/>
      <c r="AY179" s="63"/>
      <c r="AZ179" s="63"/>
      <c r="BA179" s="63"/>
      <c r="BB179" s="63"/>
    </row>
    <row r="180" ht="14.2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  <c r="AM180" s="63"/>
      <c r="AN180" s="63"/>
      <c r="AO180" s="63"/>
      <c r="AP180" s="63"/>
      <c r="AQ180" s="63"/>
      <c r="AR180" s="63"/>
      <c r="AS180" s="63"/>
      <c r="AT180" s="63"/>
      <c r="AU180" s="63"/>
      <c r="AV180" s="63"/>
      <c r="AW180" s="63"/>
      <c r="AX180" s="63"/>
      <c r="AY180" s="63"/>
      <c r="AZ180" s="63"/>
      <c r="BA180" s="63"/>
      <c r="BB180" s="63"/>
    </row>
    <row r="181" ht="14.2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3"/>
      <c r="AP181" s="63"/>
      <c r="AQ181" s="63"/>
      <c r="AR181" s="63"/>
      <c r="AS181" s="63"/>
      <c r="AT181" s="63"/>
      <c r="AU181" s="63"/>
      <c r="AV181" s="63"/>
      <c r="AW181" s="63"/>
      <c r="AX181" s="63"/>
      <c r="AY181" s="63"/>
      <c r="AZ181" s="63"/>
      <c r="BA181" s="63"/>
      <c r="BB181" s="63"/>
    </row>
    <row r="182" ht="14.2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  <c r="AM182" s="63"/>
      <c r="AN182" s="63"/>
      <c r="AO182" s="63"/>
      <c r="AP182" s="63"/>
      <c r="AQ182" s="63"/>
      <c r="AR182" s="63"/>
      <c r="AS182" s="63"/>
      <c r="AT182" s="63"/>
      <c r="AU182" s="63"/>
      <c r="AV182" s="63"/>
      <c r="AW182" s="63"/>
      <c r="AX182" s="63"/>
      <c r="AY182" s="63"/>
      <c r="AZ182" s="63"/>
      <c r="BA182" s="63"/>
      <c r="BB182" s="63"/>
    </row>
    <row r="183" ht="14.2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3"/>
      <c r="AP183" s="63"/>
      <c r="AQ183" s="63"/>
      <c r="AR183" s="63"/>
      <c r="AS183" s="63"/>
      <c r="AT183" s="63"/>
      <c r="AU183" s="63"/>
      <c r="AV183" s="63"/>
      <c r="AW183" s="63"/>
      <c r="AX183" s="63"/>
      <c r="AY183" s="63"/>
      <c r="AZ183" s="63"/>
      <c r="BA183" s="63"/>
      <c r="BB183" s="63"/>
    </row>
    <row r="184" ht="14.2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  <c r="AM184" s="63"/>
      <c r="AN184" s="63"/>
      <c r="AO184" s="63"/>
      <c r="AP184" s="63"/>
      <c r="AQ184" s="63"/>
      <c r="AR184" s="63"/>
      <c r="AS184" s="63"/>
      <c r="AT184" s="63"/>
      <c r="AU184" s="63"/>
      <c r="AV184" s="63"/>
      <c r="AW184" s="63"/>
      <c r="AX184" s="63"/>
      <c r="AY184" s="63"/>
      <c r="AZ184" s="63"/>
      <c r="BA184" s="63"/>
      <c r="BB184" s="63"/>
    </row>
    <row r="185" ht="14.2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3"/>
      <c r="AP185" s="63"/>
      <c r="AQ185" s="63"/>
      <c r="AR185" s="63"/>
      <c r="AS185" s="63"/>
      <c r="AT185" s="63"/>
      <c r="AU185" s="63"/>
      <c r="AV185" s="63"/>
      <c r="AW185" s="63"/>
      <c r="AX185" s="63"/>
      <c r="AY185" s="63"/>
      <c r="AZ185" s="63"/>
      <c r="BA185" s="63"/>
      <c r="BB185" s="63"/>
    </row>
    <row r="186" ht="14.2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  <c r="AM186" s="63"/>
      <c r="AN186" s="63"/>
      <c r="AO186" s="63"/>
      <c r="AP186" s="63"/>
      <c r="AQ186" s="63"/>
      <c r="AR186" s="63"/>
      <c r="AS186" s="63"/>
      <c r="AT186" s="63"/>
      <c r="AU186" s="63"/>
      <c r="AV186" s="63"/>
      <c r="AW186" s="63"/>
      <c r="AX186" s="63"/>
      <c r="AY186" s="63"/>
      <c r="AZ186" s="63"/>
      <c r="BA186" s="63"/>
      <c r="BB186" s="63"/>
    </row>
    <row r="187" ht="14.2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3"/>
      <c r="AP187" s="63"/>
      <c r="AQ187" s="63"/>
      <c r="AR187" s="63"/>
      <c r="AS187" s="63"/>
      <c r="AT187" s="63"/>
      <c r="AU187" s="63"/>
      <c r="AV187" s="63"/>
      <c r="AW187" s="63"/>
      <c r="AX187" s="63"/>
      <c r="AY187" s="63"/>
      <c r="AZ187" s="63"/>
      <c r="BA187" s="63"/>
      <c r="BB187" s="63"/>
    </row>
    <row r="188" ht="14.2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  <c r="AM188" s="63"/>
      <c r="AN188" s="63"/>
      <c r="AO188" s="63"/>
      <c r="AP188" s="63"/>
      <c r="AQ188" s="63"/>
      <c r="AR188" s="63"/>
      <c r="AS188" s="63"/>
      <c r="AT188" s="63"/>
      <c r="AU188" s="63"/>
      <c r="AV188" s="63"/>
      <c r="AW188" s="63"/>
      <c r="AX188" s="63"/>
      <c r="AY188" s="63"/>
      <c r="AZ188" s="63"/>
      <c r="BA188" s="63"/>
      <c r="BB188" s="63"/>
    </row>
    <row r="189" ht="14.2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63"/>
      <c r="AW189" s="63"/>
      <c r="AX189" s="63"/>
      <c r="AY189" s="63"/>
      <c r="AZ189" s="63"/>
      <c r="BA189" s="63"/>
      <c r="BB189" s="63"/>
    </row>
    <row r="190" ht="14.2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63"/>
      <c r="AW190" s="63"/>
      <c r="AX190" s="63"/>
      <c r="AY190" s="63"/>
      <c r="AZ190" s="63"/>
      <c r="BA190" s="63"/>
      <c r="BB190" s="63"/>
    </row>
    <row r="191" ht="14.2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63"/>
      <c r="AW191" s="63"/>
      <c r="AX191" s="63"/>
      <c r="AY191" s="63"/>
      <c r="AZ191" s="63"/>
      <c r="BA191" s="63"/>
      <c r="BB191" s="63"/>
    </row>
    <row r="192" ht="14.2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  <c r="AM192" s="63"/>
      <c r="AN192" s="63"/>
      <c r="AO192" s="63"/>
      <c r="AP192" s="63"/>
      <c r="AQ192" s="63"/>
      <c r="AR192" s="63"/>
      <c r="AS192" s="63"/>
      <c r="AT192" s="63"/>
      <c r="AU192" s="63"/>
      <c r="AV192" s="63"/>
      <c r="AW192" s="63"/>
      <c r="AX192" s="63"/>
      <c r="AY192" s="63"/>
      <c r="AZ192" s="63"/>
      <c r="BA192" s="63"/>
      <c r="BB192" s="63"/>
    </row>
    <row r="193" ht="14.2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63"/>
      <c r="AX193" s="63"/>
      <c r="AY193" s="63"/>
      <c r="AZ193" s="63"/>
      <c r="BA193" s="63"/>
      <c r="BB193" s="63"/>
    </row>
    <row r="194" ht="14.2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  <c r="AM194" s="63"/>
      <c r="AN194" s="63"/>
      <c r="AO194" s="63"/>
      <c r="AP194" s="63"/>
      <c r="AQ194" s="63"/>
      <c r="AR194" s="63"/>
      <c r="AS194" s="63"/>
      <c r="AT194" s="63"/>
      <c r="AU194" s="63"/>
      <c r="AV194" s="63"/>
      <c r="AW194" s="63"/>
      <c r="AX194" s="63"/>
      <c r="AY194" s="63"/>
      <c r="AZ194" s="63"/>
      <c r="BA194" s="63"/>
      <c r="BB194" s="63"/>
    </row>
    <row r="195" ht="14.2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  <c r="AM195" s="63"/>
      <c r="AN195" s="63"/>
      <c r="AO195" s="63"/>
      <c r="AP195" s="63"/>
      <c r="AQ195" s="63"/>
      <c r="AR195" s="63"/>
      <c r="AS195" s="63"/>
      <c r="AT195" s="63"/>
      <c r="AU195" s="63"/>
      <c r="AV195" s="63"/>
      <c r="AW195" s="63"/>
      <c r="AX195" s="63"/>
      <c r="AY195" s="63"/>
      <c r="AZ195" s="63"/>
      <c r="BA195" s="63"/>
      <c r="BB195" s="63"/>
    </row>
    <row r="196" ht="14.2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  <c r="AM196" s="63"/>
      <c r="AN196" s="63"/>
      <c r="AO196" s="63"/>
      <c r="AP196" s="63"/>
      <c r="AQ196" s="63"/>
      <c r="AR196" s="63"/>
      <c r="AS196" s="63"/>
      <c r="AT196" s="63"/>
      <c r="AU196" s="63"/>
      <c r="AV196" s="63"/>
      <c r="AW196" s="63"/>
      <c r="AX196" s="63"/>
      <c r="AY196" s="63"/>
      <c r="AZ196" s="63"/>
      <c r="BA196" s="63"/>
      <c r="BB196" s="63"/>
    </row>
    <row r="197" ht="14.2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  <c r="AM197" s="63"/>
      <c r="AN197" s="63"/>
      <c r="AO197" s="63"/>
      <c r="AP197" s="63"/>
      <c r="AQ197" s="63"/>
      <c r="AR197" s="63"/>
      <c r="AS197" s="63"/>
      <c r="AT197" s="63"/>
      <c r="AU197" s="63"/>
      <c r="AV197" s="63"/>
      <c r="AW197" s="63"/>
      <c r="AX197" s="63"/>
      <c r="AY197" s="63"/>
      <c r="AZ197" s="63"/>
      <c r="BA197" s="63"/>
      <c r="BB197" s="63"/>
    </row>
    <row r="198" ht="14.2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  <c r="AM198" s="63"/>
      <c r="AN198" s="63"/>
      <c r="AO198" s="63"/>
      <c r="AP198" s="63"/>
      <c r="AQ198" s="63"/>
      <c r="AR198" s="63"/>
      <c r="AS198" s="63"/>
      <c r="AT198" s="63"/>
      <c r="AU198" s="63"/>
      <c r="AV198" s="63"/>
      <c r="AW198" s="63"/>
      <c r="AX198" s="63"/>
      <c r="AY198" s="63"/>
      <c r="AZ198" s="63"/>
      <c r="BA198" s="63"/>
      <c r="BB198" s="63"/>
    </row>
    <row r="199" ht="14.2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3"/>
      <c r="AP199" s="63"/>
      <c r="AQ199" s="63"/>
      <c r="AR199" s="63"/>
      <c r="AS199" s="63"/>
      <c r="AT199" s="63"/>
      <c r="AU199" s="63"/>
      <c r="AV199" s="63"/>
      <c r="AW199" s="63"/>
      <c r="AX199" s="63"/>
      <c r="AY199" s="63"/>
      <c r="AZ199" s="63"/>
      <c r="BA199" s="63"/>
      <c r="BB199" s="63"/>
    </row>
    <row r="200" ht="14.2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  <c r="AM200" s="63"/>
      <c r="AN200" s="63"/>
      <c r="AO200" s="63"/>
      <c r="AP200" s="63"/>
      <c r="AQ200" s="63"/>
      <c r="AR200" s="63"/>
      <c r="AS200" s="63"/>
      <c r="AT200" s="63"/>
      <c r="AU200" s="63"/>
      <c r="AV200" s="63"/>
      <c r="AW200" s="63"/>
      <c r="AX200" s="63"/>
      <c r="AY200" s="63"/>
      <c r="AZ200" s="63"/>
      <c r="BA200" s="63"/>
      <c r="BB200" s="63"/>
    </row>
    <row r="201" ht="14.2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  <c r="AN201" s="63"/>
      <c r="AO201" s="63"/>
      <c r="AP201" s="63"/>
      <c r="AQ201" s="63"/>
      <c r="AR201" s="63"/>
      <c r="AS201" s="63"/>
      <c r="AT201" s="63"/>
      <c r="AU201" s="63"/>
      <c r="AV201" s="63"/>
      <c r="AW201" s="63"/>
      <c r="AX201" s="63"/>
      <c r="AY201" s="63"/>
      <c r="AZ201" s="63"/>
      <c r="BA201" s="63"/>
      <c r="BB201" s="63"/>
    </row>
    <row r="202" ht="14.2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  <c r="AM202" s="63"/>
      <c r="AN202" s="63"/>
      <c r="AO202" s="63"/>
      <c r="AP202" s="63"/>
      <c r="AQ202" s="63"/>
      <c r="AR202" s="63"/>
      <c r="AS202" s="63"/>
      <c r="AT202" s="63"/>
      <c r="AU202" s="63"/>
      <c r="AV202" s="63"/>
      <c r="AW202" s="63"/>
      <c r="AX202" s="63"/>
      <c r="AY202" s="63"/>
      <c r="AZ202" s="63"/>
      <c r="BA202" s="63"/>
      <c r="BB202" s="63"/>
    </row>
    <row r="203" ht="14.2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  <c r="AM203" s="63"/>
      <c r="AN203" s="63"/>
      <c r="AO203" s="63"/>
      <c r="AP203" s="63"/>
      <c r="AQ203" s="63"/>
      <c r="AR203" s="63"/>
      <c r="AS203" s="63"/>
      <c r="AT203" s="63"/>
      <c r="AU203" s="63"/>
      <c r="AV203" s="63"/>
      <c r="AW203" s="63"/>
      <c r="AX203" s="63"/>
      <c r="AY203" s="63"/>
      <c r="AZ203" s="63"/>
      <c r="BA203" s="63"/>
      <c r="BB203" s="63"/>
    </row>
    <row r="204" ht="14.2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  <c r="AM204" s="63"/>
      <c r="AN204" s="63"/>
      <c r="AO204" s="63"/>
      <c r="AP204" s="63"/>
      <c r="AQ204" s="63"/>
      <c r="AR204" s="63"/>
      <c r="AS204" s="63"/>
      <c r="AT204" s="63"/>
      <c r="AU204" s="63"/>
      <c r="AV204" s="63"/>
      <c r="AW204" s="63"/>
      <c r="AX204" s="63"/>
      <c r="AY204" s="63"/>
      <c r="AZ204" s="63"/>
      <c r="BA204" s="63"/>
      <c r="BB204" s="63"/>
    </row>
    <row r="205" ht="14.2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  <c r="AM205" s="63"/>
      <c r="AN205" s="63"/>
      <c r="AO205" s="63"/>
      <c r="AP205" s="63"/>
      <c r="AQ205" s="63"/>
      <c r="AR205" s="63"/>
      <c r="AS205" s="63"/>
      <c r="AT205" s="63"/>
      <c r="AU205" s="63"/>
      <c r="AV205" s="63"/>
      <c r="AW205" s="63"/>
      <c r="AX205" s="63"/>
      <c r="AY205" s="63"/>
      <c r="AZ205" s="63"/>
      <c r="BA205" s="63"/>
      <c r="BB205" s="63"/>
    </row>
    <row r="206" ht="14.2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  <c r="AM206" s="63"/>
      <c r="AN206" s="63"/>
      <c r="AO206" s="63"/>
      <c r="AP206" s="63"/>
      <c r="AQ206" s="63"/>
      <c r="AR206" s="63"/>
      <c r="AS206" s="63"/>
      <c r="AT206" s="63"/>
      <c r="AU206" s="63"/>
      <c r="AV206" s="63"/>
      <c r="AW206" s="63"/>
      <c r="AX206" s="63"/>
      <c r="AY206" s="63"/>
      <c r="AZ206" s="63"/>
      <c r="BA206" s="63"/>
      <c r="BB206" s="63"/>
    </row>
    <row r="207" ht="14.2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  <c r="AM207" s="63"/>
      <c r="AN207" s="63"/>
      <c r="AO207" s="63"/>
      <c r="AP207" s="63"/>
      <c r="AQ207" s="63"/>
      <c r="AR207" s="63"/>
      <c r="AS207" s="63"/>
      <c r="AT207" s="63"/>
      <c r="AU207" s="63"/>
      <c r="AV207" s="63"/>
      <c r="AW207" s="63"/>
      <c r="AX207" s="63"/>
      <c r="AY207" s="63"/>
      <c r="AZ207" s="63"/>
      <c r="BA207" s="63"/>
      <c r="BB207" s="63"/>
    </row>
    <row r="208" ht="14.2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3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</row>
    <row r="209" ht="14.2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  <c r="AM209" s="63"/>
      <c r="AN209" s="63"/>
      <c r="AO209" s="63"/>
      <c r="AP209" s="63"/>
      <c r="AQ209" s="63"/>
      <c r="AR209" s="63"/>
      <c r="AS209" s="63"/>
      <c r="AT209" s="63"/>
      <c r="AU209" s="63"/>
      <c r="AV209" s="63"/>
      <c r="AW209" s="63"/>
      <c r="AX209" s="63"/>
      <c r="AY209" s="63"/>
      <c r="AZ209" s="63"/>
      <c r="BA209" s="63"/>
      <c r="BB209" s="63"/>
    </row>
    <row r="210" ht="14.2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  <c r="AM210" s="63"/>
      <c r="AN210" s="63"/>
      <c r="AO210" s="63"/>
      <c r="AP210" s="63"/>
      <c r="AQ210" s="63"/>
      <c r="AR210" s="63"/>
      <c r="AS210" s="63"/>
      <c r="AT210" s="63"/>
      <c r="AU210" s="63"/>
      <c r="AV210" s="63"/>
      <c r="AW210" s="63"/>
      <c r="AX210" s="63"/>
      <c r="AY210" s="63"/>
      <c r="AZ210" s="63"/>
      <c r="BA210" s="63"/>
      <c r="BB210" s="63"/>
    </row>
    <row r="211" ht="14.2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  <c r="AM211" s="63"/>
      <c r="AN211" s="63"/>
      <c r="AO211" s="63"/>
      <c r="AP211" s="63"/>
      <c r="AQ211" s="63"/>
      <c r="AR211" s="63"/>
      <c r="AS211" s="63"/>
      <c r="AT211" s="63"/>
      <c r="AU211" s="63"/>
      <c r="AV211" s="63"/>
      <c r="AW211" s="63"/>
      <c r="AX211" s="63"/>
      <c r="AY211" s="63"/>
      <c r="AZ211" s="63"/>
      <c r="BA211" s="63"/>
      <c r="BB211" s="63"/>
    </row>
    <row r="212" ht="14.2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  <c r="AM212" s="63"/>
      <c r="AN212" s="63"/>
      <c r="AO212" s="63"/>
      <c r="AP212" s="63"/>
      <c r="AQ212" s="63"/>
      <c r="AR212" s="63"/>
      <c r="AS212" s="63"/>
      <c r="AT212" s="63"/>
      <c r="AU212" s="63"/>
      <c r="AV212" s="63"/>
      <c r="AW212" s="63"/>
      <c r="AX212" s="63"/>
      <c r="AY212" s="63"/>
      <c r="AZ212" s="63"/>
      <c r="BA212" s="63"/>
      <c r="BB212" s="63"/>
    </row>
    <row r="213" ht="14.2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  <c r="AM213" s="63"/>
      <c r="AN213" s="63"/>
      <c r="AO213" s="63"/>
      <c r="AP213" s="63"/>
      <c r="AQ213" s="63"/>
      <c r="AR213" s="63"/>
      <c r="AS213" s="63"/>
      <c r="AT213" s="63"/>
      <c r="AU213" s="63"/>
      <c r="AV213" s="63"/>
      <c r="AW213" s="63"/>
      <c r="AX213" s="63"/>
      <c r="AY213" s="63"/>
      <c r="AZ213" s="63"/>
      <c r="BA213" s="63"/>
      <c r="BB213" s="63"/>
    </row>
    <row r="214" ht="14.2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  <c r="AM214" s="63"/>
      <c r="AN214" s="63"/>
      <c r="AO214" s="63"/>
      <c r="AP214" s="63"/>
      <c r="AQ214" s="63"/>
      <c r="AR214" s="63"/>
      <c r="AS214" s="63"/>
      <c r="AT214" s="63"/>
      <c r="AU214" s="63"/>
      <c r="AV214" s="63"/>
      <c r="AW214" s="63"/>
      <c r="AX214" s="63"/>
      <c r="AY214" s="63"/>
      <c r="AZ214" s="63"/>
      <c r="BA214" s="63"/>
      <c r="BB214" s="63"/>
    </row>
    <row r="215" ht="14.2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3"/>
      <c r="AP215" s="63"/>
      <c r="AQ215" s="63"/>
      <c r="AR215" s="63"/>
      <c r="AS215" s="63"/>
      <c r="AT215" s="63"/>
      <c r="AU215" s="63"/>
      <c r="AV215" s="63"/>
      <c r="AW215" s="63"/>
      <c r="AX215" s="63"/>
      <c r="AY215" s="63"/>
      <c r="AZ215" s="63"/>
      <c r="BA215" s="63"/>
      <c r="BB215" s="63"/>
    </row>
    <row r="216" ht="14.2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  <c r="AM216" s="63"/>
      <c r="AN216" s="63"/>
      <c r="AO216" s="63"/>
      <c r="AP216" s="63"/>
      <c r="AQ216" s="63"/>
      <c r="AR216" s="63"/>
      <c r="AS216" s="63"/>
      <c r="AT216" s="63"/>
      <c r="AU216" s="63"/>
      <c r="AV216" s="63"/>
      <c r="AW216" s="63"/>
      <c r="AX216" s="63"/>
      <c r="AY216" s="63"/>
      <c r="AZ216" s="63"/>
      <c r="BA216" s="63"/>
      <c r="BB216" s="63"/>
    </row>
    <row r="217" ht="14.2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3"/>
      <c r="AP217" s="63"/>
      <c r="AQ217" s="63"/>
      <c r="AR217" s="63"/>
      <c r="AS217" s="63"/>
      <c r="AT217" s="63"/>
      <c r="AU217" s="63"/>
      <c r="AV217" s="63"/>
      <c r="AW217" s="63"/>
      <c r="AX217" s="63"/>
      <c r="AY217" s="63"/>
      <c r="AZ217" s="63"/>
      <c r="BA217" s="63"/>
      <c r="BB217" s="63"/>
    </row>
    <row r="218" ht="14.2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  <c r="AM218" s="63"/>
      <c r="AN218" s="63"/>
      <c r="AO218" s="63"/>
      <c r="AP218" s="63"/>
      <c r="AQ218" s="63"/>
      <c r="AR218" s="63"/>
      <c r="AS218" s="63"/>
      <c r="AT218" s="63"/>
      <c r="AU218" s="63"/>
      <c r="AV218" s="63"/>
      <c r="AW218" s="63"/>
      <c r="AX218" s="63"/>
      <c r="AY218" s="63"/>
      <c r="AZ218" s="63"/>
      <c r="BA218" s="63"/>
      <c r="BB218" s="63"/>
    </row>
    <row r="219" ht="14.2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3"/>
      <c r="AP219" s="63"/>
      <c r="AQ219" s="63"/>
      <c r="AR219" s="63"/>
      <c r="AS219" s="63"/>
      <c r="AT219" s="63"/>
      <c r="AU219" s="63"/>
      <c r="AV219" s="63"/>
      <c r="AW219" s="63"/>
      <c r="AX219" s="63"/>
      <c r="AY219" s="63"/>
      <c r="AZ219" s="63"/>
      <c r="BA219" s="63"/>
      <c r="BB219" s="63"/>
    </row>
    <row r="220" ht="14.2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63"/>
      <c r="AO220" s="63"/>
      <c r="AP220" s="63"/>
      <c r="AQ220" s="63"/>
      <c r="AR220" s="63"/>
      <c r="AS220" s="63"/>
      <c r="AT220" s="63"/>
      <c r="AU220" s="63"/>
      <c r="AV220" s="63"/>
      <c r="AW220" s="63"/>
      <c r="AX220" s="63"/>
      <c r="AY220" s="63"/>
      <c r="AZ220" s="63"/>
      <c r="BA220" s="63"/>
      <c r="BB220" s="63"/>
    </row>
    <row r="221" ht="14.2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3"/>
      <c r="AP221" s="63"/>
      <c r="AQ221" s="63"/>
      <c r="AR221" s="63"/>
      <c r="AS221" s="63"/>
      <c r="AT221" s="63"/>
      <c r="AU221" s="63"/>
      <c r="AV221" s="63"/>
      <c r="AW221" s="63"/>
      <c r="AX221" s="63"/>
      <c r="AY221" s="63"/>
      <c r="AZ221" s="63"/>
      <c r="BA221" s="63"/>
      <c r="BB221" s="63"/>
    </row>
    <row r="222" ht="14.2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  <c r="AO222" s="63"/>
      <c r="AP222" s="63"/>
      <c r="AQ222" s="63"/>
      <c r="AR222" s="63"/>
      <c r="AS222" s="63"/>
      <c r="AT222" s="63"/>
      <c r="AU222" s="63"/>
      <c r="AV222" s="63"/>
      <c r="AW222" s="63"/>
      <c r="AX222" s="63"/>
      <c r="AY222" s="63"/>
      <c r="AZ222" s="63"/>
      <c r="BA222" s="63"/>
      <c r="BB222" s="63"/>
    </row>
    <row r="223" ht="14.2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  <c r="AO223" s="63"/>
      <c r="AP223" s="63"/>
      <c r="AQ223" s="63"/>
      <c r="AR223" s="63"/>
      <c r="AS223" s="63"/>
      <c r="AT223" s="63"/>
      <c r="AU223" s="63"/>
      <c r="AV223" s="63"/>
      <c r="AW223" s="63"/>
      <c r="AX223" s="63"/>
      <c r="AY223" s="63"/>
      <c r="AZ223" s="63"/>
      <c r="BA223" s="63"/>
      <c r="BB223" s="63"/>
    </row>
    <row r="224" ht="14.2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  <c r="AO224" s="63"/>
      <c r="AP224" s="63"/>
      <c r="AQ224" s="63"/>
      <c r="AR224" s="63"/>
      <c r="AS224" s="63"/>
      <c r="AT224" s="63"/>
      <c r="AU224" s="63"/>
      <c r="AV224" s="63"/>
      <c r="AW224" s="63"/>
      <c r="AX224" s="63"/>
      <c r="AY224" s="63"/>
      <c r="AZ224" s="63"/>
      <c r="BA224" s="63"/>
      <c r="BB224" s="63"/>
    </row>
    <row r="225" ht="14.2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  <c r="AO225" s="63"/>
      <c r="AP225" s="63"/>
      <c r="AQ225" s="63"/>
      <c r="AR225" s="63"/>
      <c r="AS225" s="63"/>
      <c r="AT225" s="63"/>
      <c r="AU225" s="63"/>
      <c r="AV225" s="63"/>
      <c r="AW225" s="63"/>
      <c r="AX225" s="63"/>
      <c r="AY225" s="63"/>
      <c r="AZ225" s="63"/>
      <c r="BA225" s="63"/>
      <c r="BB225" s="63"/>
    </row>
    <row r="226" ht="14.2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  <c r="AS226" s="63"/>
      <c r="AT226" s="63"/>
      <c r="AU226" s="63"/>
      <c r="AV226" s="63"/>
      <c r="AW226" s="63"/>
      <c r="AX226" s="63"/>
      <c r="AY226" s="63"/>
      <c r="AZ226" s="63"/>
      <c r="BA226" s="63"/>
      <c r="BB226" s="63"/>
    </row>
    <row r="227" ht="14.2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  <c r="AS227" s="63"/>
      <c r="AT227" s="63"/>
      <c r="AU227" s="63"/>
      <c r="AV227" s="63"/>
      <c r="AW227" s="63"/>
      <c r="AX227" s="63"/>
      <c r="AY227" s="63"/>
      <c r="AZ227" s="63"/>
      <c r="BA227" s="63"/>
      <c r="BB227" s="63"/>
    </row>
    <row r="228" ht="14.2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  <c r="AS228" s="63"/>
      <c r="AT228" s="63"/>
      <c r="AU228" s="63"/>
      <c r="AV228" s="63"/>
      <c r="AW228" s="63"/>
      <c r="AX228" s="63"/>
      <c r="AY228" s="63"/>
      <c r="AZ228" s="63"/>
      <c r="BA228" s="63"/>
      <c r="BB228" s="63"/>
    </row>
    <row r="229" ht="14.2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  <c r="AS229" s="63"/>
      <c r="AT229" s="63"/>
      <c r="AU229" s="63"/>
      <c r="AV229" s="63"/>
      <c r="AW229" s="63"/>
      <c r="AX229" s="63"/>
      <c r="AY229" s="63"/>
      <c r="AZ229" s="63"/>
      <c r="BA229" s="63"/>
      <c r="BB229" s="63"/>
    </row>
    <row r="230" ht="14.2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  <c r="AS230" s="63"/>
      <c r="AT230" s="63"/>
      <c r="AU230" s="63"/>
      <c r="AV230" s="63"/>
      <c r="AW230" s="63"/>
      <c r="AX230" s="63"/>
      <c r="AY230" s="63"/>
      <c r="AZ230" s="63"/>
      <c r="BA230" s="63"/>
      <c r="BB230" s="63"/>
    </row>
    <row r="231" ht="14.2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  <c r="AS231" s="63"/>
      <c r="AT231" s="63"/>
      <c r="AU231" s="63"/>
      <c r="AV231" s="63"/>
      <c r="AW231" s="63"/>
      <c r="AX231" s="63"/>
      <c r="AY231" s="63"/>
      <c r="AZ231" s="63"/>
      <c r="BA231" s="63"/>
      <c r="BB231" s="63"/>
    </row>
    <row r="232" ht="14.2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  <c r="AS232" s="63"/>
      <c r="AT232" s="63"/>
      <c r="AU232" s="63"/>
      <c r="AV232" s="63"/>
      <c r="AW232" s="63"/>
      <c r="AX232" s="63"/>
      <c r="AY232" s="63"/>
      <c r="AZ232" s="63"/>
      <c r="BA232" s="63"/>
      <c r="BB232" s="63"/>
    </row>
    <row r="233" ht="14.2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  <c r="AS233" s="63"/>
      <c r="AT233" s="63"/>
      <c r="AU233" s="63"/>
      <c r="AV233" s="63"/>
      <c r="AW233" s="63"/>
      <c r="AX233" s="63"/>
      <c r="AY233" s="63"/>
      <c r="AZ233" s="63"/>
      <c r="BA233" s="63"/>
      <c r="BB233" s="63"/>
    </row>
    <row r="234" ht="14.2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  <c r="AU234" s="63"/>
      <c r="AV234" s="63"/>
      <c r="AW234" s="63"/>
      <c r="AX234" s="63"/>
      <c r="AY234" s="63"/>
      <c r="AZ234" s="63"/>
      <c r="BA234" s="63"/>
      <c r="BB234" s="63"/>
    </row>
    <row r="235" ht="14.2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  <c r="AU235" s="63"/>
      <c r="AV235" s="63"/>
      <c r="AW235" s="63"/>
      <c r="AX235" s="63"/>
      <c r="AY235" s="63"/>
      <c r="AZ235" s="63"/>
      <c r="BA235" s="63"/>
      <c r="BB235" s="63"/>
    </row>
    <row r="236" ht="14.2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  <c r="AU236" s="63"/>
      <c r="AV236" s="63"/>
      <c r="AW236" s="63"/>
      <c r="AX236" s="63"/>
      <c r="AY236" s="63"/>
      <c r="AZ236" s="63"/>
      <c r="BA236" s="63"/>
      <c r="BB236" s="63"/>
    </row>
    <row r="237" ht="14.2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  <c r="AU237" s="63"/>
      <c r="AV237" s="63"/>
      <c r="AW237" s="63"/>
      <c r="AX237" s="63"/>
      <c r="AY237" s="63"/>
      <c r="AZ237" s="63"/>
      <c r="BA237" s="63"/>
      <c r="BB237" s="63"/>
    </row>
    <row r="238" ht="14.2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  <c r="AU238" s="63"/>
      <c r="AV238" s="63"/>
      <c r="AW238" s="63"/>
      <c r="AX238" s="63"/>
      <c r="AY238" s="63"/>
      <c r="AZ238" s="63"/>
      <c r="BA238" s="63"/>
      <c r="BB238" s="63"/>
    </row>
    <row r="239" ht="14.2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  <c r="AU239" s="63"/>
      <c r="AV239" s="63"/>
      <c r="AW239" s="63"/>
      <c r="AX239" s="63"/>
      <c r="AY239" s="63"/>
      <c r="AZ239" s="63"/>
      <c r="BA239" s="63"/>
      <c r="BB239" s="63"/>
    </row>
    <row r="240" ht="14.2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  <c r="AU240" s="63"/>
      <c r="AV240" s="63"/>
      <c r="AW240" s="63"/>
      <c r="AX240" s="63"/>
      <c r="AY240" s="63"/>
      <c r="AZ240" s="63"/>
      <c r="BA240" s="63"/>
      <c r="BB240" s="63"/>
    </row>
    <row r="241" ht="14.2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  <c r="AU241" s="63"/>
      <c r="AV241" s="63"/>
      <c r="AW241" s="63"/>
      <c r="AX241" s="63"/>
      <c r="AY241" s="63"/>
      <c r="AZ241" s="63"/>
      <c r="BA241" s="63"/>
      <c r="BB241" s="63"/>
    </row>
    <row r="242" ht="14.2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  <c r="AU242" s="63"/>
      <c r="AV242" s="63"/>
      <c r="AW242" s="63"/>
      <c r="AX242" s="63"/>
      <c r="AY242" s="63"/>
      <c r="AZ242" s="63"/>
      <c r="BA242" s="63"/>
      <c r="BB242" s="63"/>
    </row>
    <row r="243" ht="14.2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  <c r="AU243" s="63"/>
      <c r="AV243" s="63"/>
      <c r="AW243" s="63"/>
      <c r="AX243" s="63"/>
      <c r="AY243" s="63"/>
      <c r="AZ243" s="63"/>
      <c r="BA243" s="63"/>
      <c r="BB243" s="63"/>
    </row>
    <row r="244" ht="14.2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  <c r="AU244" s="63"/>
      <c r="AV244" s="63"/>
      <c r="AW244" s="63"/>
      <c r="AX244" s="63"/>
      <c r="AY244" s="63"/>
      <c r="AZ244" s="63"/>
      <c r="BA244" s="63"/>
      <c r="BB244" s="63"/>
    </row>
    <row r="245" ht="14.2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  <c r="AU245" s="63"/>
      <c r="AV245" s="63"/>
      <c r="AW245" s="63"/>
      <c r="AX245" s="63"/>
      <c r="AY245" s="63"/>
      <c r="AZ245" s="63"/>
      <c r="BA245" s="63"/>
      <c r="BB245" s="63"/>
    </row>
    <row r="246" ht="14.2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  <c r="AU246" s="63"/>
      <c r="AV246" s="63"/>
      <c r="AW246" s="63"/>
      <c r="AX246" s="63"/>
      <c r="AY246" s="63"/>
      <c r="AZ246" s="63"/>
      <c r="BA246" s="63"/>
      <c r="BB246" s="63"/>
    </row>
    <row r="247" ht="14.2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  <c r="AU247" s="63"/>
      <c r="AV247" s="63"/>
      <c r="AW247" s="63"/>
      <c r="AX247" s="63"/>
      <c r="AY247" s="63"/>
      <c r="AZ247" s="63"/>
      <c r="BA247" s="63"/>
      <c r="BB247" s="63"/>
    </row>
    <row r="248" ht="14.2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  <c r="AU248" s="63"/>
      <c r="AV248" s="63"/>
      <c r="AW248" s="63"/>
      <c r="AX248" s="63"/>
      <c r="AY248" s="63"/>
      <c r="AZ248" s="63"/>
      <c r="BA248" s="63"/>
      <c r="BB248" s="63"/>
    </row>
    <row r="249" ht="14.2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  <c r="AU249" s="63"/>
      <c r="AV249" s="63"/>
      <c r="AW249" s="63"/>
      <c r="AX249" s="63"/>
      <c r="AY249" s="63"/>
      <c r="AZ249" s="63"/>
      <c r="BA249" s="63"/>
      <c r="BB249" s="63"/>
    </row>
    <row r="250" ht="14.2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  <c r="AU250" s="63"/>
      <c r="AV250" s="63"/>
      <c r="AW250" s="63"/>
      <c r="AX250" s="63"/>
      <c r="AY250" s="63"/>
      <c r="AZ250" s="63"/>
      <c r="BA250" s="63"/>
      <c r="BB250" s="63"/>
    </row>
    <row r="251" ht="14.2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  <c r="AU251" s="63"/>
      <c r="AV251" s="63"/>
      <c r="AW251" s="63"/>
      <c r="AX251" s="63"/>
      <c r="AY251" s="63"/>
      <c r="AZ251" s="63"/>
      <c r="BA251" s="63"/>
      <c r="BB251" s="63"/>
    </row>
    <row r="252" ht="14.2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  <c r="AU252" s="63"/>
      <c r="AV252" s="63"/>
      <c r="AW252" s="63"/>
      <c r="AX252" s="63"/>
      <c r="AY252" s="63"/>
      <c r="AZ252" s="63"/>
      <c r="BA252" s="63"/>
      <c r="BB252" s="63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9">
    <mergeCell ref="A1:J5"/>
    <mergeCell ref="K1:AG1"/>
    <mergeCell ref="AH1:AN5"/>
    <mergeCell ref="K2:AG5"/>
    <mergeCell ref="A6:F6"/>
    <mergeCell ref="G6:AN6"/>
    <mergeCell ref="A7:I7"/>
    <mergeCell ref="X7:AN7"/>
    <mergeCell ref="AA8:AD8"/>
    <mergeCell ref="AE8:AI8"/>
    <mergeCell ref="AA9:AN10"/>
    <mergeCell ref="AD11:AN11"/>
    <mergeCell ref="AU7:AW7"/>
    <mergeCell ref="AU8:AW8"/>
    <mergeCell ref="AX8:AZ8"/>
    <mergeCell ref="BA8:BB8"/>
    <mergeCell ref="J7:Q7"/>
    <mergeCell ref="R7:W7"/>
    <mergeCell ref="AP7:AT8"/>
    <mergeCell ref="AX7:AZ7"/>
    <mergeCell ref="BA7:BB7"/>
    <mergeCell ref="A8:G8"/>
    <mergeCell ref="AJ8:AN8"/>
    <mergeCell ref="H8:W8"/>
    <mergeCell ref="X8:Z8"/>
    <mergeCell ref="A9:G10"/>
    <mergeCell ref="H9:W10"/>
    <mergeCell ref="X9:Z10"/>
    <mergeCell ref="H11:W11"/>
    <mergeCell ref="X11:AC11"/>
    <mergeCell ref="AA18:AE18"/>
    <mergeCell ref="AF18:AI18"/>
    <mergeCell ref="A37:AN37"/>
    <mergeCell ref="A38:AN38"/>
    <mergeCell ref="A39:AN39"/>
    <mergeCell ref="A40:AN40"/>
    <mergeCell ref="A41:AN41"/>
    <mergeCell ref="A42:AN42"/>
    <mergeCell ref="A43:AN43"/>
    <mergeCell ref="O50:Z50"/>
    <mergeCell ref="O51:Z51"/>
    <mergeCell ref="AA51:AL51"/>
    <mergeCell ref="O52:Z52"/>
    <mergeCell ref="AA52:AL52"/>
    <mergeCell ref="A44:AN44"/>
    <mergeCell ref="A45:AN45"/>
    <mergeCell ref="O47:Z47"/>
    <mergeCell ref="AA47:AL47"/>
    <mergeCell ref="O48:Z49"/>
    <mergeCell ref="AA48:AL49"/>
    <mergeCell ref="AA50:AL50"/>
    <mergeCell ref="A11:G11"/>
    <mergeCell ref="A12:G12"/>
    <mergeCell ref="A14:H16"/>
    <mergeCell ref="A17:H18"/>
    <mergeCell ref="I17:K17"/>
    <mergeCell ref="I18:K18"/>
    <mergeCell ref="H12:W12"/>
    <mergeCell ref="X12:AC12"/>
    <mergeCell ref="AD12:AN12"/>
    <mergeCell ref="A13:AN13"/>
    <mergeCell ref="I14:AN16"/>
    <mergeCell ref="L17:AN17"/>
    <mergeCell ref="AJ18:AN18"/>
    <mergeCell ref="L18:Y18"/>
    <mergeCell ref="A19:AN19"/>
    <mergeCell ref="A20:AN20"/>
    <mergeCell ref="A21:AJ21"/>
    <mergeCell ref="AK21:AN21"/>
    <mergeCell ref="B22:AJ22"/>
    <mergeCell ref="AK22:AN22"/>
    <mergeCell ref="B23:AJ23"/>
    <mergeCell ref="AK23:AN23"/>
    <mergeCell ref="B24:AJ24"/>
    <mergeCell ref="AK24:AN24"/>
    <mergeCell ref="B25:AJ25"/>
    <mergeCell ref="AK25:AN25"/>
    <mergeCell ref="AK26:AN26"/>
    <mergeCell ref="B26:AJ26"/>
    <mergeCell ref="B27:AJ27"/>
    <mergeCell ref="AK27:AN27"/>
    <mergeCell ref="B28:AJ28"/>
    <mergeCell ref="AK28:AN28"/>
    <mergeCell ref="B29:AJ29"/>
    <mergeCell ref="AK29:AN29"/>
    <mergeCell ref="B30:AJ30"/>
    <mergeCell ref="AK30:AN30"/>
    <mergeCell ref="B31:AJ31"/>
    <mergeCell ref="AK31:AN31"/>
    <mergeCell ref="B32:AJ32"/>
    <mergeCell ref="AK32:AN32"/>
    <mergeCell ref="AK33:AN33"/>
    <mergeCell ref="B33:AJ33"/>
    <mergeCell ref="B34:AJ34"/>
    <mergeCell ref="AK34:AN34"/>
    <mergeCell ref="B35:AJ35"/>
    <mergeCell ref="AK35:AN35"/>
    <mergeCell ref="B36:AJ36"/>
    <mergeCell ref="AK36:AN3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6.14"/>
    <col customWidth="1" min="3" max="7" width="10.71"/>
    <col customWidth="1" min="8" max="8" width="16.57"/>
    <col customWidth="1" min="9" max="9" width="14.71"/>
    <col customWidth="1" min="10" max="10" width="18.14"/>
    <col customWidth="1" min="11" max="12" width="10.71"/>
    <col customWidth="1" min="13" max="13" width="16.57"/>
    <col customWidth="1" min="14" max="15" width="17.0"/>
    <col customWidth="1" min="16" max="17" width="10.71"/>
  </cols>
  <sheetData>
    <row r="1" ht="75.75" customHeight="1">
      <c r="A1" s="152"/>
      <c r="B1" s="5"/>
      <c r="C1" s="5"/>
      <c r="D1" s="5"/>
      <c r="E1" s="5"/>
      <c r="F1" s="5"/>
      <c r="G1" s="5"/>
      <c r="H1" s="5"/>
      <c r="I1" s="5"/>
      <c r="J1" s="6"/>
      <c r="K1" s="153" t="s">
        <v>149</v>
      </c>
      <c r="L1" s="5"/>
      <c r="M1" s="5"/>
      <c r="N1" s="5"/>
      <c r="O1" s="5"/>
      <c r="P1" s="5"/>
      <c r="Q1" s="6"/>
    </row>
    <row r="2" ht="16.5" customHeight="1">
      <c r="A2" s="154" t="s">
        <v>150</v>
      </c>
      <c r="B2" s="5"/>
      <c r="C2" s="5"/>
      <c r="D2" s="6"/>
      <c r="E2" s="155"/>
      <c r="F2" s="5"/>
      <c r="G2" s="6"/>
      <c r="H2" s="156"/>
      <c r="I2" s="154" t="s">
        <v>151</v>
      </c>
      <c r="J2" s="6"/>
      <c r="K2" s="157"/>
      <c r="L2" s="6"/>
      <c r="M2" s="158"/>
      <c r="N2" s="154" t="s">
        <v>152</v>
      </c>
      <c r="O2" s="6"/>
      <c r="P2" s="159" t="s">
        <v>153</v>
      </c>
      <c r="Q2" s="6"/>
    </row>
    <row r="3" ht="16.5" customHeight="1">
      <c r="A3" s="154" t="s">
        <v>154</v>
      </c>
      <c r="B3" s="5"/>
      <c r="C3" s="5"/>
      <c r="D3" s="6"/>
      <c r="E3" s="155"/>
      <c r="F3" s="5"/>
      <c r="G3" s="6"/>
      <c r="H3" s="156"/>
      <c r="I3" s="154" t="s">
        <v>155</v>
      </c>
      <c r="J3" s="6"/>
      <c r="K3" s="157"/>
      <c r="L3" s="6"/>
      <c r="M3" s="158"/>
      <c r="N3" s="154" t="s">
        <v>156</v>
      </c>
      <c r="O3" s="6"/>
      <c r="P3" s="160"/>
      <c r="Q3" s="6"/>
    </row>
    <row r="4" ht="16.5" customHeight="1">
      <c r="A4" s="154" t="s">
        <v>157</v>
      </c>
      <c r="B4" s="5"/>
      <c r="C4" s="5"/>
      <c r="D4" s="5"/>
      <c r="E4" s="5"/>
      <c r="F4" s="5"/>
      <c r="G4" s="5"/>
      <c r="H4" s="6"/>
      <c r="I4" s="154" t="s">
        <v>158</v>
      </c>
      <c r="J4" s="6"/>
      <c r="K4" s="161"/>
      <c r="L4" s="6"/>
      <c r="M4" s="162"/>
      <c r="N4" s="154" t="s">
        <v>159</v>
      </c>
      <c r="O4" s="6"/>
      <c r="P4" s="163"/>
      <c r="Q4" s="6"/>
    </row>
    <row r="5" ht="16.5" customHeight="1">
      <c r="A5" s="164" t="s">
        <v>160</v>
      </c>
      <c r="B5" s="165" t="s">
        <v>161</v>
      </c>
      <c r="C5" s="166"/>
      <c r="D5" s="154" t="s">
        <v>162</v>
      </c>
      <c r="E5" s="5"/>
      <c r="F5" s="6"/>
      <c r="G5" s="166"/>
      <c r="H5" s="154" t="s">
        <v>163</v>
      </c>
      <c r="I5" s="5"/>
      <c r="J5" s="6"/>
      <c r="K5" s="165"/>
      <c r="L5" s="154" t="s">
        <v>164</v>
      </c>
      <c r="M5" s="5"/>
      <c r="N5" s="6"/>
      <c r="O5" s="167" t="s">
        <v>165</v>
      </c>
      <c r="P5" s="167" t="s">
        <v>166</v>
      </c>
      <c r="Q5" s="167" t="s">
        <v>76</v>
      </c>
    </row>
    <row r="6" ht="16.5" customHeight="1">
      <c r="A6" s="168"/>
      <c r="B6" s="165" t="s">
        <v>167</v>
      </c>
      <c r="C6" s="169"/>
      <c r="D6" s="154" t="s">
        <v>168</v>
      </c>
      <c r="E6" s="5"/>
      <c r="F6" s="6"/>
      <c r="G6" s="169"/>
      <c r="H6" s="154" t="s">
        <v>169</v>
      </c>
      <c r="I6" s="5"/>
      <c r="J6" s="6"/>
      <c r="K6" s="169"/>
      <c r="L6" s="154" t="s">
        <v>170</v>
      </c>
      <c r="M6" s="5"/>
      <c r="N6" s="6"/>
      <c r="O6" s="167" t="s">
        <v>165</v>
      </c>
      <c r="P6" s="167" t="s">
        <v>166</v>
      </c>
      <c r="Q6" s="167" t="s">
        <v>76</v>
      </c>
    </row>
    <row r="7" ht="15.0" customHeight="1">
      <c r="A7" s="170" t="s">
        <v>171</v>
      </c>
      <c r="B7" s="13"/>
      <c r="C7" s="171">
        <v>1.0</v>
      </c>
      <c r="D7" s="171">
        <v>3.0</v>
      </c>
      <c r="E7" s="171">
        <v>5.0</v>
      </c>
      <c r="F7" s="171">
        <v>7.0</v>
      </c>
      <c r="G7" s="171">
        <v>9.0</v>
      </c>
      <c r="H7" s="170" t="s">
        <v>172</v>
      </c>
      <c r="I7" s="12"/>
      <c r="J7" s="13"/>
      <c r="K7" s="171">
        <v>1.0</v>
      </c>
      <c r="L7" s="171">
        <v>3.0</v>
      </c>
      <c r="M7" s="171">
        <v>5.0</v>
      </c>
      <c r="N7" s="171">
        <v>7.0</v>
      </c>
      <c r="O7" s="171">
        <v>9.0</v>
      </c>
      <c r="P7" s="172"/>
      <c r="Q7" s="13"/>
    </row>
    <row r="8" ht="15.0" customHeight="1">
      <c r="A8" s="18"/>
      <c r="B8" s="20"/>
      <c r="C8" s="171">
        <v>2.0</v>
      </c>
      <c r="D8" s="171">
        <v>4.0</v>
      </c>
      <c r="E8" s="171">
        <v>6.0</v>
      </c>
      <c r="F8" s="171">
        <v>8.0</v>
      </c>
      <c r="G8" s="171">
        <v>10.0</v>
      </c>
      <c r="H8" s="18"/>
      <c r="I8" s="19"/>
      <c r="J8" s="20"/>
      <c r="K8" s="171">
        <v>2.0</v>
      </c>
      <c r="L8" s="171">
        <v>4.0</v>
      </c>
      <c r="M8" s="171">
        <v>6.0</v>
      </c>
      <c r="N8" s="171">
        <v>8.0</v>
      </c>
      <c r="O8" s="171">
        <v>10.0</v>
      </c>
      <c r="P8" s="18"/>
      <c r="Q8" s="20"/>
    </row>
    <row r="9" ht="16.5" customHeight="1">
      <c r="A9" s="173" t="s">
        <v>173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6"/>
    </row>
    <row r="10" ht="16.5" customHeight="1">
      <c r="A10" s="173" t="s">
        <v>174</v>
      </c>
      <c r="B10" s="6"/>
      <c r="C10" s="173" t="s">
        <v>175</v>
      </c>
      <c r="D10" s="5"/>
      <c r="E10" s="5"/>
      <c r="F10" s="5"/>
      <c r="G10" s="5"/>
      <c r="H10" s="5"/>
      <c r="I10" s="5"/>
      <c r="J10" s="5"/>
      <c r="K10" s="5"/>
      <c r="L10" s="6"/>
      <c r="M10" s="173" t="s">
        <v>176</v>
      </c>
      <c r="N10" s="5"/>
      <c r="O10" s="5"/>
      <c r="P10" s="5"/>
      <c r="Q10" s="6"/>
    </row>
    <row r="11" ht="69.0" customHeight="1">
      <c r="A11" s="174" t="s">
        <v>177</v>
      </c>
      <c r="B11" s="175" t="s">
        <v>16</v>
      </c>
      <c r="C11" s="176" t="s">
        <v>178</v>
      </c>
      <c r="D11" s="176" t="s">
        <v>179</v>
      </c>
      <c r="E11" s="177" t="s">
        <v>180</v>
      </c>
      <c r="F11" s="174" t="s">
        <v>181</v>
      </c>
      <c r="G11" s="174" t="s">
        <v>182</v>
      </c>
      <c r="H11" s="176" t="s">
        <v>178</v>
      </c>
      <c r="I11" s="176" t="s">
        <v>179</v>
      </c>
      <c r="J11" s="177" t="s">
        <v>180</v>
      </c>
      <c r="K11" s="174" t="s">
        <v>181</v>
      </c>
      <c r="L11" s="174" t="s">
        <v>182</v>
      </c>
      <c r="M11" s="176" t="s">
        <v>178</v>
      </c>
      <c r="N11" s="176" t="s">
        <v>179</v>
      </c>
      <c r="O11" s="177" t="s">
        <v>180</v>
      </c>
      <c r="P11" s="174" t="s">
        <v>181</v>
      </c>
      <c r="Q11" s="174" t="s">
        <v>182</v>
      </c>
    </row>
    <row r="12" ht="33.0" customHeight="1">
      <c r="A12" s="168"/>
      <c r="B12" s="168"/>
      <c r="C12" s="176" t="s">
        <v>183</v>
      </c>
      <c r="D12" s="176" t="s">
        <v>183</v>
      </c>
      <c r="E12" s="176" t="s">
        <v>183</v>
      </c>
      <c r="F12" s="168"/>
      <c r="G12" s="168"/>
      <c r="H12" s="176" t="s">
        <v>183</v>
      </c>
      <c r="I12" s="176" t="s">
        <v>183</v>
      </c>
      <c r="J12" s="176" t="s">
        <v>183</v>
      </c>
      <c r="K12" s="168"/>
      <c r="L12" s="168"/>
      <c r="M12" s="178" t="s">
        <v>183</v>
      </c>
      <c r="N12" s="178" t="s">
        <v>183</v>
      </c>
      <c r="O12" s="178" t="s">
        <v>183</v>
      </c>
      <c r="P12" s="168"/>
      <c r="Q12" s="168"/>
    </row>
    <row r="13" ht="15.75" customHeight="1">
      <c r="A13" s="179" t="s">
        <v>184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6"/>
    </row>
    <row r="14" ht="16.5" customHeight="1">
      <c r="A14" s="180"/>
      <c r="B14" s="180"/>
      <c r="C14" s="180"/>
      <c r="D14" s="180"/>
      <c r="E14" s="181"/>
      <c r="F14" s="181"/>
      <c r="G14" s="167"/>
      <c r="H14" s="167"/>
      <c r="I14" s="181"/>
      <c r="J14" s="181"/>
      <c r="K14" s="181"/>
      <c r="L14" s="167"/>
      <c r="M14" s="167"/>
      <c r="N14" s="181"/>
      <c r="O14" s="181"/>
      <c r="P14" s="181"/>
      <c r="Q14" s="167"/>
    </row>
    <row r="15" ht="16.5" customHeight="1">
      <c r="A15" s="180"/>
      <c r="B15" s="180"/>
      <c r="C15" s="180"/>
      <c r="D15" s="180"/>
      <c r="E15" s="181"/>
      <c r="F15" s="181"/>
      <c r="G15" s="167"/>
      <c r="H15" s="167"/>
      <c r="I15" s="181"/>
      <c r="J15" s="181"/>
      <c r="K15" s="181"/>
      <c r="L15" s="167"/>
      <c r="M15" s="167"/>
      <c r="N15" s="181"/>
      <c r="O15" s="181"/>
      <c r="P15" s="181"/>
      <c r="Q15" s="167"/>
    </row>
    <row r="16" ht="16.5" customHeight="1">
      <c r="A16" s="180"/>
      <c r="B16" s="180"/>
      <c r="C16" s="180"/>
      <c r="D16" s="180"/>
      <c r="E16" s="181"/>
      <c r="F16" s="181"/>
      <c r="G16" s="167"/>
      <c r="H16" s="167"/>
      <c r="I16" s="181"/>
      <c r="J16" s="181"/>
      <c r="K16" s="181"/>
      <c r="L16" s="167"/>
      <c r="M16" s="167"/>
      <c r="N16" s="181"/>
      <c r="O16" s="181"/>
      <c r="P16" s="181"/>
      <c r="Q16" s="167"/>
    </row>
    <row r="17" ht="16.5" customHeight="1">
      <c r="A17" s="180"/>
      <c r="B17" s="180"/>
      <c r="C17" s="180"/>
      <c r="D17" s="180"/>
      <c r="E17" s="181"/>
      <c r="F17" s="181"/>
      <c r="G17" s="167"/>
      <c r="H17" s="167"/>
      <c r="I17" s="181"/>
      <c r="J17" s="181"/>
      <c r="K17" s="181"/>
      <c r="L17" s="167"/>
      <c r="M17" s="167"/>
      <c r="N17" s="181"/>
      <c r="O17" s="181"/>
      <c r="P17" s="181"/>
      <c r="Q17" s="167"/>
    </row>
    <row r="18" ht="16.5" customHeight="1">
      <c r="A18" s="180"/>
      <c r="B18" s="180"/>
      <c r="C18" s="180"/>
      <c r="D18" s="180"/>
      <c r="E18" s="181"/>
      <c r="F18" s="181"/>
      <c r="G18" s="167"/>
      <c r="H18" s="167"/>
      <c r="I18" s="181"/>
      <c r="J18" s="181"/>
      <c r="K18" s="181"/>
      <c r="L18" s="167"/>
      <c r="M18" s="167"/>
      <c r="N18" s="181"/>
      <c r="O18" s="181"/>
      <c r="P18" s="181"/>
      <c r="Q18" s="167"/>
    </row>
    <row r="19" ht="16.5" customHeight="1">
      <c r="A19" s="180"/>
      <c r="B19" s="180"/>
      <c r="C19" s="180"/>
      <c r="D19" s="180"/>
      <c r="E19" s="181"/>
      <c r="F19" s="181"/>
      <c r="G19" s="167"/>
      <c r="H19" s="167"/>
      <c r="I19" s="181"/>
      <c r="J19" s="181"/>
      <c r="K19" s="181"/>
      <c r="L19" s="167"/>
      <c r="M19" s="167"/>
      <c r="N19" s="181"/>
      <c r="O19" s="181"/>
      <c r="P19" s="181"/>
      <c r="Q19" s="167"/>
    </row>
    <row r="20" ht="16.5" customHeight="1">
      <c r="A20" s="182" t="s">
        <v>31</v>
      </c>
      <c r="B20" s="6"/>
      <c r="C20" s="181"/>
      <c r="D20" s="180"/>
      <c r="E20" s="181"/>
      <c r="F20" s="181"/>
      <c r="G20" s="180"/>
      <c r="H20" s="180"/>
      <c r="I20" s="181"/>
      <c r="J20" s="181"/>
      <c r="K20" s="181"/>
      <c r="L20" s="180"/>
      <c r="M20" s="180"/>
      <c r="N20" s="181"/>
      <c r="O20" s="181"/>
      <c r="P20" s="181"/>
      <c r="Q20" s="180"/>
    </row>
    <row r="21" ht="16.5" customHeight="1">
      <c r="A21" s="182" t="s">
        <v>185</v>
      </c>
      <c r="B21" s="6"/>
      <c r="C21" s="181"/>
      <c r="D21" s="180"/>
      <c r="E21" s="181"/>
      <c r="F21" s="181"/>
      <c r="G21" s="180"/>
      <c r="H21" s="180"/>
      <c r="I21" s="181"/>
      <c r="J21" s="181"/>
      <c r="K21" s="181"/>
      <c r="L21" s="180"/>
      <c r="M21" s="180"/>
      <c r="N21" s="181"/>
      <c r="O21" s="181"/>
      <c r="P21" s="181"/>
      <c r="Q21" s="180"/>
    </row>
    <row r="22" ht="54.75" customHeight="1">
      <c r="A22" s="183" t="s">
        <v>186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6"/>
    </row>
    <row r="23" ht="16.5" customHeight="1">
      <c r="A23" s="184" t="s">
        <v>187</v>
      </c>
      <c r="B23" s="5"/>
      <c r="C23" s="5"/>
      <c r="D23" s="5"/>
      <c r="E23" s="6"/>
      <c r="F23" s="185" t="s">
        <v>188</v>
      </c>
      <c r="G23" s="185" t="s">
        <v>189</v>
      </c>
      <c r="H23" s="185"/>
      <c r="I23" s="186"/>
      <c r="J23" s="12"/>
      <c r="K23" s="12"/>
      <c r="L23" s="12"/>
      <c r="M23" s="12"/>
      <c r="N23" s="12"/>
      <c r="O23" s="12"/>
      <c r="P23" s="12"/>
      <c r="Q23" s="13"/>
    </row>
    <row r="24" ht="16.5" customHeight="1">
      <c r="A24" s="184" t="s">
        <v>190</v>
      </c>
      <c r="B24" s="5"/>
      <c r="C24" s="5"/>
      <c r="D24" s="5"/>
      <c r="E24" s="6"/>
      <c r="F24" s="185" t="s">
        <v>188</v>
      </c>
      <c r="G24" s="185" t="s">
        <v>189</v>
      </c>
      <c r="H24" s="185"/>
      <c r="I24" s="18"/>
      <c r="J24" s="19"/>
      <c r="K24" s="19"/>
      <c r="L24" s="19"/>
      <c r="M24" s="19"/>
      <c r="N24" s="19"/>
      <c r="O24" s="19"/>
      <c r="P24" s="19"/>
      <c r="Q24" s="20"/>
    </row>
    <row r="25" ht="16.5" customHeight="1">
      <c r="A25" s="187" t="s">
        <v>191</v>
      </c>
      <c r="B25" s="5"/>
      <c r="C25" s="5"/>
      <c r="D25" s="5"/>
      <c r="E25" s="5"/>
      <c r="F25" s="5"/>
      <c r="G25" s="5"/>
      <c r="H25" s="6"/>
      <c r="I25" s="187" t="s">
        <v>192</v>
      </c>
      <c r="J25" s="5"/>
      <c r="K25" s="5"/>
      <c r="L25" s="5"/>
      <c r="M25" s="5"/>
      <c r="N25" s="5"/>
      <c r="O25" s="5"/>
      <c r="P25" s="5"/>
      <c r="Q25" s="6"/>
    </row>
    <row r="26" ht="33.0" customHeight="1">
      <c r="A26" s="188" t="s">
        <v>193</v>
      </c>
      <c r="B26" s="181">
        <f>G20+G21+L20+L21+Q20+Q21</f>
        <v>0</v>
      </c>
      <c r="C26" s="181"/>
      <c r="D26" s="189" t="s">
        <v>194</v>
      </c>
      <c r="E26" s="190">
        <f>G20+L20+Q20</f>
        <v>0</v>
      </c>
      <c r="F26" s="191" t="s">
        <v>195</v>
      </c>
      <c r="G26" s="188"/>
      <c r="H26" s="188"/>
      <c r="I26" s="192"/>
      <c r="J26" s="5"/>
      <c r="K26" s="5"/>
      <c r="L26" s="5"/>
      <c r="M26" s="5"/>
      <c r="N26" s="5"/>
      <c r="O26" s="5"/>
      <c r="P26" s="5"/>
      <c r="Q26" s="6"/>
    </row>
    <row r="27" ht="15.0" customHeight="1"/>
    <row r="28" ht="69.0" customHeight="1"/>
    <row r="29" ht="69.0" customHeight="1"/>
    <row r="30" ht="69.0" customHeight="1"/>
    <row r="31" ht="69.0" customHeight="1"/>
    <row r="32" ht="69.0" customHeight="1"/>
    <row r="33" ht="69.0" customHeight="1"/>
    <row r="34" ht="69.0" customHeight="1"/>
    <row r="35" ht="69.0" customHeight="1"/>
    <row r="36" ht="69.0" customHeight="1"/>
    <row r="37" ht="69.0" customHeight="1"/>
    <row r="38" ht="69.0" customHeight="1"/>
    <row r="39" ht="69.0" customHeight="1"/>
    <row r="40" ht="69.0" customHeight="1"/>
    <row r="41" ht="69.0" customHeight="1"/>
    <row r="42" ht="69.0" customHeight="1"/>
    <row r="43" ht="69.0" customHeight="1"/>
    <row r="44" ht="69.0" customHeight="1"/>
    <row r="45" ht="69.0" customHeight="1"/>
    <row r="46" ht="69.0" customHeight="1"/>
    <row r="47" ht="69.0" customHeight="1"/>
    <row r="48" ht="69.0" customHeight="1"/>
    <row r="49" ht="69.0" customHeight="1"/>
    <row r="50" ht="69.0" customHeight="1"/>
    <row r="51" ht="69.0" customHeight="1"/>
    <row r="52" ht="69.0" customHeight="1"/>
    <row r="53" ht="69.0" customHeight="1"/>
    <row r="54" ht="69.0" customHeight="1"/>
    <row r="55" ht="69.0" customHeight="1"/>
    <row r="56" ht="69.0" customHeight="1"/>
    <row r="57" ht="69.0" customHeight="1"/>
    <row r="58" ht="69.0" customHeight="1"/>
    <row r="59" ht="69.0" customHeight="1"/>
    <row r="60" ht="69.0" customHeight="1"/>
    <row r="61" ht="69.0" customHeight="1"/>
    <row r="62" ht="69.0" customHeight="1"/>
    <row r="63" ht="69.0" customHeight="1"/>
    <row r="64" ht="69.0" customHeight="1"/>
    <row r="65" ht="69.0" customHeight="1"/>
    <row r="66" ht="69.0" customHeight="1"/>
    <row r="67" ht="69.0" customHeight="1"/>
    <row r="68" ht="69.0" customHeight="1"/>
    <row r="69" ht="69.0" customHeight="1"/>
    <row r="70" ht="69.0" customHeight="1"/>
    <row r="71" ht="69.0" customHeight="1"/>
    <row r="72" ht="69.0" customHeight="1"/>
    <row r="73" ht="69.0" customHeight="1"/>
    <row r="74" ht="69.0" customHeight="1"/>
    <row r="75" ht="69.0" customHeight="1"/>
    <row r="76" ht="69.0" customHeight="1"/>
    <row r="77" ht="69.0" customHeight="1"/>
    <row r="78" ht="69.0" customHeight="1"/>
    <row r="79" ht="69.0" customHeight="1"/>
    <row r="80" ht="69.0" customHeight="1"/>
    <row r="81" ht="69.0" customHeight="1"/>
    <row r="82" ht="69.0" customHeight="1"/>
    <row r="83" ht="69.0" customHeight="1"/>
    <row r="84" ht="69.0" customHeight="1"/>
    <row r="85" ht="69.0" customHeight="1"/>
    <row r="86" ht="69.0" customHeight="1"/>
    <row r="87" ht="69.0" customHeight="1"/>
    <row r="88" ht="69.0" customHeight="1"/>
    <row r="89" ht="69.0" customHeight="1"/>
    <row r="90" ht="69.0" customHeight="1"/>
    <row r="91" ht="69.0" customHeight="1"/>
    <row r="92" ht="69.0" customHeight="1"/>
    <row r="93" ht="69.0" customHeight="1"/>
    <row r="94" ht="69.0" customHeight="1"/>
    <row r="95" ht="69.0" customHeight="1"/>
    <row r="96" ht="69.0" customHeight="1"/>
    <row r="97" ht="69.0" customHeight="1"/>
    <row r="98" ht="69.0" customHeight="1"/>
    <row r="99" ht="69.0" customHeight="1"/>
    <row r="100" ht="69.0" customHeight="1"/>
    <row r="101" ht="69.0" customHeight="1"/>
    <row r="102" ht="69.0" customHeight="1"/>
    <row r="103" ht="69.0" customHeight="1"/>
    <row r="104" ht="69.0" customHeight="1"/>
    <row r="105" ht="69.0" customHeight="1"/>
    <row r="106" ht="69.0" customHeight="1"/>
    <row r="107" ht="69.0" customHeight="1"/>
    <row r="108" ht="69.0" customHeight="1"/>
    <row r="109" ht="69.0" customHeight="1"/>
    <row r="110" ht="69.0" customHeight="1"/>
    <row r="111" ht="69.0" customHeight="1"/>
    <row r="112" ht="69.0" customHeight="1"/>
    <row r="113" ht="69.0" customHeight="1"/>
    <row r="114" ht="69.0" customHeight="1"/>
    <row r="115" ht="69.0" customHeight="1"/>
    <row r="116" ht="69.0" customHeight="1"/>
    <row r="117" ht="69.0" customHeight="1"/>
    <row r="118" ht="69.0" customHeight="1"/>
    <row r="119" ht="69.0" customHeight="1"/>
    <row r="120" ht="69.0" customHeight="1"/>
    <row r="121" ht="69.0" customHeight="1"/>
    <row r="122" ht="69.0" customHeight="1"/>
    <row r="123" ht="69.0" customHeight="1"/>
    <row r="124" ht="69.0" customHeight="1"/>
    <row r="125" ht="69.0" customHeight="1"/>
    <row r="126" ht="69.0" customHeight="1"/>
    <row r="127" ht="69.0" customHeight="1"/>
    <row r="128" ht="69.0" customHeight="1"/>
    <row r="129" ht="69.0" customHeight="1"/>
    <row r="130" ht="69.0" customHeight="1"/>
    <row r="131" ht="69.0" customHeight="1"/>
    <row r="132" ht="69.0" customHeight="1"/>
    <row r="133" ht="69.0" customHeight="1"/>
    <row r="134" ht="69.0" customHeight="1"/>
    <row r="135" ht="69.0" customHeight="1"/>
    <row r="136" ht="69.0" customHeight="1"/>
    <row r="137" ht="69.0" customHeight="1"/>
    <row r="138" ht="69.0" customHeight="1"/>
    <row r="139" ht="69.0" customHeight="1"/>
    <row r="140" ht="69.0" customHeight="1"/>
    <row r="141" ht="69.0" customHeight="1"/>
    <row r="142" ht="69.0" customHeight="1"/>
    <row r="143" ht="69.0" customHeight="1"/>
    <row r="144" ht="69.0" customHeight="1"/>
    <row r="145" ht="69.0" customHeight="1"/>
    <row r="146" ht="69.0" customHeight="1"/>
    <row r="147" ht="69.0" customHeight="1"/>
    <row r="148" ht="69.0" customHeight="1"/>
    <row r="149" ht="69.0" customHeight="1"/>
    <row r="150" ht="69.0" customHeight="1"/>
    <row r="151" ht="69.0" customHeight="1"/>
    <row r="152" ht="69.0" customHeight="1"/>
    <row r="153" ht="69.0" customHeight="1"/>
    <row r="154" ht="69.0" customHeight="1"/>
    <row r="155" ht="69.0" customHeight="1"/>
    <row r="156" ht="69.0" customHeight="1"/>
    <row r="157" ht="69.0" customHeight="1"/>
    <row r="158" ht="69.0" customHeight="1"/>
    <row r="159" ht="69.0" customHeight="1"/>
    <row r="160" ht="69.0" customHeight="1"/>
    <row r="161" ht="69.0" customHeight="1"/>
    <row r="162" ht="69.0" customHeight="1"/>
    <row r="163" ht="69.0" customHeight="1"/>
    <row r="164" ht="69.0" customHeight="1"/>
    <row r="165" ht="69.0" customHeight="1"/>
    <row r="166" ht="69.0" customHeight="1"/>
    <row r="167" ht="69.0" customHeight="1"/>
    <row r="168" ht="69.0" customHeight="1"/>
    <row r="169" ht="69.0" customHeight="1"/>
    <row r="170" ht="69.0" customHeight="1"/>
    <row r="171" ht="69.0" customHeight="1"/>
    <row r="172" ht="69.0" customHeight="1"/>
    <row r="173" ht="69.0" customHeight="1"/>
    <row r="174" ht="69.0" customHeight="1"/>
    <row r="175" ht="69.0" customHeight="1"/>
    <row r="176" ht="69.0" customHeight="1"/>
    <row r="177" ht="69.0" customHeight="1"/>
    <row r="178" ht="69.0" customHeight="1"/>
    <row r="179" ht="69.0" customHeight="1"/>
    <row r="180" ht="69.0" customHeight="1"/>
    <row r="181" ht="69.0" customHeight="1"/>
    <row r="182" ht="69.0" customHeight="1"/>
    <row r="183" ht="69.0" customHeight="1"/>
    <row r="184" ht="69.0" customHeight="1"/>
    <row r="185" ht="69.0" customHeight="1"/>
    <row r="186" ht="69.0" customHeight="1"/>
    <row r="187" ht="69.0" customHeight="1"/>
    <row r="188" ht="69.0" customHeight="1"/>
    <row r="189" ht="69.0" customHeight="1"/>
    <row r="190" ht="69.0" customHeight="1"/>
    <row r="191" ht="69.0" customHeight="1"/>
    <row r="192" ht="69.0" customHeight="1"/>
    <row r="193" ht="69.0" customHeight="1"/>
    <row r="194" ht="69.0" customHeight="1"/>
    <row r="195" ht="69.0" customHeight="1"/>
    <row r="196" ht="69.0" customHeight="1"/>
    <row r="197" ht="69.0" customHeight="1"/>
    <row r="198" ht="69.0" customHeight="1"/>
    <row r="199" ht="69.0" customHeight="1"/>
    <row r="200" ht="69.0" customHeight="1"/>
    <row r="201" ht="69.0" customHeight="1"/>
    <row r="202" ht="69.0" customHeight="1"/>
    <row r="203" ht="69.0" customHeight="1"/>
    <row r="204" ht="69.0" customHeight="1"/>
    <row r="205" ht="69.0" customHeight="1"/>
    <row r="206" ht="69.0" customHeight="1"/>
    <row r="207" ht="69.0" customHeight="1"/>
    <row r="208" ht="69.0" customHeight="1"/>
    <row r="209" ht="69.0" customHeight="1"/>
    <row r="210" ht="69.0" customHeight="1"/>
    <row r="211" ht="69.0" customHeight="1"/>
    <row r="212" ht="69.0" customHeight="1"/>
    <row r="213" ht="69.0" customHeight="1"/>
    <row r="214" ht="69.0" customHeight="1"/>
    <row r="215" ht="69.0" customHeight="1"/>
    <row r="216" ht="69.0" customHeight="1"/>
    <row r="217" ht="69.0" customHeight="1"/>
    <row r="218" ht="69.0" customHeight="1"/>
    <row r="219" ht="69.0" customHeight="1"/>
    <row r="220" ht="69.0" customHeight="1"/>
    <row r="221" ht="69.0" customHeight="1"/>
    <row r="222" ht="69.0" customHeight="1"/>
    <row r="223" ht="69.0" customHeight="1"/>
    <row r="224" ht="69.0" customHeight="1"/>
    <row r="225" ht="69.0" customHeight="1"/>
    <row r="226" ht="69.0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1">
    <mergeCell ref="A11:A12"/>
    <mergeCell ref="B11:B12"/>
    <mergeCell ref="F11:F12"/>
    <mergeCell ref="G11:G12"/>
    <mergeCell ref="K11:K12"/>
    <mergeCell ref="L11:L12"/>
    <mergeCell ref="P11:P12"/>
    <mergeCell ref="Q11:Q12"/>
    <mergeCell ref="A13:Q13"/>
    <mergeCell ref="A20:B20"/>
    <mergeCell ref="A21:B21"/>
    <mergeCell ref="A22:Q22"/>
    <mergeCell ref="A23:E23"/>
    <mergeCell ref="I23:Q24"/>
    <mergeCell ref="A1:J1"/>
    <mergeCell ref="K1:Q1"/>
    <mergeCell ref="E2:G2"/>
    <mergeCell ref="I2:J2"/>
    <mergeCell ref="K2:L2"/>
    <mergeCell ref="N2:O2"/>
    <mergeCell ref="P2:Q2"/>
    <mergeCell ref="A2:D2"/>
    <mergeCell ref="A3:D3"/>
    <mergeCell ref="E3:G3"/>
    <mergeCell ref="I3:J3"/>
    <mergeCell ref="K3:L3"/>
    <mergeCell ref="N3:O3"/>
    <mergeCell ref="P3:Q3"/>
    <mergeCell ref="H5:J5"/>
    <mergeCell ref="L5:N5"/>
    <mergeCell ref="A4:H4"/>
    <mergeCell ref="I4:J4"/>
    <mergeCell ref="K4:L4"/>
    <mergeCell ref="N4:O4"/>
    <mergeCell ref="P4:Q4"/>
    <mergeCell ref="A5:A6"/>
    <mergeCell ref="D5:F5"/>
    <mergeCell ref="L6:N6"/>
    <mergeCell ref="C10:L10"/>
    <mergeCell ref="M10:Q10"/>
    <mergeCell ref="D6:F6"/>
    <mergeCell ref="H6:J6"/>
    <mergeCell ref="A7:B8"/>
    <mergeCell ref="H7:J8"/>
    <mergeCell ref="P7:Q8"/>
    <mergeCell ref="A9:Q9"/>
    <mergeCell ref="A10:B10"/>
    <mergeCell ref="A24:E24"/>
    <mergeCell ref="A25:H25"/>
    <mergeCell ref="I25:Q25"/>
    <mergeCell ref="I26:Q26"/>
  </mergeCells>
  <dataValidations>
    <dataValidation type="list" allowBlank="1" showErrorMessage="1" sqref="G14:H19 L14:M19 Q14:Q19">
      <formula1>$A$20:$A$21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.0"/>
    <col customWidth="1" min="3" max="3" width="52.86"/>
    <col customWidth="1" min="4" max="6" width="10.71"/>
  </cols>
  <sheetData>
    <row r="1">
      <c r="A1" s="193" t="s">
        <v>196</v>
      </c>
      <c r="B1" s="25"/>
      <c r="C1" s="25"/>
    </row>
    <row r="2">
      <c r="A2" s="194" t="s">
        <v>197</v>
      </c>
      <c r="B2" s="25"/>
      <c r="C2" s="25"/>
    </row>
    <row r="3">
      <c r="A3" s="195">
        <v>3.0</v>
      </c>
    </row>
    <row r="4">
      <c r="A4" s="196" t="s">
        <v>198</v>
      </c>
      <c r="B4" s="25"/>
      <c r="C4" s="25"/>
    </row>
    <row r="5">
      <c r="A5" s="197" t="s">
        <v>199</v>
      </c>
    </row>
    <row r="6">
      <c r="A6" s="198" t="s">
        <v>200</v>
      </c>
      <c r="C6" s="198" t="s">
        <v>201</v>
      </c>
    </row>
    <row r="7">
      <c r="A7" s="199" t="s">
        <v>202</v>
      </c>
      <c r="C7" s="199" t="s">
        <v>203</v>
      </c>
    </row>
    <row r="8">
      <c r="A8" s="200"/>
      <c r="C8" s="200"/>
    </row>
    <row r="9">
      <c r="A9" s="200"/>
      <c r="C9" s="200"/>
    </row>
    <row r="10">
      <c r="A10" s="200"/>
      <c r="C10" s="200"/>
    </row>
    <row r="11">
      <c r="A11" s="200"/>
      <c r="C11" s="200"/>
    </row>
    <row r="12">
      <c r="A12" s="200"/>
      <c r="C12" s="200"/>
    </row>
    <row r="13">
      <c r="A13" s="200"/>
      <c r="C13" s="200"/>
    </row>
    <row r="14">
      <c r="A14" s="200"/>
      <c r="C14" s="200"/>
    </row>
    <row r="15">
      <c r="A15" s="200"/>
      <c r="C15" s="200"/>
    </row>
    <row r="16">
      <c r="A16" s="200"/>
      <c r="C16" s="200"/>
    </row>
    <row r="17">
      <c r="A17" s="200"/>
      <c r="C17" s="200"/>
    </row>
    <row r="18">
      <c r="A18" s="200"/>
      <c r="C18" s="200"/>
    </row>
    <row r="19">
      <c r="A19" s="200"/>
      <c r="C19" s="200"/>
    </row>
    <row r="20">
      <c r="A20" s="200"/>
      <c r="C20" s="200"/>
    </row>
    <row r="21" ht="15.75" customHeight="1">
      <c r="A21" s="200"/>
      <c r="C21" s="200"/>
    </row>
    <row r="22" ht="15.75" customHeight="1">
      <c r="A22" s="200"/>
      <c r="C22" s="200"/>
    </row>
    <row r="23" ht="15.75" customHeight="1">
      <c r="A23" s="200"/>
      <c r="C23" s="200"/>
    </row>
    <row r="24" ht="15.75" customHeight="1">
      <c r="A24" s="201"/>
      <c r="C24" s="201"/>
    </row>
    <row r="25" ht="15.75" customHeight="1">
      <c r="A25" s="202" t="s">
        <v>204</v>
      </c>
      <c r="C25" s="202" t="s">
        <v>205</v>
      </c>
    </row>
    <row r="26" ht="15.75" customHeight="1">
      <c r="A26" s="200"/>
      <c r="C26" s="200"/>
    </row>
    <row r="27" ht="15.75" customHeight="1">
      <c r="A27" s="200"/>
      <c r="C27" s="200"/>
    </row>
    <row r="28" ht="15.75" customHeight="1">
      <c r="A28" s="201"/>
      <c r="C28" s="201"/>
    </row>
    <row r="29" ht="15.75" customHeight="1"/>
    <row r="30" ht="15.75" customHeight="1">
      <c r="A30" s="199" t="s">
        <v>206</v>
      </c>
      <c r="C30" s="199" t="s">
        <v>207</v>
      </c>
    </row>
    <row r="31" ht="15.75" customHeight="1">
      <c r="A31" s="200"/>
      <c r="C31" s="200"/>
    </row>
    <row r="32" ht="15.75" customHeight="1">
      <c r="A32" s="200"/>
      <c r="C32" s="200"/>
    </row>
    <row r="33" ht="15.75" customHeight="1">
      <c r="A33" s="200"/>
      <c r="C33" s="200"/>
    </row>
    <row r="34" ht="15.75" customHeight="1">
      <c r="A34" s="200"/>
      <c r="C34" s="200"/>
    </row>
    <row r="35" ht="15.75" customHeight="1">
      <c r="A35" s="200"/>
      <c r="C35" s="200"/>
    </row>
    <row r="36" ht="15.75" customHeight="1">
      <c r="A36" s="200"/>
      <c r="C36" s="200"/>
    </row>
    <row r="37" ht="15.75" customHeight="1">
      <c r="A37" s="200"/>
      <c r="C37" s="200"/>
    </row>
    <row r="38" ht="15.75" customHeight="1">
      <c r="A38" s="200"/>
      <c r="C38" s="200"/>
    </row>
    <row r="39" ht="15.75" customHeight="1">
      <c r="A39" s="200"/>
      <c r="C39" s="200"/>
    </row>
    <row r="40" ht="15.75" customHeight="1">
      <c r="A40" s="200"/>
      <c r="C40" s="200"/>
    </row>
    <row r="41" ht="15.75" customHeight="1">
      <c r="A41" s="200"/>
      <c r="C41" s="200"/>
    </row>
    <row r="42" ht="15.75" customHeight="1">
      <c r="A42" s="200"/>
      <c r="C42" s="200"/>
    </row>
    <row r="43" ht="15.75" customHeight="1">
      <c r="A43" s="200"/>
      <c r="C43" s="200"/>
    </row>
    <row r="44" ht="15.75" customHeight="1">
      <c r="A44" s="200"/>
      <c r="C44" s="200"/>
    </row>
    <row r="45" ht="15.75" customHeight="1">
      <c r="A45" s="200"/>
      <c r="C45" s="200"/>
    </row>
    <row r="46" ht="15.75" customHeight="1">
      <c r="A46" s="200"/>
      <c r="C46" s="200"/>
    </row>
    <row r="47" ht="15.75" customHeight="1">
      <c r="A47" s="201"/>
      <c r="C47" s="201"/>
    </row>
    <row r="48" ht="15.75" customHeight="1">
      <c r="A48" s="202" t="s">
        <v>208</v>
      </c>
      <c r="C48" s="202" t="s">
        <v>209</v>
      </c>
    </row>
    <row r="49" ht="15.75" customHeight="1">
      <c r="A49" s="200"/>
      <c r="C49" s="200"/>
    </row>
    <row r="50" ht="15.75" customHeight="1">
      <c r="A50" s="200"/>
      <c r="C50" s="200"/>
    </row>
    <row r="51" ht="15.75" customHeight="1">
      <c r="A51" s="201"/>
      <c r="C51" s="201"/>
    </row>
    <row r="52" ht="15.75" customHeight="1"/>
    <row r="53" ht="15.75" customHeight="1">
      <c r="A53" s="199" t="s">
        <v>210</v>
      </c>
      <c r="C53" s="199" t="s">
        <v>211</v>
      </c>
    </row>
    <row r="54" ht="15.75" customHeight="1">
      <c r="A54" s="200"/>
      <c r="C54" s="200"/>
    </row>
    <row r="55" ht="15.75" customHeight="1">
      <c r="A55" s="200"/>
      <c r="C55" s="200"/>
    </row>
    <row r="56" ht="15.75" customHeight="1">
      <c r="A56" s="200"/>
      <c r="C56" s="200"/>
    </row>
    <row r="57" ht="15.75" customHeight="1">
      <c r="A57" s="200"/>
      <c r="C57" s="200"/>
    </row>
    <row r="58" ht="15.75" customHeight="1">
      <c r="A58" s="200"/>
      <c r="C58" s="200"/>
    </row>
    <row r="59" ht="15.75" customHeight="1">
      <c r="A59" s="200"/>
      <c r="C59" s="200"/>
    </row>
    <row r="60" ht="15.75" customHeight="1">
      <c r="A60" s="200"/>
      <c r="C60" s="200"/>
    </row>
    <row r="61" ht="15.75" customHeight="1">
      <c r="A61" s="200"/>
      <c r="C61" s="200"/>
    </row>
    <row r="62" ht="15.75" customHeight="1">
      <c r="A62" s="200"/>
      <c r="C62" s="200"/>
    </row>
    <row r="63" ht="15.75" customHeight="1">
      <c r="A63" s="200"/>
      <c r="C63" s="200"/>
    </row>
    <row r="64" ht="15.75" customHeight="1">
      <c r="A64" s="200"/>
      <c r="C64" s="200"/>
    </row>
    <row r="65" ht="15.75" customHeight="1">
      <c r="A65" s="200"/>
      <c r="C65" s="200"/>
    </row>
    <row r="66" ht="15.75" customHeight="1">
      <c r="A66" s="200"/>
      <c r="C66" s="200"/>
    </row>
    <row r="67" ht="15.75" customHeight="1">
      <c r="A67" s="200"/>
      <c r="C67" s="200"/>
    </row>
    <row r="68" ht="15.75" customHeight="1">
      <c r="A68" s="200"/>
      <c r="C68" s="200"/>
    </row>
    <row r="69" ht="15.75" customHeight="1">
      <c r="A69" s="200"/>
      <c r="C69" s="200"/>
    </row>
    <row r="70" ht="15.75" customHeight="1">
      <c r="A70" s="201"/>
      <c r="C70" s="201"/>
    </row>
    <row r="71" ht="15.75" customHeight="1">
      <c r="A71" s="202" t="s">
        <v>212</v>
      </c>
      <c r="C71" s="202" t="s">
        <v>213</v>
      </c>
    </row>
    <row r="72" ht="15.75" customHeight="1">
      <c r="A72" s="200"/>
      <c r="C72" s="200"/>
    </row>
    <row r="73" ht="15.75" customHeight="1">
      <c r="A73" s="200"/>
      <c r="C73" s="200"/>
    </row>
    <row r="74" ht="15.75" customHeight="1">
      <c r="A74" s="201"/>
      <c r="C74" s="201"/>
    </row>
    <row r="75" ht="15.75" customHeight="1"/>
    <row r="76" ht="15.75" customHeight="1">
      <c r="A76" s="199" t="s">
        <v>214</v>
      </c>
      <c r="C76" s="199" t="s">
        <v>215</v>
      </c>
    </row>
    <row r="77" ht="15.75" customHeight="1">
      <c r="A77" s="200"/>
      <c r="C77" s="200"/>
    </row>
    <row r="78" ht="15.75" customHeight="1">
      <c r="A78" s="200"/>
      <c r="C78" s="200"/>
    </row>
    <row r="79" ht="15.75" customHeight="1">
      <c r="A79" s="200"/>
      <c r="C79" s="200"/>
    </row>
    <row r="80" ht="15.75" customHeight="1">
      <c r="A80" s="200"/>
      <c r="C80" s="200"/>
    </row>
    <row r="81" ht="15.75" customHeight="1">
      <c r="A81" s="200"/>
      <c r="C81" s="200"/>
    </row>
    <row r="82" ht="15.75" customHeight="1">
      <c r="A82" s="200"/>
      <c r="C82" s="200"/>
    </row>
    <row r="83" ht="15.75" customHeight="1">
      <c r="A83" s="200"/>
      <c r="C83" s="200"/>
    </row>
    <row r="84" ht="15.75" customHeight="1">
      <c r="A84" s="200"/>
      <c r="C84" s="200"/>
    </row>
    <row r="85" ht="15.75" customHeight="1">
      <c r="A85" s="200"/>
      <c r="C85" s="200"/>
    </row>
    <row r="86" ht="15.75" customHeight="1">
      <c r="A86" s="200"/>
      <c r="C86" s="200"/>
    </row>
    <row r="87" ht="15.75" customHeight="1">
      <c r="A87" s="200"/>
      <c r="C87" s="200"/>
    </row>
    <row r="88" ht="15.75" customHeight="1">
      <c r="A88" s="200"/>
      <c r="C88" s="200"/>
    </row>
    <row r="89" ht="15.75" customHeight="1">
      <c r="A89" s="200"/>
      <c r="C89" s="200"/>
    </row>
    <row r="90" ht="15.75" customHeight="1">
      <c r="A90" s="200"/>
      <c r="C90" s="200"/>
    </row>
    <row r="91" ht="15.75" customHeight="1">
      <c r="A91" s="200"/>
      <c r="C91" s="200"/>
    </row>
    <row r="92" ht="15.75" customHeight="1">
      <c r="A92" s="200"/>
      <c r="C92" s="200"/>
    </row>
    <row r="93" ht="15.75" customHeight="1">
      <c r="A93" s="201"/>
      <c r="C93" s="201"/>
    </row>
    <row r="94" ht="15.75" customHeight="1">
      <c r="A94" s="202" t="s">
        <v>216</v>
      </c>
      <c r="C94" s="202" t="s">
        <v>217</v>
      </c>
    </row>
    <row r="95" ht="15.75" customHeight="1">
      <c r="A95" s="200"/>
      <c r="C95" s="200"/>
    </row>
    <row r="96" ht="15.75" customHeight="1">
      <c r="A96" s="200"/>
      <c r="C96" s="200"/>
    </row>
    <row r="97" ht="15.75" customHeight="1">
      <c r="A97" s="201"/>
      <c r="C97" s="201"/>
    </row>
    <row r="98" ht="15.75" customHeight="1"/>
    <row r="99" ht="15.75" customHeight="1">
      <c r="A99" s="199" t="s">
        <v>218</v>
      </c>
      <c r="C99" s="199" t="s">
        <v>219</v>
      </c>
    </row>
    <row r="100" ht="15.75" customHeight="1">
      <c r="A100" s="200"/>
      <c r="C100" s="200"/>
    </row>
    <row r="101" ht="15.75" customHeight="1">
      <c r="A101" s="200"/>
      <c r="C101" s="200"/>
    </row>
    <row r="102" ht="15.75" customHeight="1">
      <c r="A102" s="200"/>
      <c r="C102" s="200"/>
    </row>
    <row r="103" ht="15.75" customHeight="1">
      <c r="A103" s="200"/>
      <c r="C103" s="200"/>
    </row>
    <row r="104" ht="15.75" customHeight="1">
      <c r="A104" s="200"/>
      <c r="C104" s="200"/>
    </row>
    <row r="105" ht="15.75" customHeight="1">
      <c r="A105" s="200"/>
      <c r="C105" s="200"/>
    </row>
    <row r="106" ht="15.75" customHeight="1">
      <c r="A106" s="200"/>
      <c r="C106" s="200"/>
    </row>
    <row r="107" ht="15.75" customHeight="1">
      <c r="A107" s="200"/>
      <c r="C107" s="200"/>
    </row>
    <row r="108" ht="15.75" customHeight="1">
      <c r="A108" s="200"/>
      <c r="C108" s="200"/>
    </row>
    <row r="109" ht="15.75" customHeight="1">
      <c r="A109" s="200"/>
      <c r="C109" s="200"/>
    </row>
    <row r="110" ht="15.75" customHeight="1">
      <c r="A110" s="200"/>
      <c r="C110" s="200"/>
    </row>
    <row r="111" ht="15.75" customHeight="1">
      <c r="A111" s="200"/>
      <c r="C111" s="200"/>
    </row>
    <row r="112" ht="15.75" customHeight="1">
      <c r="A112" s="200"/>
      <c r="C112" s="200"/>
    </row>
    <row r="113" ht="15.75" customHeight="1">
      <c r="A113" s="200"/>
      <c r="C113" s="200"/>
    </row>
    <row r="114" ht="15.75" customHeight="1">
      <c r="A114" s="200"/>
      <c r="C114" s="200"/>
    </row>
    <row r="115" ht="15.75" customHeight="1">
      <c r="A115" s="200"/>
      <c r="C115" s="200"/>
    </row>
    <row r="116" ht="15.75" customHeight="1">
      <c r="A116" s="201"/>
      <c r="C116" s="201"/>
    </row>
    <row r="117" ht="15.75" customHeight="1">
      <c r="A117" s="202" t="s">
        <v>220</v>
      </c>
      <c r="C117" s="202" t="s">
        <v>221</v>
      </c>
    </row>
    <row r="118" ht="15.75" customHeight="1">
      <c r="A118" s="200"/>
      <c r="C118" s="200"/>
    </row>
    <row r="119" ht="15.75" customHeight="1">
      <c r="A119" s="200"/>
      <c r="C119" s="200"/>
    </row>
    <row r="120" ht="15.75" customHeight="1">
      <c r="A120" s="201"/>
      <c r="C120" s="201"/>
    </row>
    <row r="121" ht="15.75" customHeight="1"/>
    <row r="122" ht="15.75" customHeight="1">
      <c r="A122" s="199" t="s">
        <v>222</v>
      </c>
      <c r="C122" s="199" t="s">
        <v>223</v>
      </c>
    </row>
    <row r="123" ht="15.75" customHeight="1">
      <c r="A123" s="200"/>
      <c r="C123" s="200"/>
    </row>
    <row r="124" ht="15.75" customHeight="1">
      <c r="A124" s="200"/>
      <c r="C124" s="200"/>
    </row>
    <row r="125" ht="15.75" customHeight="1">
      <c r="A125" s="200"/>
      <c r="C125" s="200"/>
    </row>
    <row r="126" ht="15.75" customHeight="1">
      <c r="A126" s="200"/>
      <c r="C126" s="200"/>
    </row>
    <row r="127" ht="15.75" customHeight="1">
      <c r="A127" s="200"/>
      <c r="C127" s="200"/>
    </row>
    <row r="128" ht="15.75" customHeight="1">
      <c r="A128" s="200"/>
      <c r="C128" s="200"/>
    </row>
    <row r="129" ht="15.75" customHeight="1">
      <c r="A129" s="200"/>
      <c r="C129" s="200"/>
    </row>
    <row r="130" ht="15.75" customHeight="1">
      <c r="A130" s="200"/>
      <c r="C130" s="200"/>
    </row>
    <row r="131" ht="15.75" customHeight="1">
      <c r="A131" s="200"/>
      <c r="C131" s="200"/>
    </row>
    <row r="132" ht="15.75" customHeight="1">
      <c r="A132" s="200"/>
      <c r="C132" s="200"/>
    </row>
    <row r="133" ht="15.75" customHeight="1">
      <c r="A133" s="200"/>
      <c r="C133" s="200"/>
    </row>
    <row r="134" ht="15.75" customHeight="1">
      <c r="A134" s="200"/>
      <c r="C134" s="200"/>
    </row>
    <row r="135" ht="15.75" customHeight="1">
      <c r="A135" s="200"/>
      <c r="C135" s="200"/>
    </row>
    <row r="136" ht="15.75" customHeight="1">
      <c r="A136" s="200"/>
      <c r="C136" s="200"/>
    </row>
    <row r="137" ht="15.75" customHeight="1">
      <c r="A137" s="200"/>
      <c r="C137" s="200"/>
    </row>
    <row r="138" ht="15.75" customHeight="1">
      <c r="A138" s="200"/>
      <c r="C138" s="200"/>
    </row>
    <row r="139" ht="15.75" customHeight="1">
      <c r="A139" s="201"/>
      <c r="C139" s="201"/>
    </row>
    <row r="140" ht="15.75" customHeight="1">
      <c r="A140" s="202" t="s">
        <v>224</v>
      </c>
      <c r="C140" s="202" t="s">
        <v>225</v>
      </c>
    </row>
    <row r="141" ht="15.75" customHeight="1">
      <c r="A141" s="200"/>
      <c r="C141" s="200"/>
    </row>
    <row r="142" ht="15.75" customHeight="1">
      <c r="A142" s="200"/>
      <c r="C142" s="200"/>
    </row>
    <row r="143" ht="15.75" customHeight="1">
      <c r="A143" s="201"/>
      <c r="C143" s="201"/>
    </row>
    <row r="144" ht="15.75" customHeight="1"/>
    <row r="145" ht="15.75" customHeight="1"/>
    <row r="146" ht="15.75" customHeight="1">
      <c r="A146" s="203" t="s">
        <v>226</v>
      </c>
      <c r="B146" s="204"/>
      <c r="C146" s="204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C1"/>
    <mergeCell ref="A2:C2"/>
    <mergeCell ref="A4:C4"/>
    <mergeCell ref="A5:C5"/>
    <mergeCell ref="A7:A24"/>
    <mergeCell ref="C7:C24"/>
    <mergeCell ref="C25:C28"/>
    <mergeCell ref="C53:C70"/>
    <mergeCell ref="C71:C74"/>
    <mergeCell ref="A25:A28"/>
    <mergeCell ref="A30:A47"/>
    <mergeCell ref="C30:C47"/>
    <mergeCell ref="A48:A51"/>
    <mergeCell ref="C48:C51"/>
    <mergeCell ref="A53:A70"/>
    <mergeCell ref="A71:A74"/>
    <mergeCell ref="A117:A120"/>
    <mergeCell ref="A122:A139"/>
    <mergeCell ref="C122:C139"/>
    <mergeCell ref="A140:A143"/>
    <mergeCell ref="C140:C143"/>
    <mergeCell ref="A146:C146"/>
    <mergeCell ref="A76:A93"/>
    <mergeCell ref="C76:C93"/>
    <mergeCell ref="A94:A97"/>
    <mergeCell ref="C94:C97"/>
    <mergeCell ref="A99:A116"/>
    <mergeCell ref="C99:C116"/>
    <mergeCell ref="C117:C12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.0"/>
    <col customWidth="1" min="3" max="3" width="52.86"/>
    <col customWidth="1" min="4" max="6" width="10.71"/>
  </cols>
  <sheetData>
    <row r="1">
      <c r="A1" s="193" t="s">
        <v>196</v>
      </c>
      <c r="B1" s="25"/>
      <c r="C1" s="25"/>
    </row>
    <row r="2">
      <c r="A2" s="194" t="s">
        <v>227</v>
      </c>
      <c r="B2" s="25"/>
      <c r="C2" s="25"/>
    </row>
    <row r="4">
      <c r="A4" s="196" t="s">
        <v>198</v>
      </c>
      <c r="B4" s="25"/>
      <c r="C4" s="25"/>
    </row>
    <row r="5">
      <c r="A5" s="197" t="s">
        <v>199</v>
      </c>
    </row>
    <row r="6">
      <c r="A6" s="198" t="s">
        <v>200</v>
      </c>
      <c r="C6" s="198" t="s">
        <v>201</v>
      </c>
    </row>
    <row r="7">
      <c r="A7" s="199" t="s">
        <v>202</v>
      </c>
      <c r="C7" s="199" t="s">
        <v>203</v>
      </c>
    </row>
    <row r="8">
      <c r="A8" s="200"/>
      <c r="C8" s="200"/>
    </row>
    <row r="9">
      <c r="A9" s="200"/>
      <c r="C9" s="200"/>
    </row>
    <row r="10">
      <c r="A10" s="200"/>
      <c r="C10" s="200"/>
    </row>
    <row r="11">
      <c r="A11" s="200"/>
      <c r="C11" s="200"/>
    </row>
    <row r="12">
      <c r="A12" s="200"/>
      <c r="C12" s="200"/>
    </row>
    <row r="13">
      <c r="A13" s="200"/>
      <c r="C13" s="200"/>
    </row>
    <row r="14">
      <c r="A14" s="200"/>
      <c r="C14" s="200"/>
    </row>
    <row r="15">
      <c r="A15" s="200"/>
      <c r="C15" s="200"/>
    </row>
    <row r="16">
      <c r="A16" s="200"/>
      <c r="C16" s="200"/>
    </row>
    <row r="17">
      <c r="A17" s="200"/>
      <c r="C17" s="200"/>
    </row>
    <row r="18">
      <c r="A18" s="200"/>
      <c r="C18" s="200"/>
    </row>
    <row r="19">
      <c r="A19" s="200"/>
      <c r="C19" s="200"/>
    </row>
    <row r="20">
      <c r="A20" s="200"/>
      <c r="C20" s="200"/>
    </row>
    <row r="21" ht="15.75" customHeight="1">
      <c r="A21" s="200"/>
      <c r="C21" s="200"/>
    </row>
    <row r="22" ht="15.75" customHeight="1">
      <c r="A22" s="200"/>
      <c r="C22" s="200"/>
    </row>
    <row r="23" ht="15.75" customHeight="1">
      <c r="A23" s="200"/>
      <c r="C23" s="200"/>
    </row>
    <row r="24" ht="15.75" customHeight="1">
      <c r="A24" s="201"/>
      <c r="C24" s="201"/>
    </row>
    <row r="25" ht="15.75" customHeight="1">
      <c r="A25" s="202" t="s">
        <v>204</v>
      </c>
      <c r="C25" s="202" t="s">
        <v>205</v>
      </c>
    </row>
    <row r="26" ht="15.75" customHeight="1">
      <c r="A26" s="200"/>
      <c r="C26" s="200"/>
    </row>
    <row r="27" ht="15.75" customHeight="1">
      <c r="A27" s="200"/>
      <c r="C27" s="200"/>
    </row>
    <row r="28" ht="15.75" customHeight="1">
      <c r="A28" s="201"/>
      <c r="C28" s="201"/>
    </row>
    <row r="29" ht="15.75" customHeight="1"/>
    <row r="30" ht="15.75" customHeight="1">
      <c r="A30" s="199" t="s">
        <v>206</v>
      </c>
      <c r="C30" s="199" t="s">
        <v>207</v>
      </c>
    </row>
    <row r="31" ht="15.75" customHeight="1">
      <c r="A31" s="200"/>
      <c r="C31" s="200"/>
    </row>
    <row r="32" ht="15.75" customHeight="1">
      <c r="A32" s="200"/>
      <c r="C32" s="200"/>
    </row>
    <row r="33" ht="15.75" customHeight="1">
      <c r="A33" s="200"/>
      <c r="C33" s="200"/>
    </row>
    <row r="34" ht="15.75" customHeight="1">
      <c r="A34" s="200"/>
      <c r="C34" s="200"/>
    </row>
    <row r="35" ht="15.75" customHeight="1">
      <c r="A35" s="200"/>
      <c r="C35" s="200"/>
    </row>
    <row r="36" ht="15.75" customHeight="1">
      <c r="A36" s="200"/>
      <c r="C36" s="200"/>
    </row>
    <row r="37" ht="15.75" customHeight="1">
      <c r="A37" s="200"/>
      <c r="C37" s="200"/>
    </row>
    <row r="38" ht="15.75" customHeight="1">
      <c r="A38" s="200"/>
      <c r="C38" s="200"/>
    </row>
    <row r="39" ht="15.75" customHeight="1">
      <c r="A39" s="200"/>
      <c r="C39" s="200"/>
    </row>
    <row r="40" ht="15.75" customHeight="1">
      <c r="A40" s="200"/>
      <c r="C40" s="200"/>
    </row>
    <row r="41" ht="15.75" customHeight="1">
      <c r="A41" s="200"/>
      <c r="C41" s="200"/>
    </row>
    <row r="42" ht="15.75" customHeight="1">
      <c r="A42" s="200"/>
      <c r="C42" s="200"/>
    </row>
    <row r="43" ht="15.75" customHeight="1">
      <c r="A43" s="200"/>
      <c r="C43" s="200"/>
    </row>
    <row r="44" ht="15.75" customHeight="1">
      <c r="A44" s="200"/>
      <c r="C44" s="200"/>
    </row>
    <row r="45" ht="15.75" customHeight="1">
      <c r="A45" s="200"/>
      <c r="C45" s="200"/>
    </row>
    <row r="46" ht="15.75" customHeight="1">
      <c r="A46" s="200"/>
      <c r="C46" s="200"/>
    </row>
    <row r="47" ht="15.75" customHeight="1">
      <c r="A47" s="201"/>
      <c r="C47" s="201"/>
    </row>
    <row r="48" ht="15.75" customHeight="1">
      <c r="A48" s="202" t="s">
        <v>208</v>
      </c>
      <c r="C48" s="202" t="s">
        <v>209</v>
      </c>
    </row>
    <row r="49" ht="15.75" customHeight="1">
      <c r="A49" s="200"/>
      <c r="C49" s="200"/>
    </row>
    <row r="50" ht="15.75" customHeight="1">
      <c r="A50" s="200"/>
      <c r="C50" s="200"/>
    </row>
    <row r="51" ht="15.75" customHeight="1">
      <c r="A51" s="201"/>
      <c r="C51" s="201"/>
    </row>
    <row r="52" ht="15.75" customHeight="1"/>
    <row r="53" ht="15.75" customHeight="1">
      <c r="A53" s="199" t="s">
        <v>210</v>
      </c>
      <c r="C53" s="199" t="s">
        <v>211</v>
      </c>
    </row>
    <row r="54" ht="15.75" customHeight="1">
      <c r="A54" s="200"/>
      <c r="C54" s="200"/>
    </row>
    <row r="55" ht="15.75" customHeight="1">
      <c r="A55" s="200"/>
      <c r="C55" s="200"/>
    </row>
    <row r="56" ht="15.75" customHeight="1">
      <c r="A56" s="200"/>
      <c r="C56" s="200"/>
    </row>
    <row r="57" ht="15.75" customHeight="1">
      <c r="A57" s="200"/>
      <c r="C57" s="200"/>
    </row>
    <row r="58" ht="15.75" customHeight="1">
      <c r="A58" s="200"/>
      <c r="C58" s="200"/>
    </row>
    <row r="59" ht="15.75" customHeight="1">
      <c r="A59" s="200"/>
      <c r="C59" s="200"/>
    </row>
    <row r="60" ht="15.75" customHeight="1">
      <c r="A60" s="200"/>
      <c r="C60" s="200"/>
    </row>
    <row r="61" ht="15.75" customHeight="1">
      <c r="A61" s="200"/>
      <c r="C61" s="200"/>
    </row>
    <row r="62" ht="15.75" customHeight="1">
      <c r="A62" s="200"/>
      <c r="C62" s="200"/>
    </row>
    <row r="63" ht="15.75" customHeight="1">
      <c r="A63" s="200"/>
      <c r="C63" s="200"/>
    </row>
    <row r="64" ht="15.75" customHeight="1">
      <c r="A64" s="200"/>
      <c r="C64" s="200"/>
    </row>
    <row r="65" ht="15.75" customHeight="1">
      <c r="A65" s="200"/>
      <c r="C65" s="200"/>
    </row>
    <row r="66" ht="15.75" customHeight="1">
      <c r="A66" s="200"/>
      <c r="C66" s="200"/>
    </row>
    <row r="67" ht="15.75" customHeight="1">
      <c r="A67" s="200"/>
      <c r="C67" s="200"/>
    </row>
    <row r="68" ht="15.75" customHeight="1">
      <c r="A68" s="200"/>
      <c r="C68" s="200"/>
    </row>
    <row r="69" ht="15.75" customHeight="1">
      <c r="A69" s="200"/>
      <c r="C69" s="200"/>
    </row>
    <row r="70" ht="15.75" customHeight="1">
      <c r="A70" s="201"/>
      <c r="C70" s="201"/>
    </row>
    <row r="71" ht="15.75" customHeight="1">
      <c r="A71" s="202" t="s">
        <v>212</v>
      </c>
      <c r="C71" s="202" t="s">
        <v>213</v>
      </c>
    </row>
    <row r="72" ht="15.75" customHeight="1">
      <c r="A72" s="200"/>
      <c r="C72" s="200"/>
    </row>
    <row r="73" ht="15.75" customHeight="1">
      <c r="A73" s="200"/>
      <c r="C73" s="200"/>
    </row>
    <row r="74" ht="15.75" customHeight="1">
      <c r="A74" s="201"/>
      <c r="C74" s="201"/>
    </row>
    <row r="75" ht="15.75" customHeight="1"/>
    <row r="76" ht="15.75" customHeight="1">
      <c r="A76" s="199" t="s">
        <v>214</v>
      </c>
      <c r="C76" s="199" t="s">
        <v>215</v>
      </c>
    </row>
    <row r="77" ht="15.75" customHeight="1">
      <c r="A77" s="200"/>
      <c r="C77" s="200"/>
    </row>
    <row r="78" ht="15.75" customHeight="1">
      <c r="A78" s="200"/>
      <c r="C78" s="200"/>
    </row>
    <row r="79" ht="15.75" customHeight="1">
      <c r="A79" s="200"/>
      <c r="C79" s="200"/>
    </row>
    <row r="80" ht="15.75" customHeight="1">
      <c r="A80" s="200"/>
      <c r="C80" s="200"/>
    </row>
    <row r="81" ht="15.75" customHeight="1">
      <c r="A81" s="200"/>
      <c r="C81" s="200"/>
    </row>
    <row r="82" ht="15.75" customHeight="1">
      <c r="A82" s="200"/>
      <c r="C82" s="200"/>
    </row>
    <row r="83" ht="15.75" customHeight="1">
      <c r="A83" s="200"/>
      <c r="C83" s="200"/>
    </row>
    <row r="84" ht="15.75" customHeight="1">
      <c r="A84" s="200"/>
      <c r="C84" s="200"/>
    </row>
    <row r="85" ht="15.75" customHeight="1">
      <c r="A85" s="200"/>
      <c r="C85" s="200"/>
    </row>
    <row r="86" ht="15.75" customHeight="1">
      <c r="A86" s="200"/>
      <c r="C86" s="200"/>
    </row>
    <row r="87" ht="15.75" customHeight="1">
      <c r="A87" s="200"/>
      <c r="C87" s="200"/>
    </row>
    <row r="88" ht="15.75" customHeight="1">
      <c r="A88" s="200"/>
      <c r="C88" s="200"/>
    </row>
    <row r="89" ht="15.75" customHeight="1">
      <c r="A89" s="200"/>
      <c r="C89" s="200"/>
    </row>
    <row r="90" ht="15.75" customHeight="1">
      <c r="A90" s="200"/>
      <c r="C90" s="200"/>
    </row>
    <row r="91" ht="15.75" customHeight="1">
      <c r="A91" s="200"/>
      <c r="C91" s="200"/>
    </row>
    <row r="92" ht="15.75" customHeight="1">
      <c r="A92" s="200"/>
      <c r="C92" s="200"/>
    </row>
    <row r="93" ht="15.75" customHeight="1">
      <c r="A93" s="201"/>
      <c r="C93" s="201"/>
    </row>
    <row r="94" ht="15.75" customHeight="1">
      <c r="A94" s="202" t="s">
        <v>216</v>
      </c>
      <c r="C94" s="202" t="s">
        <v>217</v>
      </c>
    </row>
    <row r="95" ht="15.75" customHeight="1">
      <c r="A95" s="200"/>
      <c r="C95" s="200"/>
    </row>
    <row r="96" ht="15.75" customHeight="1">
      <c r="A96" s="200"/>
      <c r="C96" s="200"/>
    </row>
    <row r="97" ht="15.75" customHeight="1">
      <c r="A97" s="201"/>
      <c r="C97" s="201"/>
    </row>
    <row r="98" ht="15.75" customHeight="1"/>
    <row r="99" ht="15.75" customHeight="1">
      <c r="A99" s="199" t="s">
        <v>218</v>
      </c>
      <c r="C99" s="199" t="s">
        <v>219</v>
      </c>
    </row>
    <row r="100" ht="15.75" customHeight="1">
      <c r="A100" s="200"/>
      <c r="C100" s="200"/>
    </row>
    <row r="101" ht="15.75" customHeight="1">
      <c r="A101" s="200"/>
      <c r="C101" s="200"/>
    </row>
    <row r="102" ht="15.75" customHeight="1">
      <c r="A102" s="200"/>
      <c r="C102" s="200"/>
    </row>
    <row r="103" ht="15.75" customHeight="1">
      <c r="A103" s="200"/>
      <c r="C103" s="200"/>
    </row>
    <row r="104" ht="15.75" customHeight="1">
      <c r="A104" s="200"/>
      <c r="C104" s="200"/>
    </row>
    <row r="105" ht="15.75" customHeight="1">
      <c r="A105" s="200"/>
      <c r="C105" s="200"/>
    </row>
    <row r="106" ht="15.75" customHeight="1">
      <c r="A106" s="200"/>
      <c r="C106" s="200"/>
    </row>
    <row r="107" ht="15.75" customHeight="1">
      <c r="A107" s="200"/>
      <c r="C107" s="200"/>
    </row>
    <row r="108" ht="15.75" customHeight="1">
      <c r="A108" s="200"/>
      <c r="C108" s="200"/>
    </row>
    <row r="109" ht="15.75" customHeight="1">
      <c r="A109" s="200"/>
      <c r="C109" s="200"/>
    </row>
    <row r="110" ht="15.75" customHeight="1">
      <c r="A110" s="200"/>
      <c r="C110" s="200"/>
    </row>
    <row r="111" ht="15.75" customHeight="1">
      <c r="A111" s="200"/>
      <c r="C111" s="200"/>
    </row>
    <row r="112" ht="15.75" customHeight="1">
      <c r="A112" s="200"/>
      <c r="C112" s="200"/>
    </row>
    <row r="113" ht="15.75" customHeight="1">
      <c r="A113" s="200"/>
      <c r="C113" s="200"/>
    </row>
    <row r="114" ht="15.75" customHeight="1">
      <c r="A114" s="200"/>
      <c r="C114" s="200"/>
    </row>
    <row r="115" ht="15.75" customHeight="1">
      <c r="A115" s="200"/>
      <c r="C115" s="200"/>
    </row>
    <row r="116" ht="15.75" customHeight="1">
      <c r="A116" s="201"/>
      <c r="C116" s="201"/>
    </row>
    <row r="117" ht="15.75" customHeight="1">
      <c r="A117" s="202" t="s">
        <v>220</v>
      </c>
      <c r="C117" s="202" t="s">
        <v>221</v>
      </c>
    </row>
    <row r="118" ht="15.75" customHeight="1">
      <c r="A118" s="200"/>
      <c r="C118" s="200"/>
    </row>
    <row r="119" ht="15.75" customHeight="1">
      <c r="A119" s="200"/>
      <c r="C119" s="200"/>
    </row>
    <row r="120" ht="15.75" customHeight="1">
      <c r="A120" s="201"/>
      <c r="C120" s="201"/>
    </row>
    <row r="121" ht="15.75" customHeight="1"/>
    <row r="122" ht="15.75" customHeight="1">
      <c r="A122" s="199" t="s">
        <v>222</v>
      </c>
      <c r="C122" s="199" t="s">
        <v>223</v>
      </c>
    </row>
    <row r="123" ht="15.75" customHeight="1">
      <c r="A123" s="200"/>
      <c r="C123" s="200"/>
    </row>
    <row r="124" ht="15.75" customHeight="1">
      <c r="A124" s="200"/>
      <c r="C124" s="200"/>
    </row>
    <row r="125" ht="15.75" customHeight="1">
      <c r="A125" s="200"/>
      <c r="C125" s="200"/>
    </row>
    <row r="126" ht="15.75" customHeight="1">
      <c r="A126" s="200"/>
      <c r="C126" s="200"/>
    </row>
    <row r="127" ht="15.75" customHeight="1">
      <c r="A127" s="200"/>
      <c r="C127" s="200"/>
    </row>
    <row r="128" ht="15.75" customHeight="1">
      <c r="A128" s="200"/>
      <c r="C128" s="200"/>
    </row>
    <row r="129" ht="15.75" customHeight="1">
      <c r="A129" s="200"/>
      <c r="C129" s="200"/>
    </row>
    <row r="130" ht="15.75" customHeight="1">
      <c r="A130" s="200"/>
      <c r="C130" s="200"/>
    </row>
    <row r="131" ht="15.75" customHeight="1">
      <c r="A131" s="200"/>
      <c r="C131" s="200"/>
    </row>
    <row r="132" ht="15.75" customHeight="1">
      <c r="A132" s="200"/>
      <c r="C132" s="200"/>
    </row>
    <row r="133" ht="15.75" customHeight="1">
      <c r="A133" s="200"/>
      <c r="C133" s="200"/>
    </row>
    <row r="134" ht="15.75" customHeight="1">
      <c r="A134" s="200"/>
      <c r="C134" s="200"/>
    </row>
    <row r="135" ht="15.75" customHeight="1">
      <c r="A135" s="200"/>
      <c r="C135" s="200"/>
    </row>
    <row r="136" ht="15.75" customHeight="1">
      <c r="A136" s="200"/>
      <c r="C136" s="200"/>
    </row>
    <row r="137" ht="15.75" customHeight="1">
      <c r="A137" s="200"/>
      <c r="C137" s="200"/>
    </row>
    <row r="138" ht="15.75" customHeight="1">
      <c r="A138" s="200"/>
      <c r="C138" s="200"/>
    </row>
    <row r="139" ht="15.75" customHeight="1">
      <c r="A139" s="201"/>
      <c r="C139" s="201"/>
    </row>
    <row r="140" ht="15.75" customHeight="1">
      <c r="A140" s="202" t="s">
        <v>224</v>
      </c>
      <c r="C140" s="202" t="s">
        <v>225</v>
      </c>
    </row>
    <row r="141" ht="15.75" customHeight="1">
      <c r="A141" s="200"/>
      <c r="C141" s="200"/>
    </row>
    <row r="142" ht="15.75" customHeight="1">
      <c r="A142" s="200"/>
      <c r="C142" s="200"/>
    </row>
    <row r="143" ht="15.75" customHeight="1">
      <c r="A143" s="201"/>
      <c r="C143" s="201"/>
    </row>
    <row r="144" ht="15.75" customHeight="1"/>
    <row r="145" ht="15.75" customHeight="1"/>
    <row r="146" ht="15.75" customHeight="1">
      <c r="A146" s="203" t="s">
        <v>226</v>
      </c>
      <c r="B146" s="204"/>
      <c r="C146" s="204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C1"/>
    <mergeCell ref="A2:C2"/>
    <mergeCell ref="A4:C4"/>
    <mergeCell ref="A5:C5"/>
    <mergeCell ref="A7:A24"/>
    <mergeCell ref="C7:C24"/>
    <mergeCell ref="C25:C28"/>
    <mergeCell ref="C53:C70"/>
    <mergeCell ref="C71:C74"/>
    <mergeCell ref="A25:A28"/>
    <mergeCell ref="A30:A47"/>
    <mergeCell ref="C30:C47"/>
    <mergeCell ref="A48:A51"/>
    <mergeCell ref="C48:C51"/>
    <mergeCell ref="A53:A70"/>
    <mergeCell ref="A71:A74"/>
    <mergeCell ref="A117:A120"/>
    <mergeCell ref="A122:A139"/>
    <mergeCell ref="C122:C139"/>
    <mergeCell ref="A140:A143"/>
    <mergeCell ref="C140:C143"/>
    <mergeCell ref="A146:C146"/>
    <mergeCell ref="A76:A93"/>
    <mergeCell ref="C76:C93"/>
    <mergeCell ref="A94:A97"/>
    <mergeCell ref="C94:C97"/>
    <mergeCell ref="A99:A116"/>
    <mergeCell ref="C99:C116"/>
    <mergeCell ref="C117:C12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30.0"/>
    <col customWidth="1" min="3" max="3" width="24.0"/>
    <col customWidth="1" min="4" max="4" width="22.0"/>
    <col customWidth="1" min="5" max="8" width="18.0"/>
    <col customWidth="1" min="9" max="11" width="22.0"/>
    <col customWidth="1" min="12" max="12" width="20.0"/>
    <col customWidth="1" min="13" max="18" width="9.14"/>
  </cols>
  <sheetData>
    <row r="1">
      <c r="A1" s="205" t="s">
        <v>228</v>
      </c>
    </row>
    <row r="3">
      <c r="A3" s="206" t="s">
        <v>229</v>
      </c>
      <c r="B3" s="206" t="s">
        <v>230</v>
      </c>
      <c r="C3" s="206" t="s">
        <v>231</v>
      </c>
      <c r="D3" s="206" t="s">
        <v>232</v>
      </c>
      <c r="E3" s="206" t="s">
        <v>233</v>
      </c>
      <c r="F3" s="206" t="s">
        <v>234</v>
      </c>
      <c r="G3" s="206" t="s">
        <v>235</v>
      </c>
      <c r="H3" s="206" t="s">
        <v>236</v>
      </c>
      <c r="I3" s="206" t="s">
        <v>237</v>
      </c>
      <c r="J3" s="206" t="s">
        <v>238</v>
      </c>
      <c r="K3" s="206" t="s">
        <v>239</v>
      </c>
      <c r="L3" s="206" t="s">
        <v>240</v>
      </c>
      <c r="N3" s="207" t="s">
        <v>241</v>
      </c>
    </row>
    <row r="4">
      <c r="F4" s="195">
        <v>100.0</v>
      </c>
      <c r="G4" s="124">
        <f t="shared" ref="G4:G203" si="1">IF(F4=0,0,E4/F4)</f>
        <v>0</v>
      </c>
      <c r="H4" s="195" t="str">
        <f t="shared" ref="H4:H203" si="2">IF(G4&gt;=0.9,"EXCELENTE",IF(G4&gt;=0.8,"BUENO",IF(G4&gt;=0.7,"ACEPTABLE","CRÍTICO")))</f>
        <v>CRÍTICO</v>
      </c>
      <c r="K4" s="124">
        <f t="shared" ref="K4:K203" si="3">IF(I4=0,0,J4/I4)</f>
        <v>0</v>
      </c>
      <c r="L4" s="195" t="str">
        <f t="shared" ref="L4:L203" si="4">IF(K4&gt;=0.95,"CONFORME",IF(K4&gt;=0.85,"ACEPTABLE","NO CONFORME"))</f>
        <v>NO CONFORME</v>
      </c>
    </row>
    <row r="5">
      <c r="F5" s="195">
        <v>100.0</v>
      </c>
      <c r="G5" s="124">
        <f t="shared" si="1"/>
        <v>0</v>
      </c>
      <c r="H5" s="195" t="str">
        <f t="shared" si="2"/>
        <v>CRÍTICO</v>
      </c>
      <c r="K5" s="124">
        <f t="shared" si="3"/>
        <v>0</v>
      </c>
      <c r="L5" s="195" t="str">
        <f t="shared" si="4"/>
        <v>NO CONFORME</v>
      </c>
      <c r="N5" s="195" t="s">
        <v>242</v>
      </c>
      <c r="O5" s="208">
        <f>AVERAGE(G4:G203)</f>
        <v>0</v>
      </c>
      <c r="Q5" s="195" t="s">
        <v>243</v>
      </c>
      <c r="R5" s="195">
        <f>COUNTIF(L4:L203,"CONFORME")</f>
        <v>0</v>
      </c>
    </row>
    <row r="6">
      <c r="F6" s="195">
        <v>100.0</v>
      </c>
      <c r="G6" s="124">
        <f t="shared" si="1"/>
        <v>0</v>
      </c>
      <c r="H6" s="195" t="str">
        <f t="shared" si="2"/>
        <v>CRÍTICO</v>
      </c>
      <c r="K6" s="124">
        <f t="shared" si="3"/>
        <v>0</v>
      </c>
      <c r="L6" s="195" t="str">
        <f t="shared" si="4"/>
        <v>NO CONFORME</v>
      </c>
      <c r="N6" s="195" t="s">
        <v>244</v>
      </c>
      <c r="O6" s="208">
        <f>AVERAGE(K4:K203)</f>
        <v>0</v>
      </c>
      <c r="Q6" s="195" t="s">
        <v>245</v>
      </c>
      <c r="R6" s="195">
        <f>COUNTIF(L4:L203,"ACEPTABLE")</f>
        <v>0</v>
      </c>
    </row>
    <row r="7">
      <c r="F7" s="195">
        <v>100.0</v>
      </c>
      <c r="G7" s="124">
        <f t="shared" si="1"/>
        <v>0</v>
      </c>
      <c r="H7" s="195" t="str">
        <f t="shared" si="2"/>
        <v>CRÍTICO</v>
      </c>
      <c r="K7" s="124">
        <f t="shared" si="3"/>
        <v>0</v>
      </c>
      <c r="L7" s="195" t="str">
        <f t="shared" si="4"/>
        <v>NO CONFORME</v>
      </c>
      <c r="N7" s="195" t="s">
        <v>246</v>
      </c>
      <c r="O7" s="208">
        <f>MAX(G4:G203)</f>
        <v>0</v>
      </c>
      <c r="Q7" s="195" t="s">
        <v>247</v>
      </c>
      <c r="R7" s="195">
        <f>COUNTIF(L4:L203,"NO CONFORME")</f>
        <v>200</v>
      </c>
    </row>
    <row r="8">
      <c r="F8" s="195">
        <v>100.0</v>
      </c>
      <c r="G8" s="124">
        <f t="shared" si="1"/>
        <v>0</v>
      </c>
      <c r="H8" s="195" t="str">
        <f t="shared" si="2"/>
        <v>CRÍTICO</v>
      </c>
      <c r="K8" s="124">
        <f t="shared" si="3"/>
        <v>0</v>
      </c>
      <c r="L8" s="195" t="str">
        <f t="shared" si="4"/>
        <v>NO CONFORME</v>
      </c>
      <c r="N8" s="195" t="s">
        <v>248</v>
      </c>
      <c r="O8" s="208">
        <f>MIN(G4:G203)</f>
        <v>0</v>
      </c>
    </row>
    <row r="9">
      <c r="F9" s="195">
        <v>100.0</v>
      </c>
      <c r="G9" s="124">
        <f t="shared" si="1"/>
        <v>0</v>
      </c>
      <c r="H9" s="195" t="str">
        <f t="shared" si="2"/>
        <v>CRÍTICO</v>
      </c>
      <c r="K9" s="124">
        <f t="shared" si="3"/>
        <v>0</v>
      </c>
      <c r="L9" s="195" t="str">
        <f t="shared" si="4"/>
        <v>NO CONFORME</v>
      </c>
      <c r="N9" s="195" t="s">
        <v>249</v>
      </c>
      <c r="O9" s="195">
        <f>COUNTA(A4:A203)</f>
        <v>0</v>
      </c>
    </row>
    <row r="10">
      <c r="F10" s="195">
        <v>100.0</v>
      </c>
      <c r="G10" s="124">
        <f t="shared" si="1"/>
        <v>0</v>
      </c>
      <c r="H10" s="195" t="str">
        <f t="shared" si="2"/>
        <v>CRÍTICO</v>
      </c>
      <c r="K10" s="124">
        <f t="shared" si="3"/>
        <v>0</v>
      </c>
      <c r="L10" s="195" t="str">
        <f t="shared" si="4"/>
        <v>NO CONFORME</v>
      </c>
    </row>
    <row r="11">
      <c r="F11" s="195">
        <v>100.0</v>
      </c>
      <c r="G11" s="124">
        <f t="shared" si="1"/>
        <v>0</v>
      </c>
      <c r="H11" s="195" t="str">
        <f t="shared" si="2"/>
        <v>CRÍTICO</v>
      </c>
      <c r="K11" s="124">
        <f t="shared" si="3"/>
        <v>0</v>
      </c>
      <c r="L11" s="195" t="str">
        <f t="shared" si="4"/>
        <v>NO CONFORME</v>
      </c>
    </row>
    <row r="12">
      <c r="F12" s="195">
        <v>100.0</v>
      </c>
      <c r="G12" s="124">
        <f t="shared" si="1"/>
        <v>0</v>
      </c>
      <c r="H12" s="195" t="str">
        <f t="shared" si="2"/>
        <v>CRÍTICO</v>
      </c>
      <c r="K12" s="124">
        <f t="shared" si="3"/>
        <v>0</v>
      </c>
      <c r="L12" s="195" t="str">
        <f t="shared" si="4"/>
        <v>NO CONFORME</v>
      </c>
    </row>
    <row r="13">
      <c r="F13" s="195">
        <v>100.0</v>
      </c>
      <c r="G13" s="124">
        <f t="shared" si="1"/>
        <v>0</v>
      </c>
      <c r="H13" s="195" t="str">
        <f t="shared" si="2"/>
        <v>CRÍTICO</v>
      </c>
      <c r="K13" s="124">
        <f t="shared" si="3"/>
        <v>0</v>
      </c>
      <c r="L13" s="195" t="str">
        <f t="shared" si="4"/>
        <v>NO CONFORME</v>
      </c>
    </row>
    <row r="14">
      <c r="F14" s="195">
        <v>100.0</v>
      </c>
      <c r="G14" s="124">
        <f t="shared" si="1"/>
        <v>0</v>
      </c>
      <c r="H14" s="195" t="str">
        <f t="shared" si="2"/>
        <v>CRÍTICO</v>
      </c>
      <c r="K14" s="124">
        <f t="shared" si="3"/>
        <v>0</v>
      </c>
      <c r="L14" s="195" t="str">
        <f t="shared" si="4"/>
        <v>NO CONFORME</v>
      </c>
    </row>
    <row r="15">
      <c r="F15" s="195">
        <v>100.0</v>
      </c>
      <c r="G15" s="124">
        <f t="shared" si="1"/>
        <v>0</v>
      </c>
      <c r="H15" s="195" t="str">
        <f t="shared" si="2"/>
        <v>CRÍTICO</v>
      </c>
      <c r="K15" s="124">
        <f t="shared" si="3"/>
        <v>0</v>
      </c>
      <c r="L15" s="195" t="str">
        <f t="shared" si="4"/>
        <v>NO CONFORME</v>
      </c>
    </row>
    <row r="16">
      <c r="F16" s="195">
        <v>100.0</v>
      </c>
      <c r="G16" s="124">
        <f t="shared" si="1"/>
        <v>0</v>
      </c>
      <c r="H16" s="195" t="str">
        <f t="shared" si="2"/>
        <v>CRÍTICO</v>
      </c>
      <c r="K16" s="124">
        <f t="shared" si="3"/>
        <v>0</v>
      </c>
      <c r="L16" s="195" t="str">
        <f t="shared" si="4"/>
        <v>NO CONFORME</v>
      </c>
    </row>
    <row r="17">
      <c r="F17" s="195">
        <v>100.0</v>
      </c>
      <c r="G17" s="124">
        <f t="shared" si="1"/>
        <v>0</v>
      </c>
      <c r="H17" s="195" t="str">
        <f t="shared" si="2"/>
        <v>CRÍTICO</v>
      </c>
      <c r="K17" s="124">
        <f t="shared" si="3"/>
        <v>0</v>
      </c>
      <c r="L17" s="195" t="str">
        <f t="shared" si="4"/>
        <v>NO CONFORME</v>
      </c>
    </row>
    <row r="18">
      <c r="F18" s="195">
        <v>100.0</v>
      </c>
      <c r="G18" s="124">
        <f t="shared" si="1"/>
        <v>0</v>
      </c>
      <c r="H18" s="195" t="str">
        <f t="shared" si="2"/>
        <v>CRÍTICO</v>
      </c>
      <c r="K18" s="124">
        <f t="shared" si="3"/>
        <v>0</v>
      </c>
      <c r="L18" s="195" t="str">
        <f t="shared" si="4"/>
        <v>NO CONFORME</v>
      </c>
    </row>
    <row r="19">
      <c r="F19" s="195">
        <v>100.0</v>
      </c>
      <c r="G19" s="124">
        <f t="shared" si="1"/>
        <v>0</v>
      </c>
      <c r="H19" s="195" t="str">
        <f t="shared" si="2"/>
        <v>CRÍTICO</v>
      </c>
      <c r="K19" s="124">
        <f t="shared" si="3"/>
        <v>0</v>
      </c>
      <c r="L19" s="195" t="str">
        <f t="shared" si="4"/>
        <v>NO CONFORME</v>
      </c>
    </row>
    <row r="20">
      <c r="F20" s="195">
        <v>100.0</v>
      </c>
      <c r="G20" s="124">
        <f t="shared" si="1"/>
        <v>0</v>
      </c>
      <c r="H20" s="195" t="str">
        <f t="shared" si="2"/>
        <v>CRÍTICO</v>
      </c>
      <c r="K20" s="124">
        <f t="shared" si="3"/>
        <v>0</v>
      </c>
      <c r="L20" s="195" t="str">
        <f t="shared" si="4"/>
        <v>NO CONFORME</v>
      </c>
    </row>
    <row r="21" ht="15.75" customHeight="1">
      <c r="F21" s="195">
        <v>100.0</v>
      </c>
      <c r="G21" s="124">
        <f t="shared" si="1"/>
        <v>0</v>
      </c>
      <c r="H21" s="195" t="str">
        <f t="shared" si="2"/>
        <v>CRÍTICO</v>
      </c>
      <c r="K21" s="124">
        <f t="shared" si="3"/>
        <v>0</v>
      </c>
      <c r="L21" s="195" t="str">
        <f t="shared" si="4"/>
        <v>NO CONFORME</v>
      </c>
    </row>
    <row r="22" ht="15.75" customHeight="1">
      <c r="F22" s="195">
        <v>100.0</v>
      </c>
      <c r="G22" s="124">
        <f t="shared" si="1"/>
        <v>0</v>
      </c>
      <c r="H22" s="195" t="str">
        <f t="shared" si="2"/>
        <v>CRÍTICO</v>
      </c>
      <c r="K22" s="124">
        <f t="shared" si="3"/>
        <v>0</v>
      </c>
      <c r="L22" s="195" t="str">
        <f t="shared" si="4"/>
        <v>NO CONFORME</v>
      </c>
    </row>
    <row r="23" ht="15.75" customHeight="1">
      <c r="F23" s="195">
        <v>100.0</v>
      </c>
      <c r="G23" s="124">
        <f t="shared" si="1"/>
        <v>0</v>
      </c>
      <c r="H23" s="195" t="str">
        <f t="shared" si="2"/>
        <v>CRÍTICO</v>
      </c>
      <c r="K23" s="124">
        <f t="shared" si="3"/>
        <v>0</v>
      </c>
      <c r="L23" s="195" t="str">
        <f t="shared" si="4"/>
        <v>NO CONFORME</v>
      </c>
    </row>
    <row r="24" ht="15.75" customHeight="1">
      <c r="F24" s="195">
        <v>100.0</v>
      </c>
      <c r="G24" s="124">
        <f t="shared" si="1"/>
        <v>0</v>
      </c>
      <c r="H24" s="195" t="str">
        <f t="shared" si="2"/>
        <v>CRÍTICO</v>
      </c>
      <c r="K24" s="124">
        <f t="shared" si="3"/>
        <v>0</v>
      </c>
      <c r="L24" s="195" t="str">
        <f t="shared" si="4"/>
        <v>NO CONFORME</v>
      </c>
    </row>
    <row r="25" ht="15.75" customHeight="1">
      <c r="F25" s="195">
        <v>100.0</v>
      </c>
      <c r="G25" s="124">
        <f t="shared" si="1"/>
        <v>0</v>
      </c>
      <c r="H25" s="195" t="str">
        <f t="shared" si="2"/>
        <v>CRÍTICO</v>
      </c>
      <c r="K25" s="124">
        <f t="shared" si="3"/>
        <v>0</v>
      </c>
      <c r="L25" s="195" t="str">
        <f t="shared" si="4"/>
        <v>NO CONFORME</v>
      </c>
    </row>
    <row r="26" ht="15.75" customHeight="1">
      <c r="F26" s="195">
        <v>100.0</v>
      </c>
      <c r="G26" s="124">
        <f t="shared" si="1"/>
        <v>0</v>
      </c>
      <c r="H26" s="195" t="str">
        <f t="shared" si="2"/>
        <v>CRÍTICO</v>
      </c>
      <c r="K26" s="124">
        <f t="shared" si="3"/>
        <v>0</v>
      </c>
      <c r="L26" s="195" t="str">
        <f t="shared" si="4"/>
        <v>NO CONFORME</v>
      </c>
    </row>
    <row r="27" ht="15.75" customHeight="1">
      <c r="F27" s="195">
        <v>100.0</v>
      </c>
      <c r="G27" s="124">
        <f t="shared" si="1"/>
        <v>0</v>
      </c>
      <c r="H27" s="195" t="str">
        <f t="shared" si="2"/>
        <v>CRÍTICO</v>
      </c>
      <c r="K27" s="124">
        <f t="shared" si="3"/>
        <v>0</v>
      </c>
      <c r="L27" s="195" t="str">
        <f t="shared" si="4"/>
        <v>NO CONFORME</v>
      </c>
    </row>
    <row r="28" ht="15.75" customHeight="1">
      <c r="F28" s="195">
        <v>100.0</v>
      </c>
      <c r="G28" s="124">
        <f t="shared" si="1"/>
        <v>0</v>
      </c>
      <c r="H28" s="195" t="str">
        <f t="shared" si="2"/>
        <v>CRÍTICO</v>
      </c>
      <c r="K28" s="124">
        <f t="shared" si="3"/>
        <v>0</v>
      </c>
      <c r="L28" s="195" t="str">
        <f t="shared" si="4"/>
        <v>NO CONFORME</v>
      </c>
    </row>
    <row r="29" ht="15.75" customHeight="1">
      <c r="F29" s="195">
        <v>100.0</v>
      </c>
      <c r="G29" s="124">
        <f t="shared" si="1"/>
        <v>0</v>
      </c>
      <c r="H29" s="195" t="str">
        <f t="shared" si="2"/>
        <v>CRÍTICO</v>
      </c>
      <c r="K29" s="124">
        <f t="shared" si="3"/>
        <v>0</v>
      </c>
      <c r="L29" s="195" t="str">
        <f t="shared" si="4"/>
        <v>NO CONFORME</v>
      </c>
    </row>
    <row r="30" ht="15.75" customHeight="1">
      <c r="F30" s="195">
        <v>100.0</v>
      </c>
      <c r="G30" s="124">
        <f t="shared" si="1"/>
        <v>0</v>
      </c>
      <c r="H30" s="195" t="str">
        <f t="shared" si="2"/>
        <v>CRÍTICO</v>
      </c>
      <c r="K30" s="124">
        <f t="shared" si="3"/>
        <v>0</v>
      </c>
      <c r="L30" s="195" t="str">
        <f t="shared" si="4"/>
        <v>NO CONFORME</v>
      </c>
    </row>
    <row r="31" ht="15.75" customHeight="1">
      <c r="F31" s="195">
        <v>100.0</v>
      </c>
      <c r="G31" s="124">
        <f t="shared" si="1"/>
        <v>0</v>
      </c>
      <c r="H31" s="195" t="str">
        <f t="shared" si="2"/>
        <v>CRÍTICO</v>
      </c>
      <c r="K31" s="124">
        <f t="shared" si="3"/>
        <v>0</v>
      </c>
      <c r="L31" s="195" t="str">
        <f t="shared" si="4"/>
        <v>NO CONFORME</v>
      </c>
    </row>
    <row r="32" ht="15.75" customHeight="1">
      <c r="F32" s="195">
        <v>100.0</v>
      </c>
      <c r="G32" s="124">
        <f t="shared" si="1"/>
        <v>0</v>
      </c>
      <c r="H32" s="195" t="str">
        <f t="shared" si="2"/>
        <v>CRÍTICO</v>
      </c>
      <c r="K32" s="124">
        <f t="shared" si="3"/>
        <v>0</v>
      </c>
      <c r="L32" s="195" t="str">
        <f t="shared" si="4"/>
        <v>NO CONFORME</v>
      </c>
    </row>
    <row r="33" ht="15.75" customHeight="1">
      <c r="F33" s="195">
        <v>100.0</v>
      </c>
      <c r="G33" s="124">
        <f t="shared" si="1"/>
        <v>0</v>
      </c>
      <c r="H33" s="195" t="str">
        <f t="shared" si="2"/>
        <v>CRÍTICO</v>
      </c>
      <c r="K33" s="124">
        <f t="shared" si="3"/>
        <v>0</v>
      </c>
      <c r="L33" s="195" t="str">
        <f t="shared" si="4"/>
        <v>NO CONFORME</v>
      </c>
    </row>
    <row r="34" ht="15.75" customHeight="1">
      <c r="F34" s="195">
        <v>100.0</v>
      </c>
      <c r="G34" s="124">
        <f t="shared" si="1"/>
        <v>0</v>
      </c>
      <c r="H34" s="195" t="str">
        <f t="shared" si="2"/>
        <v>CRÍTICO</v>
      </c>
      <c r="K34" s="124">
        <f t="shared" si="3"/>
        <v>0</v>
      </c>
      <c r="L34" s="195" t="str">
        <f t="shared" si="4"/>
        <v>NO CONFORME</v>
      </c>
    </row>
    <row r="35" ht="15.75" customHeight="1">
      <c r="F35" s="195">
        <v>100.0</v>
      </c>
      <c r="G35" s="124">
        <f t="shared" si="1"/>
        <v>0</v>
      </c>
      <c r="H35" s="195" t="str">
        <f t="shared" si="2"/>
        <v>CRÍTICO</v>
      </c>
      <c r="K35" s="124">
        <f t="shared" si="3"/>
        <v>0</v>
      </c>
      <c r="L35" s="195" t="str">
        <f t="shared" si="4"/>
        <v>NO CONFORME</v>
      </c>
    </row>
    <row r="36" ht="15.75" customHeight="1">
      <c r="F36" s="195">
        <v>100.0</v>
      </c>
      <c r="G36" s="124">
        <f t="shared" si="1"/>
        <v>0</v>
      </c>
      <c r="H36" s="195" t="str">
        <f t="shared" si="2"/>
        <v>CRÍTICO</v>
      </c>
      <c r="K36" s="124">
        <f t="shared" si="3"/>
        <v>0</v>
      </c>
      <c r="L36" s="195" t="str">
        <f t="shared" si="4"/>
        <v>NO CONFORME</v>
      </c>
    </row>
    <row r="37" ht="15.75" customHeight="1">
      <c r="F37" s="195">
        <v>100.0</v>
      </c>
      <c r="G37" s="124">
        <f t="shared" si="1"/>
        <v>0</v>
      </c>
      <c r="H37" s="195" t="str">
        <f t="shared" si="2"/>
        <v>CRÍTICO</v>
      </c>
      <c r="K37" s="124">
        <f t="shared" si="3"/>
        <v>0</v>
      </c>
      <c r="L37" s="195" t="str">
        <f t="shared" si="4"/>
        <v>NO CONFORME</v>
      </c>
    </row>
    <row r="38" ht="15.75" customHeight="1">
      <c r="F38" s="195">
        <v>100.0</v>
      </c>
      <c r="G38" s="124">
        <f t="shared" si="1"/>
        <v>0</v>
      </c>
      <c r="H38" s="195" t="str">
        <f t="shared" si="2"/>
        <v>CRÍTICO</v>
      </c>
      <c r="K38" s="124">
        <f t="shared" si="3"/>
        <v>0</v>
      </c>
      <c r="L38" s="195" t="str">
        <f t="shared" si="4"/>
        <v>NO CONFORME</v>
      </c>
    </row>
    <row r="39" ht="15.75" customHeight="1">
      <c r="F39" s="195">
        <v>100.0</v>
      </c>
      <c r="G39" s="124">
        <f t="shared" si="1"/>
        <v>0</v>
      </c>
      <c r="H39" s="195" t="str">
        <f t="shared" si="2"/>
        <v>CRÍTICO</v>
      </c>
      <c r="K39" s="124">
        <f t="shared" si="3"/>
        <v>0</v>
      </c>
      <c r="L39" s="195" t="str">
        <f t="shared" si="4"/>
        <v>NO CONFORME</v>
      </c>
    </row>
    <row r="40" ht="15.75" customHeight="1">
      <c r="F40" s="195">
        <v>100.0</v>
      </c>
      <c r="G40" s="124">
        <f t="shared" si="1"/>
        <v>0</v>
      </c>
      <c r="H40" s="195" t="str">
        <f t="shared" si="2"/>
        <v>CRÍTICO</v>
      </c>
      <c r="K40" s="124">
        <f t="shared" si="3"/>
        <v>0</v>
      </c>
      <c r="L40" s="195" t="str">
        <f t="shared" si="4"/>
        <v>NO CONFORME</v>
      </c>
    </row>
    <row r="41" ht="15.75" customHeight="1">
      <c r="F41" s="195">
        <v>100.0</v>
      </c>
      <c r="G41" s="124">
        <f t="shared" si="1"/>
        <v>0</v>
      </c>
      <c r="H41" s="195" t="str">
        <f t="shared" si="2"/>
        <v>CRÍTICO</v>
      </c>
      <c r="K41" s="124">
        <f t="shared" si="3"/>
        <v>0</v>
      </c>
      <c r="L41" s="195" t="str">
        <f t="shared" si="4"/>
        <v>NO CONFORME</v>
      </c>
    </row>
    <row r="42" ht="15.75" customHeight="1">
      <c r="F42" s="195">
        <v>100.0</v>
      </c>
      <c r="G42" s="124">
        <f t="shared" si="1"/>
        <v>0</v>
      </c>
      <c r="H42" s="195" t="str">
        <f t="shared" si="2"/>
        <v>CRÍTICO</v>
      </c>
      <c r="K42" s="124">
        <f t="shared" si="3"/>
        <v>0</v>
      </c>
      <c r="L42" s="195" t="str">
        <f t="shared" si="4"/>
        <v>NO CONFORME</v>
      </c>
    </row>
    <row r="43" ht="15.75" customHeight="1">
      <c r="F43" s="195">
        <v>100.0</v>
      </c>
      <c r="G43" s="124">
        <f t="shared" si="1"/>
        <v>0</v>
      </c>
      <c r="H43" s="195" t="str">
        <f t="shared" si="2"/>
        <v>CRÍTICO</v>
      </c>
      <c r="K43" s="124">
        <f t="shared" si="3"/>
        <v>0</v>
      </c>
      <c r="L43" s="195" t="str">
        <f t="shared" si="4"/>
        <v>NO CONFORME</v>
      </c>
    </row>
    <row r="44" ht="15.75" customHeight="1">
      <c r="F44" s="195">
        <v>100.0</v>
      </c>
      <c r="G44" s="124">
        <f t="shared" si="1"/>
        <v>0</v>
      </c>
      <c r="H44" s="195" t="str">
        <f t="shared" si="2"/>
        <v>CRÍTICO</v>
      </c>
      <c r="K44" s="124">
        <f t="shared" si="3"/>
        <v>0</v>
      </c>
      <c r="L44" s="195" t="str">
        <f t="shared" si="4"/>
        <v>NO CONFORME</v>
      </c>
    </row>
    <row r="45" ht="15.75" customHeight="1">
      <c r="F45" s="195">
        <v>100.0</v>
      </c>
      <c r="G45" s="124">
        <f t="shared" si="1"/>
        <v>0</v>
      </c>
      <c r="H45" s="195" t="str">
        <f t="shared" si="2"/>
        <v>CRÍTICO</v>
      </c>
      <c r="K45" s="124">
        <f t="shared" si="3"/>
        <v>0</v>
      </c>
      <c r="L45" s="195" t="str">
        <f t="shared" si="4"/>
        <v>NO CONFORME</v>
      </c>
    </row>
    <row r="46" ht="15.75" customHeight="1">
      <c r="F46" s="195">
        <v>100.0</v>
      </c>
      <c r="G46" s="124">
        <f t="shared" si="1"/>
        <v>0</v>
      </c>
      <c r="H46" s="195" t="str">
        <f t="shared" si="2"/>
        <v>CRÍTICO</v>
      </c>
      <c r="K46" s="124">
        <f t="shared" si="3"/>
        <v>0</v>
      </c>
      <c r="L46" s="195" t="str">
        <f t="shared" si="4"/>
        <v>NO CONFORME</v>
      </c>
    </row>
    <row r="47" ht="15.75" customHeight="1">
      <c r="F47" s="195">
        <v>100.0</v>
      </c>
      <c r="G47" s="124">
        <f t="shared" si="1"/>
        <v>0</v>
      </c>
      <c r="H47" s="195" t="str">
        <f t="shared" si="2"/>
        <v>CRÍTICO</v>
      </c>
      <c r="K47" s="124">
        <f t="shared" si="3"/>
        <v>0</v>
      </c>
      <c r="L47" s="195" t="str">
        <f t="shared" si="4"/>
        <v>NO CONFORME</v>
      </c>
    </row>
    <row r="48" ht="15.75" customHeight="1">
      <c r="F48" s="195">
        <v>100.0</v>
      </c>
      <c r="G48" s="124">
        <f t="shared" si="1"/>
        <v>0</v>
      </c>
      <c r="H48" s="195" t="str">
        <f t="shared" si="2"/>
        <v>CRÍTICO</v>
      </c>
      <c r="K48" s="124">
        <f t="shared" si="3"/>
        <v>0</v>
      </c>
      <c r="L48" s="195" t="str">
        <f t="shared" si="4"/>
        <v>NO CONFORME</v>
      </c>
    </row>
    <row r="49" ht="15.75" customHeight="1">
      <c r="F49" s="195">
        <v>100.0</v>
      </c>
      <c r="G49" s="124">
        <f t="shared" si="1"/>
        <v>0</v>
      </c>
      <c r="H49" s="195" t="str">
        <f t="shared" si="2"/>
        <v>CRÍTICO</v>
      </c>
      <c r="K49" s="124">
        <f t="shared" si="3"/>
        <v>0</v>
      </c>
      <c r="L49" s="195" t="str">
        <f t="shared" si="4"/>
        <v>NO CONFORME</v>
      </c>
    </row>
    <row r="50" ht="15.75" customHeight="1">
      <c r="F50" s="195">
        <v>100.0</v>
      </c>
      <c r="G50" s="124">
        <f t="shared" si="1"/>
        <v>0</v>
      </c>
      <c r="H50" s="195" t="str">
        <f t="shared" si="2"/>
        <v>CRÍTICO</v>
      </c>
      <c r="K50" s="124">
        <f t="shared" si="3"/>
        <v>0</v>
      </c>
      <c r="L50" s="195" t="str">
        <f t="shared" si="4"/>
        <v>NO CONFORME</v>
      </c>
    </row>
    <row r="51" ht="15.75" customHeight="1">
      <c r="F51" s="195">
        <v>100.0</v>
      </c>
      <c r="G51" s="124">
        <f t="shared" si="1"/>
        <v>0</v>
      </c>
      <c r="H51" s="195" t="str">
        <f t="shared" si="2"/>
        <v>CRÍTICO</v>
      </c>
      <c r="K51" s="124">
        <f t="shared" si="3"/>
        <v>0</v>
      </c>
      <c r="L51" s="195" t="str">
        <f t="shared" si="4"/>
        <v>NO CONFORME</v>
      </c>
    </row>
    <row r="52" ht="15.75" customHeight="1">
      <c r="F52" s="195">
        <v>100.0</v>
      </c>
      <c r="G52" s="124">
        <f t="shared" si="1"/>
        <v>0</v>
      </c>
      <c r="H52" s="195" t="str">
        <f t="shared" si="2"/>
        <v>CRÍTICO</v>
      </c>
      <c r="K52" s="124">
        <f t="shared" si="3"/>
        <v>0</v>
      </c>
      <c r="L52" s="195" t="str">
        <f t="shared" si="4"/>
        <v>NO CONFORME</v>
      </c>
    </row>
    <row r="53" ht="15.75" customHeight="1">
      <c r="F53" s="195">
        <v>100.0</v>
      </c>
      <c r="G53" s="124">
        <f t="shared" si="1"/>
        <v>0</v>
      </c>
      <c r="H53" s="195" t="str">
        <f t="shared" si="2"/>
        <v>CRÍTICO</v>
      </c>
      <c r="K53" s="124">
        <f t="shared" si="3"/>
        <v>0</v>
      </c>
      <c r="L53" s="195" t="str">
        <f t="shared" si="4"/>
        <v>NO CONFORME</v>
      </c>
    </row>
    <row r="54" ht="15.75" customHeight="1">
      <c r="F54" s="195">
        <v>100.0</v>
      </c>
      <c r="G54" s="124">
        <f t="shared" si="1"/>
        <v>0</v>
      </c>
      <c r="H54" s="195" t="str">
        <f t="shared" si="2"/>
        <v>CRÍTICO</v>
      </c>
      <c r="K54" s="124">
        <f t="shared" si="3"/>
        <v>0</v>
      </c>
      <c r="L54" s="195" t="str">
        <f t="shared" si="4"/>
        <v>NO CONFORME</v>
      </c>
    </row>
    <row r="55" ht="15.75" customHeight="1">
      <c r="F55" s="195">
        <v>100.0</v>
      </c>
      <c r="G55" s="124">
        <f t="shared" si="1"/>
        <v>0</v>
      </c>
      <c r="H55" s="195" t="str">
        <f t="shared" si="2"/>
        <v>CRÍTICO</v>
      </c>
      <c r="K55" s="124">
        <f t="shared" si="3"/>
        <v>0</v>
      </c>
      <c r="L55" s="195" t="str">
        <f t="shared" si="4"/>
        <v>NO CONFORME</v>
      </c>
    </row>
    <row r="56" ht="15.75" customHeight="1">
      <c r="F56" s="195">
        <v>100.0</v>
      </c>
      <c r="G56" s="124">
        <f t="shared" si="1"/>
        <v>0</v>
      </c>
      <c r="H56" s="195" t="str">
        <f t="shared" si="2"/>
        <v>CRÍTICO</v>
      </c>
      <c r="K56" s="124">
        <f t="shared" si="3"/>
        <v>0</v>
      </c>
      <c r="L56" s="195" t="str">
        <f t="shared" si="4"/>
        <v>NO CONFORME</v>
      </c>
    </row>
    <row r="57" ht="15.75" customHeight="1">
      <c r="F57" s="195">
        <v>100.0</v>
      </c>
      <c r="G57" s="124">
        <f t="shared" si="1"/>
        <v>0</v>
      </c>
      <c r="H57" s="195" t="str">
        <f t="shared" si="2"/>
        <v>CRÍTICO</v>
      </c>
      <c r="K57" s="124">
        <f t="shared" si="3"/>
        <v>0</v>
      </c>
      <c r="L57" s="195" t="str">
        <f t="shared" si="4"/>
        <v>NO CONFORME</v>
      </c>
    </row>
    <row r="58" ht="15.75" customHeight="1">
      <c r="F58" s="195">
        <v>100.0</v>
      </c>
      <c r="G58" s="124">
        <f t="shared" si="1"/>
        <v>0</v>
      </c>
      <c r="H58" s="195" t="str">
        <f t="shared" si="2"/>
        <v>CRÍTICO</v>
      </c>
      <c r="K58" s="124">
        <f t="shared" si="3"/>
        <v>0</v>
      </c>
      <c r="L58" s="195" t="str">
        <f t="shared" si="4"/>
        <v>NO CONFORME</v>
      </c>
    </row>
    <row r="59" ht="15.75" customHeight="1">
      <c r="F59" s="195">
        <v>100.0</v>
      </c>
      <c r="G59" s="124">
        <f t="shared" si="1"/>
        <v>0</v>
      </c>
      <c r="H59" s="195" t="str">
        <f t="shared" si="2"/>
        <v>CRÍTICO</v>
      </c>
      <c r="K59" s="124">
        <f t="shared" si="3"/>
        <v>0</v>
      </c>
      <c r="L59" s="195" t="str">
        <f t="shared" si="4"/>
        <v>NO CONFORME</v>
      </c>
    </row>
    <row r="60" ht="15.75" customHeight="1">
      <c r="F60" s="195">
        <v>100.0</v>
      </c>
      <c r="G60" s="124">
        <f t="shared" si="1"/>
        <v>0</v>
      </c>
      <c r="H60" s="195" t="str">
        <f t="shared" si="2"/>
        <v>CRÍTICO</v>
      </c>
      <c r="K60" s="124">
        <f t="shared" si="3"/>
        <v>0</v>
      </c>
      <c r="L60" s="195" t="str">
        <f t="shared" si="4"/>
        <v>NO CONFORME</v>
      </c>
    </row>
    <row r="61" ht="15.75" customHeight="1">
      <c r="F61" s="195">
        <v>100.0</v>
      </c>
      <c r="G61" s="124">
        <f t="shared" si="1"/>
        <v>0</v>
      </c>
      <c r="H61" s="195" t="str">
        <f t="shared" si="2"/>
        <v>CRÍTICO</v>
      </c>
      <c r="K61" s="124">
        <f t="shared" si="3"/>
        <v>0</v>
      </c>
      <c r="L61" s="195" t="str">
        <f t="shared" si="4"/>
        <v>NO CONFORME</v>
      </c>
    </row>
    <row r="62" ht="15.75" customHeight="1">
      <c r="F62" s="195">
        <v>100.0</v>
      </c>
      <c r="G62" s="124">
        <f t="shared" si="1"/>
        <v>0</v>
      </c>
      <c r="H62" s="195" t="str">
        <f t="shared" si="2"/>
        <v>CRÍTICO</v>
      </c>
      <c r="K62" s="124">
        <f t="shared" si="3"/>
        <v>0</v>
      </c>
      <c r="L62" s="195" t="str">
        <f t="shared" si="4"/>
        <v>NO CONFORME</v>
      </c>
    </row>
    <row r="63" ht="15.75" customHeight="1">
      <c r="F63" s="195">
        <v>100.0</v>
      </c>
      <c r="G63" s="124">
        <f t="shared" si="1"/>
        <v>0</v>
      </c>
      <c r="H63" s="195" t="str">
        <f t="shared" si="2"/>
        <v>CRÍTICO</v>
      </c>
      <c r="K63" s="124">
        <f t="shared" si="3"/>
        <v>0</v>
      </c>
      <c r="L63" s="195" t="str">
        <f t="shared" si="4"/>
        <v>NO CONFORME</v>
      </c>
    </row>
    <row r="64" ht="15.75" customHeight="1">
      <c r="F64" s="195">
        <v>100.0</v>
      </c>
      <c r="G64" s="124">
        <f t="shared" si="1"/>
        <v>0</v>
      </c>
      <c r="H64" s="195" t="str">
        <f t="shared" si="2"/>
        <v>CRÍTICO</v>
      </c>
      <c r="K64" s="124">
        <f t="shared" si="3"/>
        <v>0</v>
      </c>
      <c r="L64" s="195" t="str">
        <f t="shared" si="4"/>
        <v>NO CONFORME</v>
      </c>
    </row>
    <row r="65" ht="15.75" customHeight="1">
      <c r="F65" s="195">
        <v>100.0</v>
      </c>
      <c r="G65" s="124">
        <f t="shared" si="1"/>
        <v>0</v>
      </c>
      <c r="H65" s="195" t="str">
        <f t="shared" si="2"/>
        <v>CRÍTICO</v>
      </c>
      <c r="K65" s="124">
        <f t="shared" si="3"/>
        <v>0</v>
      </c>
      <c r="L65" s="195" t="str">
        <f t="shared" si="4"/>
        <v>NO CONFORME</v>
      </c>
    </row>
    <row r="66" ht="15.75" customHeight="1">
      <c r="F66" s="195">
        <v>100.0</v>
      </c>
      <c r="G66" s="124">
        <f t="shared" si="1"/>
        <v>0</v>
      </c>
      <c r="H66" s="195" t="str">
        <f t="shared" si="2"/>
        <v>CRÍTICO</v>
      </c>
      <c r="K66" s="124">
        <f t="shared" si="3"/>
        <v>0</v>
      </c>
      <c r="L66" s="195" t="str">
        <f t="shared" si="4"/>
        <v>NO CONFORME</v>
      </c>
    </row>
    <row r="67" ht="15.75" customHeight="1">
      <c r="F67" s="195">
        <v>100.0</v>
      </c>
      <c r="G67" s="124">
        <f t="shared" si="1"/>
        <v>0</v>
      </c>
      <c r="H67" s="195" t="str">
        <f t="shared" si="2"/>
        <v>CRÍTICO</v>
      </c>
      <c r="K67" s="124">
        <f t="shared" si="3"/>
        <v>0</v>
      </c>
      <c r="L67" s="195" t="str">
        <f t="shared" si="4"/>
        <v>NO CONFORME</v>
      </c>
    </row>
    <row r="68" ht="15.75" customHeight="1">
      <c r="F68" s="195">
        <v>100.0</v>
      </c>
      <c r="G68" s="124">
        <f t="shared" si="1"/>
        <v>0</v>
      </c>
      <c r="H68" s="195" t="str">
        <f t="shared" si="2"/>
        <v>CRÍTICO</v>
      </c>
      <c r="K68" s="124">
        <f t="shared" si="3"/>
        <v>0</v>
      </c>
      <c r="L68" s="195" t="str">
        <f t="shared" si="4"/>
        <v>NO CONFORME</v>
      </c>
    </row>
    <row r="69" ht="15.75" customHeight="1">
      <c r="F69" s="195">
        <v>100.0</v>
      </c>
      <c r="G69" s="124">
        <f t="shared" si="1"/>
        <v>0</v>
      </c>
      <c r="H69" s="195" t="str">
        <f t="shared" si="2"/>
        <v>CRÍTICO</v>
      </c>
      <c r="K69" s="124">
        <f t="shared" si="3"/>
        <v>0</v>
      </c>
      <c r="L69" s="195" t="str">
        <f t="shared" si="4"/>
        <v>NO CONFORME</v>
      </c>
    </row>
    <row r="70" ht="15.75" customHeight="1">
      <c r="F70" s="195">
        <v>100.0</v>
      </c>
      <c r="G70" s="124">
        <f t="shared" si="1"/>
        <v>0</v>
      </c>
      <c r="H70" s="195" t="str">
        <f t="shared" si="2"/>
        <v>CRÍTICO</v>
      </c>
      <c r="K70" s="124">
        <f t="shared" si="3"/>
        <v>0</v>
      </c>
      <c r="L70" s="195" t="str">
        <f t="shared" si="4"/>
        <v>NO CONFORME</v>
      </c>
    </row>
    <row r="71" ht="15.75" customHeight="1">
      <c r="F71" s="195">
        <v>100.0</v>
      </c>
      <c r="G71" s="124">
        <f t="shared" si="1"/>
        <v>0</v>
      </c>
      <c r="H71" s="195" t="str">
        <f t="shared" si="2"/>
        <v>CRÍTICO</v>
      </c>
      <c r="K71" s="124">
        <f t="shared" si="3"/>
        <v>0</v>
      </c>
      <c r="L71" s="195" t="str">
        <f t="shared" si="4"/>
        <v>NO CONFORME</v>
      </c>
    </row>
    <row r="72" ht="15.75" customHeight="1">
      <c r="F72" s="195">
        <v>100.0</v>
      </c>
      <c r="G72" s="124">
        <f t="shared" si="1"/>
        <v>0</v>
      </c>
      <c r="H72" s="195" t="str">
        <f t="shared" si="2"/>
        <v>CRÍTICO</v>
      </c>
      <c r="K72" s="124">
        <f t="shared" si="3"/>
        <v>0</v>
      </c>
      <c r="L72" s="195" t="str">
        <f t="shared" si="4"/>
        <v>NO CONFORME</v>
      </c>
    </row>
    <row r="73" ht="15.75" customHeight="1">
      <c r="F73" s="195">
        <v>100.0</v>
      </c>
      <c r="G73" s="124">
        <f t="shared" si="1"/>
        <v>0</v>
      </c>
      <c r="H73" s="195" t="str">
        <f t="shared" si="2"/>
        <v>CRÍTICO</v>
      </c>
      <c r="K73" s="124">
        <f t="shared" si="3"/>
        <v>0</v>
      </c>
      <c r="L73" s="195" t="str">
        <f t="shared" si="4"/>
        <v>NO CONFORME</v>
      </c>
    </row>
    <row r="74" ht="15.75" customHeight="1">
      <c r="F74" s="195">
        <v>100.0</v>
      </c>
      <c r="G74" s="124">
        <f t="shared" si="1"/>
        <v>0</v>
      </c>
      <c r="H74" s="195" t="str">
        <f t="shared" si="2"/>
        <v>CRÍTICO</v>
      </c>
      <c r="K74" s="124">
        <f t="shared" si="3"/>
        <v>0</v>
      </c>
      <c r="L74" s="195" t="str">
        <f t="shared" si="4"/>
        <v>NO CONFORME</v>
      </c>
    </row>
    <row r="75" ht="15.75" customHeight="1">
      <c r="F75" s="195">
        <v>100.0</v>
      </c>
      <c r="G75" s="124">
        <f t="shared" si="1"/>
        <v>0</v>
      </c>
      <c r="H75" s="195" t="str">
        <f t="shared" si="2"/>
        <v>CRÍTICO</v>
      </c>
      <c r="K75" s="124">
        <f t="shared" si="3"/>
        <v>0</v>
      </c>
      <c r="L75" s="195" t="str">
        <f t="shared" si="4"/>
        <v>NO CONFORME</v>
      </c>
    </row>
    <row r="76" ht="15.75" customHeight="1">
      <c r="F76" s="195">
        <v>100.0</v>
      </c>
      <c r="G76" s="124">
        <f t="shared" si="1"/>
        <v>0</v>
      </c>
      <c r="H76" s="195" t="str">
        <f t="shared" si="2"/>
        <v>CRÍTICO</v>
      </c>
      <c r="K76" s="124">
        <f t="shared" si="3"/>
        <v>0</v>
      </c>
      <c r="L76" s="195" t="str">
        <f t="shared" si="4"/>
        <v>NO CONFORME</v>
      </c>
    </row>
    <row r="77" ht="15.75" customHeight="1">
      <c r="F77" s="195">
        <v>100.0</v>
      </c>
      <c r="G77" s="124">
        <f t="shared" si="1"/>
        <v>0</v>
      </c>
      <c r="H77" s="195" t="str">
        <f t="shared" si="2"/>
        <v>CRÍTICO</v>
      </c>
      <c r="K77" s="124">
        <f t="shared" si="3"/>
        <v>0</v>
      </c>
      <c r="L77" s="195" t="str">
        <f t="shared" si="4"/>
        <v>NO CONFORME</v>
      </c>
    </row>
    <row r="78" ht="15.75" customHeight="1">
      <c r="F78" s="195">
        <v>100.0</v>
      </c>
      <c r="G78" s="124">
        <f t="shared" si="1"/>
        <v>0</v>
      </c>
      <c r="H78" s="195" t="str">
        <f t="shared" si="2"/>
        <v>CRÍTICO</v>
      </c>
      <c r="K78" s="124">
        <f t="shared" si="3"/>
        <v>0</v>
      </c>
      <c r="L78" s="195" t="str">
        <f t="shared" si="4"/>
        <v>NO CONFORME</v>
      </c>
    </row>
    <row r="79" ht="15.75" customHeight="1">
      <c r="F79" s="195">
        <v>100.0</v>
      </c>
      <c r="G79" s="124">
        <f t="shared" si="1"/>
        <v>0</v>
      </c>
      <c r="H79" s="195" t="str">
        <f t="shared" si="2"/>
        <v>CRÍTICO</v>
      </c>
      <c r="K79" s="124">
        <f t="shared" si="3"/>
        <v>0</v>
      </c>
      <c r="L79" s="195" t="str">
        <f t="shared" si="4"/>
        <v>NO CONFORME</v>
      </c>
    </row>
    <row r="80" ht="15.75" customHeight="1">
      <c r="F80" s="195">
        <v>100.0</v>
      </c>
      <c r="G80" s="124">
        <f t="shared" si="1"/>
        <v>0</v>
      </c>
      <c r="H80" s="195" t="str">
        <f t="shared" si="2"/>
        <v>CRÍTICO</v>
      </c>
      <c r="K80" s="124">
        <f t="shared" si="3"/>
        <v>0</v>
      </c>
      <c r="L80" s="195" t="str">
        <f t="shared" si="4"/>
        <v>NO CONFORME</v>
      </c>
    </row>
    <row r="81" ht="15.75" customHeight="1">
      <c r="F81" s="195">
        <v>100.0</v>
      </c>
      <c r="G81" s="124">
        <f t="shared" si="1"/>
        <v>0</v>
      </c>
      <c r="H81" s="195" t="str">
        <f t="shared" si="2"/>
        <v>CRÍTICO</v>
      </c>
      <c r="K81" s="124">
        <f t="shared" si="3"/>
        <v>0</v>
      </c>
      <c r="L81" s="195" t="str">
        <f t="shared" si="4"/>
        <v>NO CONFORME</v>
      </c>
    </row>
    <row r="82" ht="15.75" customHeight="1">
      <c r="F82" s="195">
        <v>100.0</v>
      </c>
      <c r="G82" s="124">
        <f t="shared" si="1"/>
        <v>0</v>
      </c>
      <c r="H82" s="195" t="str">
        <f t="shared" si="2"/>
        <v>CRÍTICO</v>
      </c>
      <c r="K82" s="124">
        <f t="shared" si="3"/>
        <v>0</v>
      </c>
      <c r="L82" s="195" t="str">
        <f t="shared" si="4"/>
        <v>NO CONFORME</v>
      </c>
    </row>
    <row r="83" ht="15.75" customHeight="1">
      <c r="F83" s="195">
        <v>100.0</v>
      </c>
      <c r="G83" s="124">
        <f t="shared" si="1"/>
        <v>0</v>
      </c>
      <c r="H83" s="195" t="str">
        <f t="shared" si="2"/>
        <v>CRÍTICO</v>
      </c>
      <c r="K83" s="124">
        <f t="shared" si="3"/>
        <v>0</v>
      </c>
      <c r="L83" s="195" t="str">
        <f t="shared" si="4"/>
        <v>NO CONFORME</v>
      </c>
    </row>
    <row r="84" ht="15.75" customHeight="1">
      <c r="F84" s="195">
        <v>100.0</v>
      </c>
      <c r="G84" s="124">
        <f t="shared" si="1"/>
        <v>0</v>
      </c>
      <c r="H84" s="195" t="str">
        <f t="shared" si="2"/>
        <v>CRÍTICO</v>
      </c>
      <c r="K84" s="124">
        <f t="shared" si="3"/>
        <v>0</v>
      </c>
      <c r="L84" s="195" t="str">
        <f t="shared" si="4"/>
        <v>NO CONFORME</v>
      </c>
    </row>
    <row r="85" ht="15.75" customHeight="1">
      <c r="F85" s="195">
        <v>100.0</v>
      </c>
      <c r="G85" s="124">
        <f t="shared" si="1"/>
        <v>0</v>
      </c>
      <c r="H85" s="195" t="str">
        <f t="shared" si="2"/>
        <v>CRÍTICO</v>
      </c>
      <c r="K85" s="124">
        <f t="shared" si="3"/>
        <v>0</v>
      </c>
      <c r="L85" s="195" t="str">
        <f t="shared" si="4"/>
        <v>NO CONFORME</v>
      </c>
    </row>
    <row r="86" ht="15.75" customHeight="1">
      <c r="F86" s="195">
        <v>100.0</v>
      </c>
      <c r="G86" s="124">
        <f t="shared" si="1"/>
        <v>0</v>
      </c>
      <c r="H86" s="195" t="str">
        <f t="shared" si="2"/>
        <v>CRÍTICO</v>
      </c>
      <c r="K86" s="124">
        <f t="shared" si="3"/>
        <v>0</v>
      </c>
      <c r="L86" s="195" t="str">
        <f t="shared" si="4"/>
        <v>NO CONFORME</v>
      </c>
    </row>
    <row r="87" ht="15.75" customHeight="1">
      <c r="F87" s="195">
        <v>100.0</v>
      </c>
      <c r="G87" s="124">
        <f t="shared" si="1"/>
        <v>0</v>
      </c>
      <c r="H87" s="195" t="str">
        <f t="shared" si="2"/>
        <v>CRÍTICO</v>
      </c>
      <c r="K87" s="124">
        <f t="shared" si="3"/>
        <v>0</v>
      </c>
      <c r="L87" s="195" t="str">
        <f t="shared" si="4"/>
        <v>NO CONFORME</v>
      </c>
    </row>
    <row r="88" ht="15.75" customHeight="1">
      <c r="F88" s="195">
        <v>100.0</v>
      </c>
      <c r="G88" s="124">
        <f t="shared" si="1"/>
        <v>0</v>
      </c>
      <c r="H88" s="195" t="str">
        <f t="shared" si="2"/>
        <v>CRÍTICO</v>
      </c>
      <c r="K88" s="124">
        <f t="shared" si="3"/>
        <v>0</v>
      </c>
      <c r="L88" s="195" t="str">
        <f t="shared" si="4"/>
        <v>NO CONFORME</v>
      </c>
    </row>
    <row r="89" ht="15.75" customHeight="1">
      <c r="F89" s="195">
        <v>100.0</v>
      </c>
      <c r="G89" s="124">
        <f t="shared" si="1"/>
        <v>0</v>
      </c>
      <c r="H89" s="195" t="str">
        <f t="shared" si="2"/>
        <v>CRÍTICO</v>
      </c>
      <c r="K89" s="124">
        <f t="shared" si="3"/>
        <v>0</v>
      </c>
      <c r="L89" s="195" t="str">
        <f t="shared" si="4"/>
        <v>NO CONFORME</v>
      </c>
    </row>
    <row r="90" ht="15.75" customHeight="1">
      <c r="F90" s="195">
        <v>100.0</v>
      </c>
      <c r="G90" s="124">
        <f t="shared" si="1"/>
        <v>0</v>
      </c>
      <c r="H90" s="195" t="str">
        <f t="shared" si="2"/>
        <v>CRÍTICO</v>
      </c>
      <c r="K90" s="124">
        <f t="shared" si="3"/>
        <v>0</v>
      </c>
      <c r="L90" s="195" t="str">
        <f t="shared" si="4"/>
        <v>NO CONFORME</v>
      </c>
    </row>
    <row r="91" ht="15.75" customHeight="1">
      <c r="F91" s="195">
        <v>100.0</v>
      </c>
      <c r="G91" s="124">
        <f t="shared" si="1"/>
        <v>0</v>
      </c>
      <c r="H91" s="195" t="str">
        <f t="shared" si="2"/>
        <v>CRÍTICO</v>
      </c>
      <c r="K91" s="124">
        <f t="shared" si="3"/>
        <v>0</v>
      </c>
      <c r="L91" s="195" t="str">
        <f t="shared" si="4"/>
        <v>NO CONFORME</v>
      </c>
    </row>
    <row r="92" ht="15.75" customHeight="1">
      <c r="F92" s="195">
        <v>100.0</v>
      </c>
      <c r="G92" s="124">
        <f t="shared" si="1"/>
        <v>0</v>
      </c>
      <c r="H92" s="195" t="str">
        <f t="shared" si="2"/>
        <v>CRÍTICO</v>
      </c>
      <c r="K92" s="124">
        <f t="shared" si="3"/>
        <v>0</v>
      </c>
      <c r="L92" s="195" t="str">
        <f t="shared" si="4"/>
        <v>NO CONFORME</v>
      </c>
    </row>
    <row r="93" ht="15.75" customHeight="1">
      <c r="F93" s="195">
        <v>100.0</v>
      </c>
      <c r="G93" s="124">
        <f t="shared" si="1"/>
        <v>0</v>
      </c>
      <c r="H93" s="195" t="str">
        <f t="shared" si="2"/>
        <v>CRÍTICO</v>
      </c>
      <c r="K93" s="124">
        <f t="shared" si="3"/>
        <v>0</v>
      </c>
      <c r="L93" s="195" t="str">
        <f t="shared" si="4"/>
        <v>NO CONFORME</v>
      </c>
    </row>
    <row r="94" ht="15.75" customHeight="1">
      <c r="F94" s="195">
        <v>100.0</v>
      </c>
      <c r="G94" s="124">
        <f t="shared" si="1"/>
        <v>0</v>
      </c>
      <c r="H94" s="195" t="str">
        <f t="shared" si="2"/>
        <v>CRÍTICO</v>
      </c>
      <c r="K94" s="124">
        <f t="shared" si="3"/>
        <v>0</v>
      </c>
      <c r="L94" s="195" t="str">
        <f t="shared" si="4"/>
        <v>NO CONFORME</v>
      </c>
    </row>
    <row r="95" ht="15.75" customHeight="1">
      <c r="F95" s="195">
        <v>100.0</v>
      </c>
      <c r="G95" s="124">
        <f t="shared" si="1"/>
        <v>0</v>
      </c>
      <c r="H95" s="195" t="str">
        <f t="shared" si="2"/>
        <v>CRÍTICO</v>
      </c>
      <c r="K95" s="124">
        <f t="shared" si="3"/>
        <v>0</v>
      </c>
      <c r="L95" s="195" t="str">
        <f t="shared" si="4"/>
        <v>NO CONFORME</v>
      </c>
    </row>
    <row r="96" ht="15.75" customHeight="1">
      <c r="F96" s="195">
        <v>100.0</v>
      </c>
      <c r="G96" s="124">
        <f t="shared" si="1"/>
        <v>0</v>
      </c>
      <c r="H96" s="195" t="str">
        <f t="shared" si="2"/>
        <v>CRÍTICO</v>
      </c>
      <c r="K96" s="124">
        <f t="shared" si="3"/>
        <v>0</v>
      </c>
      <c r="L96" s="195" t="str">
        <f t="shared" si="4"/>
        <v>NO CONFORME</v>
      </c>
    </row>
    <row r="97" ht="15.75" customHeight="1">
      <c r="F97" s="195">
        <v>100.0</v>
      </c>
      <c r="G97" s="124">
        <f t="shared" si="1"/>
        <v>0</v>
      </c>
      <c r="H97" s="195" t="str">
        <f t="shared" si="2"/>
        <v>CRÍTICO</v>
      </c>
      <c r="K97" s="124">
        <f t="shared" si="3"/>
        <v>0</v>
      </c>
      <c r="L97" s="195" t="str">
        <f t="shared" si="4"/>
        <v>NO CONFORME</v>
      </c>
    </row>
    <row r="98" ht="15.75" customHeight="1">
      <c r="F98" s="195">
        <v>100.0</v>
      </c>
      <c r="G98" s="124">
        <f t="shared" si="1"/>
        <v>0</v>
      </c>
      <c r="H98" s="195" t="str">
        <f t="shared" si="2"/>
        <v>CRÍTICO</v>
      </c>
      <c r="K98" s="124">
        <f t="shared" si="3"/>
        <v>0</v>
      </c>
      <c r="L98" s="195" t="str">
        <f t="shared" si="4"/>
        <v>NO CONFORME</v>
      </c>
    </row>
    <row r="99" ht="15.75" customHeight="1">
      <c r="F99" s="195">
        <v>100.0</v>
      </c>
      <c r="G99" s="124">
        <f t="shared" si="1"/>
        <v>0</v>
      </c>
      <c r="H99" s="195" t="str">
        <f t="shared" si="2"/>
        <v>CRÍTICO</v>
      </c>
      <c r="K99" s="124">
        <f t="shared" si="3"/>
        <v>0</v>
      </c>
      <c r="L99" s="195" t="str">
        <f t="shared" si="4"/>
        <v>NO CONFORME</v>
      </c>
    </row>
    <row r="100" ht="15.75" customHeight="1">
      <c r="F100" s="195">
        <v>100.0</v>
      </c>
      <c r="G100" s="124">
        <f t="shared" si="1"/>
        <v>0</v>
      </c>
      <c r="H100" s="195" t="str">
        <f t="shared" si="2"/>
        <v>CRÍTICO</v>
      </c>
      <c r="K100" s="124">
        <f t="shared" si="3"/>
        <v>0</v>
      </c>
      <c r="L100" s="195" t="str">
        <f t="shared" si="4"/>
        <v>NO CONFORME</v>
      </c>
    </row>
    <row r="101" ht="15.75" customHeight="1">
      <c r="F101" s="195">
        <v>100.0</v>
      </c>
      <c r="G101" s="124">
        <f t="shared" si="1"/>
        <v>0</v>
      </c>
      <c r="H101" s="195" t="str">
        <f t="shared" si="2"/>
        <v>CRÍTICO</v>
      </c>
      <c r="K101" s="124">
        <f t="shared" si="3"/>
        <v>0</v>
      </c>
      <c r="L101" s="195" t="str">
        <f t="shared" si="4"/>
        <v>NO CONFORME</v>
      </c>
    </row>
    <row r="102" ht="15.75" customHeight="1">
      <c r="F102" s="195">
        <v>100.0</v>
      </c>
      <c r="G102" s="124">
        <f t="shared" si="1"/>
        <v>0</v>
      </c>
      <c r="H102" s="195" t="str">
        <f t="shared" si="2"/>
        <v>CRÍTICO</v>
      </c>
      <c r="K102" s="124">
        <f t="shared" si="3"/>
        <v>0</v>
      </c>
      <c r="L102" s="195" t="str">
        <f t="shared" si="4"/>
        <v>NO CONFORME</v>
      </c>
    </row>
    <row r="103" ht="15.75" customHeight="1">
      <c r="F103" s="195">
        <v>100.0</v>
      </c>
      <c r="G103" s="124">
        <f t="shared" si="1"/>
        <v>0</v>
      </c>
      <c r="H103" s="195" t="str">
        <f t="shared" si="2"/>
        <v>CRÍTICO</v>
      </c>
      <c r="K103" s="124">
        <f t="shared" si="3"/>
        <v>0</v>
      </c>
      <c r="L103" s="195" t="str">
        <f t="shared" si="4"/>
        <v>NO CONFORME</v>
      </c>
    </row>
    <row r="104" ht="15.75" customHeight="1">
      <c r="F104" s="195">
        <v>100.0</v>
      </c>
      <c r="G104" s="124">
        <f t="shared" si="1"/>
        <v>0</v>
      </c>
      <c r="H104" s="195" t="str">
        <f t="shared" si="2"/>
        <v>CRÍTICO</v>
      </c>
      <c r="K104" s="124">
        <f t="shared" si="3"/>
        <v>0</v>
      </c>
      <c r="L104" s="195" t="str">
        <f t="shared" si="4"/>
        <v>NO CONFORME</v>
      </c>
    </row>
    <row r="105" ht="15.75" customHeight="1">
      <c r="F105" s="195">
        <v>100.0</v>
      </c>
      <c r="G105" s="124">
        <f t="shared" si="1"/>
        <v>0</v>
      </c>
      <c r="H105" s="195" t="str">
        <f t="shared" si="2"/>
        <v>CRÍTICO</v>
      </c>
      <c r="K105" s="124">
        <f t="shared" si="3"/>
        <v>0</v>
      </c>
      <c r="L105" s="195" t="str">
        <f t="shared" si="4"/>
        <v>NO CONFORME</v>
      </c>
    </row>
    <row r="106" ht="15.75" customHeight="1">
      <c r="F106" s="195">
        <v>100.0</v>
      </c>
      <c r="G106" s="124">
        <f t="shared" si="1"/>
        <v>0</v>
      </c>
      <c r="H106" s="195" t="str">
        <f t="shared" si="2"/>
        <v>CRÍTICO</v>
      </c>
      <c r="K106" s="124">
        <f t="shared" si="3"/>
        <v>0</v>
      </c>
      <c r="L106" s="195" t="str">
        <f t="shared" si="4"/>
        <v>NO CONFORME</v>
      </c>
    </row>
    <row r="107" ht="15.75" customHeight="1">
      <c r="F107" s="195">
        <v>100.0</v>
      </c>
      <c r="G107" s="124">
        <f t="shared" si="1"/>
        <v>0</v>
      </c>
      <c r="H107" s="195" t="str">
        <f t="shared" si="2"/>
        <v>CRÍTICO</v>
      </c>
      <c r="K107" s="124">
        <f t="shared" si="3"/>
        <v>0</v>
      </c>
      <c r="L107" s="195" t="str">
        <f t="shared" si="4"/>
        <v>NO CONFORME</v>
      </c>
    </row>
    <row r="108" ht="15.75" customHeight="1">
      <c r="F108" s="195">
        <v>100.0</v>
      </c>
      <c r="G108" s="124">
        <f t="shared" si="1"/>
        <v>0</v>
      </c>
      <c r="H108" s="195" t="str">
        <f t="shared" si="2"/>
        <v>CRÍTICO</v>
      </c>
      <c r="K108" s="124">
        <f t="shared" si="3"/>
        <v>0</v>
      </c>
      <c r="L108" s="195" t="str">
        <f t="shared" si="4"/>
        <v>NO CONFORME</v>
      </c>
    </row>
    <row r="109" ht="15.75" customHeight="1">
      <c r="F109" s="195">
        <v>100.0</v>
      </c>
      <c r="G109" s="124">
        <f t="shared" si="1"/>
        <v>0</v>
      </c>
      <c r="H109" s="195" t="str">
        <f t="shared" si="2"/>
        <v>CRÍTICO</v>
      </c>
      <c r="K109" s="124">
        <f t="shared" si="3"/>
        <v>0</v>
      </c>
      <c r="L109" s="195" t="str">
        <f t="shared" si="4"/>
        <v>NO CONFORME</v>
      </c>
    </row>
    <row r="110" ht="15.75" customHeight="1">
      <c r="F110" s="195">
        <v>100.0</v>
      </c>
      <c r="G110" s="124">
        <f t="shared" si="1"/>
        <v>0</v>
      </c>
      <c r="H110" s="195" t="str">
        <f t="shared" si="2"/>
        <v>CRÍTICO</v>
      </c>
      <c r="K110" s="124">
        <f t="shared" si="3"/>
        <v>0</v>
      </c>
      <c r="L110" s="195" t="str">
        <f t="shared" si="4"/>
        <v>NO CONFORME</v>
      </c>
    </row>
    <row r="111" ht="15.75" customHeight="1">
      <c r="F111" s="195">
        <v>100.0</v>
      </c>
      <c r="G111" s="124">
        <f t="shared" si="1"/>
        <v>0</v>
      </c>
      <c r="H111" s="195" t="str">
        <f t="shared" si="2"/>
        <v>CRÍTICO</v>
      </c>
      <c r="K111" s="124">
        <f t="shared" si="3"/>
        <v>0</v>
      </c>
      <c r="L111" s="195" t="str">
        <f t="shared" si="4"/>
        <v>NO CONFORME</v>
      </c>
    </row>
    <row r="112" ht="15.75" customHeight="1">
      <c r="F112" s="195">
        <v>100.0</v>
      </c>
      <c r="G112" s="124">
        <f t="shared" si="1"/>
        <v>0</v>
      </c>
      <c r="H112" s="195" t="str">
        <f t="shared" si="2"/>
        <v>CRÍTICO</v>
      </c>
      <c r="K112" s="124">
        <f t="shared" si="3"/>
        <v>0</v>
      </c>
      <c r="L112" s="195" t="str">
        <f t="shared" si="4"/>
        <v>NO CONFORME</v>
      </c>
    </row>
    <row r="113" ht="15.75" customHeight="1">
      <c r="F113" s="195">
        <v>100.0</v>
      </c>
      <c r="G113" s="124">
        <f t="shared" si="1"/>
        <v>0</v>
      </c>
      <c r="H113" s="195" t="str">
        <f t="shared" si="2"/>
        <v>CRÍTICO</v>
      </c>
      <c r="K113" s="124">
        <f t="shared" si="3"/>
        <v>0</v>
      </c>
      <c r="L113" s="195" t="str">
        <f t="shared" si="4"/>
        <v>NO CONFORME</v>
      </c>
    </row>
    <row r="114" ht="15.75" customHeight="1">
      <c r="F114" s="195">
        <v>100.0</v>
      </c>
      <c r="G114" s="124">
        <f t="shared" si="1"/>
        <v>0</v>
      </c>
      <c r="H114" s="195" t="str">
        <f t="shared" si="2"/>
        <v>CRÍTICO</v>
      </c>
      <c r="K114" s="124">
        <f t="shared" si="3"/>
        <v>0</v>
      </c>
      <c r="L114" s="195" t="str">
        <f t="shared" si="4"/>
        <v>NO CONFORME</v>
      </c>
    </row>
    <row r="115" ht="15.75" customHeight="1">
      <c r="F115" s="195">
        <v>100.0</v>
      </c>
      <c r="G115" s="124">
        <f t="shared" si="1"/>
        <v>0</v>
      </c>
      <c r="H115" s="195" t="str">
        <f t="shared" si="2"/>
        <v>CRÍTICO</v>
      </c>
      <c r="K115" s="124">
        <f t="shared" si="3"/>
        <v>0</v>
      </c>
      <c r="L115" s="195" t="str">
        <f t="shared" si="4"/>
        <v>NO CONFORME</v>
      </c>
    </row>
    <row r="116" ht="15.75" customHeight="1">
      <c r="F116" s="195">
        <v>100.0</v>
      </c>
      <c r="G116" s="124">
        <f t="shared" si="1"/>
        <v>0</v>
      </c>
      <c r="H116" s="195" t="str">
        <f t="shared" si="2"/>
        <v>CRÍTICO</v>
      </c>
      <c r="K116" s="124">
        <f t="shared" si="3"/>
        <v>0</v>
      </c>
      <c r="L116" s="195" t="str">
        <f t="shared" si="4"/>
        <v>NO CONFORME</v>
      </c>
    </row>
    <row r="117" ht="15.75" customHeight="1">
      <c r="F117" s="195">
        <v>100.0</v>
      </c>
      <c r="G117" s="124">
        <f t="shared" si="1"/>
        <v>0</v>
      </c>
      <c r="H117" s="195" t="str">
        <f t="shared" si="2"/>
        <v>CRÍTICO</v>
      </c>
      <c r="K117" s="124">
        <f t="shared" si="3"/>
        <v>0</v>
      </c>
      <c r="L117" s="195" t="str">
        <f t="shared" si="4"/>
        <v>NO CONFORME</v>
      </c>
    </row>
    <row r="118" ht="15.75" customHeight="1">
      <c r="F118" s="195">
        <v>100.0</v>
      </c>
      <c r="G118" s="124">
        <f t="shared" si="1"/>
        <v>0</v>
      </c>
      <c r="H118" s="195" t="str">
        <f t="shared" si="2"/>
        <v>CRÍTICO</v>
      </c>
      <c r="K118" s="124">
        <f t="shared" si="3"/>
        <v>0</v>
      </c>
      <c r="L118" s="195" t="str">
        <f t="shared" si="4"/>
        <v>NO CONFORME</v>
      </c>
    </row>
    <row r="119" ht="15.75" customHeight="1">
      <c r="F119" s="195">
        <v>100.0</v>
      </c>
      <c r="G119" s="124">
        <f t="shared" si="1"/>
        <v>0</v>
      </c>
      <c r="H119" s="195" t="str">
        <f t="shared" si="2"/>
        <v>CRÍTICO</v>
      </c>
      <c r="K119" s="124">
        <f t="shared" si="3"/>
        <v>0</v>
      </c>
      <c r="L119" s="195" t="str">
        <f t="shared" si="4"/>
        <v>NO CONFORME</v>
      </c>
    </row>
    <row r="120" ht="15.75" customHeight="1">
      <c r="F120" s="195">
        <v>100.0</v>
      </c>
      <c r="G120" s="124">
        <f t="shared" si="1"/>
        <v>0</v>
      </c>
      <c r="H120" s="195" t="str">
        <f t="shared" si="2"/>
        <v>CRÍTICO</v>
      </c>
      <c r="K120" s="124">
        <f t="shared" si="3"/>
        <v>0</v>
      </c>
      <c r="L120" s="195" t="str">
        <f t="shared" si="4"/>
        <v>NO CONFORME</v>
      </c>
    </row>
    <row r="121" ht="15.75" customHeight="1">
      <c r="F121" s="195">
        <v>100.0</v>
      </c>
      <c r="G121" s="124">
        <f t="shared" si="1"/>
        <v>0</v>
      </c>
      <c r="H121" s="195" t="str">
        <f t="shared" si="2"/>
        <v>CRÍTICO</v>
      </c>
      <c r="K121" s="124">
        <f t="shared" si="3"/>
        <v>0</v>
      </c>
      <c r="L121" s="195" t="str">
        <f t="shared" si="4"/>
        <v>NO CONFORME</v>
      </c>
    </row>
    <row r="122" ht="15.75" customHeight="1">
      <c r="F122" s="195">
        <v>100.0</v>
      </c>
      <c r="G122" s="124">
        <f t="shared" si="1"/>
        <v>0</v>
      </c>
      <c r="H122" s="195" t="str">
        <f t="shared" si="2"/>
        <v>CRÍTICO</v>
      </c>
      <c r="K122" s="124">
        <f t="shared" si="3"/>
        <v>0</v>
      </c>
      <c r="L122" s="195" t="str">
        <f t="shared" si="4"/>
        <v>NO CONFORME</v>
      </c>
    </row>
    <row r="123" ht="15.75" customHeight="1">
      <c r="F123" s="195">
        <v>100.0</v>
      </c>
      <c r="G123" s="124">
        <f t="shared" si="1"/>
        <v>0</v>
      </c>
      <c r="H123" s="195" t="str">
        <f t="shared" si="2"/>
        <v>CRÍTICO</v>
      </c>
      <c r="K123" s="124">
        <f t="shared" si="3"/>
        <v>0</v>
      </c>
      <c r="L123" s="195" t="str">
        <f t="shared" si="4"/>
        <v>NO CONFORME</v>
      </c>
    </row>
    <row r="124" ht="15.75" customHeight="1">
      <c r="F124" s="195">
        <v>100.0</v>
      </c>
      <c r="G124" s="124">
        <f t="shared" si="1"/>
        <v>0</v>
      </c>
      <c r="H124" s="195" t="str">
        <f t="shared" si="2"/>
        <v>CRÍTICO</v>
      </c>
      <c r="K124" s="124">
        <f t="shared" si="3"/>
        <v>0</v>
      </c>
      <c r="L124" s="195" t="str">
        <f t="shared" si="4"/>
        <v>NO CONFORME</v>
      </c>
    </row>
    <row r="125" ht="15.75" customHeight="1">
      <c r="F125" s="195">
        <v>100.0</v>
      </c>
      <c r="G125" s="124">
        <f t="shared" si="1"/>
        <v>0</v>
      </c>
      <c r="H125" s="195" t="str">
        <f t="shared" si="2"/>
        <v>CRÍTICO</v>
      </c>
      <c r="K125" s="124">
        <f t="shared" si="3"/>
        <v>0</v>
      </c>
      <c r="L125" s="195" t="str">
        <f t="shared" si="4"/>
        <v>NO CONFORME</v>
      </c>
    </row>
    <row r="126" ht="15.75" customHeight="1">
      <c r="F126" s="195">
        <v>100.0</v>
      </c>
      <c r="G126" s="124">
        <f t="shared" si="1"/>
        <v>0</v>
      </c>
      <c r="H126" s="195" t="str">
        <f t="shared" si="2"/>
        <v>CRÍTICO</v>
      </c>
      <c r="K126" s="124">
        <f t="shared" si="3"/>
        <v>0</v>
      </c>
      <c r="L126" s="195" t="str">
        <f t="shared" si="4"/>
        <v>NO CONFORME</v>
      </c>
    </row>
    <row r="127" ht="15.75" customHeight="1">
      <c r="F127" s="195">
        <v>100.0</v>
      </c>
      <c r="G127" s="124">
        <f t="shared" si="1"/>
        <v>0</v>
      </c>
      <c r="H127" s="195" t="str">
        <f t="shared" si="2"/>
        <v>CRÍTICO</v>
      </c>
      <c r="K127" s="124">
        <f t="shared" si="3"/>
        <v>0</v>
      </c>
      <c r="L127" s="195" t="str">
        <f t="shared" si="4"/>
        <v>NO CONFORME</v>
      </c>
    </row>
    <row r="128" ht="15.75" customHeight="1">
      <c r="F128" s="195">
        <v>100.0</v>
      </c>
      <c r="G128" s="124">
        <f t="shared" si="1"/>
        <v>0</v>
      </c>
      <c r="H128" s="195" t="str">
        <f t="shared" si="2"/>
        <v>CRÍTICO</v>
      </c>
      <c r="K128" s="124">
        <f t="shared" si="3"/>
        <v>0</v>
      </c>
      <c r="L128" s="195" t="str">
        <f t="shared" si="4"/>
        <v>NO CONFORME</v>
      </c>
    </row>
    <row r="129" ht="15.75" customHeight="1">
      <c r="F129" s="195">
        <v>100.0</v>
      </c>
      <c r="G129" s="124">
        <f t="shared" si="1"/>
        <v>0</v>
      </c>
      <c r="H129" s="195" t="str">
        <f t="shared" si="2"/>
        <v>CRÍTICO</v>
      </c>
      <c r="K129" s="124">
        <f t="shared" si="3"/>
        <v>0</v>
      </c>
      <c r="L129" s="195" t="str">
        <f t="shared" si="4"/>
        <v>NO CONFORME</v>
      </c>
    </row>
    <row r="130" ht="15.75" customHeight="1">
      <c r="F130" s="195">
        <v>100.0</v>
      </c>
      <c r="G130" s="124">
        <f t="shared" si="1"/>
        <v>0</v>
      </c>
      <c r="H130" s="195" t="str">
        <f t="shared" si="2"/>
        <v>CRÍTICO</v>
      </c>
      <c r="K130" s="124">
        <f t="shared" si="3"/>
        <v>0</v>
      </c>
      <c r="L130" s="195" t="str">
        <f t="shared" si="4"/>
        <v>NO CONFORME</v>
      </c>
    </row>
    <row r="131" ht="15.75" customHeight="1">
      <c r="F131" s="195">
        <v>100.0</v>
      </c>
      <c r="G131" s="124">
        <f t="shared" si="1"/>
        <v>0</v>
      </c>
      <c r="H131" s="195" t="str">
        <f t="shared" si="2"/>
        <v>CRÍTICO</v>
      </c>
      <c r="K131" s="124">
        <f t="shared" si="3"/>
        <v>0</v>
      </c>
      <c r="L131" s="195" t="str">
        <f t="shared" si="4"/>
        <v>NO CONFORME</v>
      </c>
    </row>
    <row r="132" ht="15.75" customHeight="1">
      <c r="F132" s="195">
        <v>100.0</v>
      </c>
      <c r="G132" s="124">
        <f t="shared" si="1"/>
        <v>0</v>
      </c>
      <c r="H132" s="195" t="str">
        <f t="shared" si="2"/>
        <v>CRÍTICO</v>
      </c>
      <c r="K132" s="124">
        <f t="shared" si="3"/>
        <v>0</v>
      </c>
      <c r="L132" s="195" t="str">
        <f t="shared" si="4"/>
        <v>NO CONFORME</v>
      </c>
    </row>
    <row r="133" ht="15.75" customHeight="1">
      <c r="F133" s="195">
        <v>100.0</v>
      </c>
      <c r="G133" s="124">
        <f t="shared" si="1"/>
        <v>0</v>
      </c>
      <c r="H133" s="195" t="str">
        <f t="shared" si="2"/>
        <v>CRÍTICO</v>
      </c>
      <c r="K133" s="124">
        <f t="shared" si="3"/>
        <v>0</v>
      </c>
      <c r="L133" s="195" t="str">
        <f t="shared" si="4"/>
        <v>NO CONFORME</v>
      </c>
    </row>
    <row r="134" ht="15.75" customHeight="1">
      <c r="F134" s="195">
        <v>100.0</v>
      </c>
      <c r="G134" s="124">
        <f t="shared" si="1"/>
        <v>0</v>
      </c>
      <c r="H134" s="195" t="str">
        <f t="shared" si="2"/>
        <v>CRÍTICO</v>
      </c>
      <c r="K134" s="124">
        <f t="shared" si="3"/>
        <v>0</v>
      </c>
      <c r="L134" s="195" t="str">
        <f t="shared" si="4"/>
        <v>NO CONFORME</v>
      </c>
    </row>
    <row r="135" ht="15.75" customHeight="1">
      <c r="F135" s="195">
        <v>100.0</v>
      </c>
      <c r="G135" s="124">
        <f t="shared" si="1"/>
        <v>0</v>
      </c>
      <c r="H135" s="195" t="str">
        <f t="shared" si="2"/>
        <v>CRÍTICO</v>
      </c>
      <c r="K135" s="124">
        <f t="shared" si="3"/>
        <v>0</v>
      </c>
      <c r="L135" s="195" t="str">
        <f t="shared" si="4"/>
        <v>NO CONFORME</v>
      </c>
    </row>
    <row r="136" ht="15.75" customHeight="1">
      <c r="F136" s="195">
        <v>100.0</v>
      </c>
      <c r="G136" s="124">
        <f t="shared" si="1"/>
        <v>0</v>
      </c>
      <c r="H136" s="195" t="str">
        <f t="shared" si="2"/>
        <v>CRÍTICO</v>
      </c>
      <c r="K136" s="124">
        <f t="shared" si="3"/>
        <v>0</v>
      </c>
      <c r="L136" s="195" t="str">
        <f t="shared" si="4"/>
        <v>NO CONFORME</v>
      </c>
    </row>
    <row r="137" ht="15.75" customHeight="1">
      <c r="F137" s="195">
        <v>100.0</v>
      </c>
      <c r="G137" s="124">
        <f t="shared" si="1"/>
        <v>0</v>
      </c>
      <c r="H137" s="195" t="str">
        <f t="shared" si="2"/>
        <v>CRÍTICO</v>
      </c>
      <c r="K137" s="124">
        <f t="shared" si="3"/>
        <v>0</v>
      </c>
      <c r="L137" s="195" t="str">
        <f t="shared" si="4"/>
        <v>NO CONFORME</v>
      </c>
    </row>
    <row r="138" ht="15.75" customHeight="1">
      <c r="F138" s="195">
        <v>100.0</v>
      </c>
      <c r="G138" s="124">
        <f t="shared" si="1"/>
        <v>0</v>
      </c>
      <c r="H138" s="195" t="str">
        <f t="shared" si="2"/>
        <v>CRÍTICO</v>
      </c>
      <c r="K138" s="124">
        <f t="shared" si="3"/>
        <v>0</v>
      </c>
      <c r="L138" s="195" t="str">
        <f t="shared" si="4"/>
        <v>NO CONFORME</v>
      </c>
    </row>
    <row r="139" ht="15.75" customHeight="1">
      <c r="F139" s="195">
        <v>100.0</v>
      </c>
      <c r="G139" s="124">
        <f t="shared" si="1"/>
        <v>0</v>
      </c>
      <c r="H139" s="195" t="str">
        <f t="shared" si="2"/>
        <v>CRÍTICO</v>
      </c>
      <c r="K139" s="124">
        <f t="shared" si="3"/>
        <v>0</v>
      </c>
      <c r="L139" s="195" t="str">
        <f t="shared" si="4"/>
        <v>NO CONFORME</v>
      </c>
    </row>
    <row r="140" ht="15.75" customHeight="1">
      <c r="F140" s="195">
        <v>100.0</v>
      </c>
      <c r="G140" s="124">
        <f t="shared" si="1"/>
        <v>0</v>
      </c>
      <c r="H140" s="195" t="str">
        <f t="shared" si="2"/>
        <v>CRÍTICO</v>
      </c>
      <c r="K140" s="124">
        <f t="shared" si="3"/>
        <v>0</v>
      </c>
      <c r="L140" s="195" t="str">
        <f t="shared" si="4"/>
        <v>NO CONFORME</v>
      </c>
    </row>
    <row r="141" ht="15.75" customHeight="1">
      <c r="F141" s="195">
        <v>100.0</v>
      </c>
      <c r="G141" s="124">
        <f t="shared" si="1"/>
        <v>0</v>
      </c>
      <c r="H141" s="195" t="str">
        <f t="shared" si="2"/>
        <v>CRÍTICO</v>
      </c>
      <c r="K141" s="124">
        <f t="shared" si="3"/>
        <v>0</v>
      </c>
      <c r="L141" s="195" t="str">
        <f t="shared" si="4"/>
        <v>NO CONFORME</v>
      </c>
    </row>
    <row r="142" ht="15.75" customHeight="1">
      <c r="F142" s="195">
        <v>100.0</v>
      </c>
      <c r="G142" s="124">
        <f t="shared" si="1"/>
        <v>0</v>
      </c>
      <c r="H142" s="195" t="str">
        <f t="shared" si="2"/>
        <v>CRÍTICO</v>
      </c>
      <c r="K142" s="124">
        <f t="shared" si="3"/>
        <v>0</v>
      </c>
      <c r="L142" s="195" t="str">
        <f t="shared" si="4"/>
        <v>NO CONFORME</v>
      </c>
    </row>
    <row r="143" ht="15.75" customHeight="1">
      <c r="F143" s="195">
        <v>100.0</v>
      </c>
      <c r="G143" s="124">
        <f t="shared" si="1"/>
        <v>0</v>
      </c>
      <c r="H143" s="195" t="str">
        <f t="shared" si="2"/>
        <v>CRÍTICO</v>
      </c>
      <c r="K143" s="124">
        <f t="shared" si="3"/>
        <v>0</v>
      </c>
      <c r="L143" s="195" t="str">
        <f t="shared" si="4"/>
        <v>NO CONFORME</v>
      </c>
    </row>
    <row r="144" ht="15.75" customHeight="1">
      <c r="F144" s="195">
        <v>100.0</v>
      </c>
      <c r="G144" s="124">
        <f t="shared" si="1"/>
        <v>0</v>
      </c>
      <c r="H144" s="195" t="str">
        <f t="shared" si="2"/>
        <v>CRÍTICO</v>
      </c>
      <c r="K144" s="124">
        <f t="shared" si="3"/>
        <v>0</v>
      </c>
      <c r="L144" s="195" t="str">
        <f t="shared" si="4"/>
        <v>NO CONFORME</v>
      </c>
    </row>
    <row r="145" ht="15.75" customHeight="1">
      <c r="F145" s="195">
        <v>100.0</v>
      </c>
      <c r="G145" s="124">
        <f t="shared" si="1"/>
        <v>0</v>
      </c>
      <c r="H145" s="195" t="str">
        <f t="shared" si="2"/>
        <v>CRÍTICO</v>
      </c>
      <c r="K145" s="124">
        <f t="shared" si="3"/>
        <v>0</v>
      </c>
      <c r="L145" s="195" t="str">
        <f t="shared" si="4"/>
        <v>NO CONFORME</v>
      </c>
    </row>
    <row r="146" ht="15.75" customHeight="1">
      <c r="F146" s="195">
        <v>100.0</v>
      </c>
      <c r="G146" s="124">
        <f t="shared" si="1"/>
        <v>0</v>
      </c>
      <c r="H146" s="195" t="str">
        <f t="shared" si="2"/>
        <v>CRÍTICO</v>
      </c>
      <c r="K146" s="124">
        <f t="shared" si="3"/>
        <v>0</v>
      </c>
      <c r="L146" s="195" t="str">
        <f t="shared" si="4"/>
        <v>NO CONFORME</v>
      </c>
    </row>
    <row r="147" ht="15.75" customHeight="1">
      <c r="F147" s="195">
        <v>100.0</v>
      </c>
      <c r="G147" s="124">
        <f t="shared" si="1"/>
        <v>0</v>
      </c>
      <c r="H147" s="195" t="str">
        <f t="shared" si="2"/>
        <v>CRÍTICO</v>
      </c>
      <c r="K147" s="124">
        <f t="shared" si="3"/>
        <v>0</v>
      </c>
      <c r="L147" s="195" t="str">
        <f t="shared" si="4"/>
        <v>NO CONFORME</v>
      </c>
    </row>
    <row r="148" ht="15.75" customHeight="1">
      <c r="F148" s="195">
        <v>100.0</v>
      </c>
      <c r="G148" s="124">
        <f t="shared" si="1"/>
        <v>0</v>
      </c>
      <c r="H148" s="195" t="str">
        <f t="shared" si="2"/>
        <v>CRÍTICO</v>
      </c>
      <c r="K148" s="124">
        <f t="shared" si="3"/>
        <v>0</v>
      </c>
      <c r="L148" s="195" t="str">
        <f t="shared" si="4"/>
        <v>NO CONFORME</v>
      </c>
    </row>
    <row r="149" ht="15.75" customHeight="1">
      <c r="F149" s="195">
        <v>100.0</v>
      </c>
      <c r="G149" s="124">
        <f t="shared" si="1"/>
        <v>0</v>
      </c>
      <c r="H149" s="195" t="str">
        <f t="shared" si="2"/>
        <v>CRÍTICO</v>
      </c>
      <c r="K149" s="124">
        <f t="shared" si="3"/>
        <v>0</v>
      </c>
      <c r="L149" s="195" t="str">
        <f t="shared" si="4"/>
        <v>NO CONFORME</v>
      </c>
    </row>
    <row r="150" ht="15.75" customHeight="1">
      <c r="F150" s="195">
        <v>100.0</v>
      </c>
      <c r="G150" s="124">
        <f t="shared" si="1"/>
        <v>0</v>
      </c>
      <c r="H150" s="195" t="str">
        <f t="shared" si="2"/>
        <v>CRÍTICO</v>
      </c>
      <c r="K150" s="124">
        <f t="shared" si="3"/>
        <v>0</v>
      </c>
      <c r="L150" s="195" t="str">
        <f t="shared" si="4"/>
        <v>NO CONFORME</v>
      </c>
    </row>
    <row r="151" ht="15.75" customHeight="1">
      <c r="F151" s="195">
        <v>100.0</v>
      </c>
      <c r="G151" s="124">
        <f t="shared" si="1"/>
        <v>0</v>
      </c>
      <c r="H151" s="195" t="str">
        <f t="shared" si="2"/>
        <v>CRÍTICO</v>
      </c>
      <c r="K151" s="124">
        <f t="shared" si="3"/>
        <v>0</v>
      </c>
      <c r="L151" s="195" t="str">
        <f t="shared" si="4"/>
        <v>NO CONFORME</v>
      </c>
    </row>
    <row r="152" ht="15.75" customHeight="1">
      <c r="F152" s="195">
        <v>100.0</v>
      </c>
      <c r="G152" s="124">
        <f t="shared" si="1"/>
        <v>0</v>
      </c>
      <c r="H152" s="195" t="str">
        <f t="shared" si="2"/>
        <v>CRÍTICO</v>
      </c>
      <c r="K152" s="124">
        <f t="shared" si="3"/>
        <v>0</v>
      </c>
      <c r="L152" s="195" t="str">
        <f t="shared" si="4"/>
        <v>NO CONFORME</v>
      </c>
    </row>
    <row r="153" ht="15.75" customHeight="1">
      <c r="F153" s="195">
        <v>100.0</v>
      </c>
      <c r="G153" s="124">
        <f t="shared" si="1"/>
        <v>0</v>
      </c>
      <c r="H153" s="195" t="str">
        <f t="shared" si="2"/>
        <v>CRÍTICO</v>
      </c>
      <c r="K153" s="124">
        <f t="shared" si="3"/>
        <v>0</v>
      </c>
      <c r="L153" s="195" t="str">
        <f t="shared" si="4"/>
        <v>NO CONFORME</v>
      </c>
    </row>
    <row r="154" ht="15.75" customHeight="1">
      <c r="F154" s="195">
        <v>100.0</v>
      </c>
      <c r="G154" s="124">
        <f t="shared" si="1"/>
        <v>0</v>
      </c>
      <c r="H154" s="195" t="str">
        <f t="shared" si="2"/>
        <v>CRÍTICO</v>
      </c>
      <c r="K154" s="124">
        <f t="shared" si="3"/>
        <v>0</v>
      </c>
      <c r="L154" s="195" t="str">
        <f t="shared" si="4"/>
        <v>NO CONFORME</v>
      </c>
    </row>
    <row r="155" ht="15.75" customHeight="1">
      <c r="F155" s="195">
        <v>100.0</v>
      </c>
      <c r="G155" s="124">
        <f t="shared" si="1"/>
        <v>0</v>
      </c>
      <c r="H155" s="195" t="str">
        <f t="shared" si="2"/>
        <v>CRÍTICO</v>
      </c>
      <c r="K155" s="124">
        <f t="shared" si="3"/>
        <v>0</v>
      </c>
      <c r="L155" s="195" t="str">
        <f t="shared" si="4"/>
        <v>NO CONFORME</v>
      </c>
    </row>
    <row r="156" ht="15.75" customHeight="1">
      <c r="F156" s="195">
        <v>100.0</v>
      </c>
      <c r="G156" s="124">
        <f t="shared" si="1"/>
        <v>0</v>
      </c>
      <c r="H156" s="195" t="str">
        <f t="shared" si="2"/>
        <v>CRÍTICO</v>
      </c>
      <c r="K156" s="124">
        <f t="shared" si="3"/>
        <v>0</v>
      </c>
      <c r="L156" s="195" t="str">
        <f t="shared" si="4"/>
        <v>NO CONFORME</v>
      </c>
    </row>
    <row r="157" ht="15.75" customHeight="1">
      <c r="F157" s="195">
        <v>100.0</v>
      </c>
      <c r="G157" s="124">
        <f t="shared" si="1"/>
        <v>0</v>
      </c>
      <c r="H157" s="195" t="str">
        <f t="shared" si="2"/>
        <v>CRÍTICO</v>
      </c>
      <c r="K157" s="124">
        <f t="shared" si="3"/>
        <v>0</v>
      </c>
      <c r="L157" s="195" t="str">
        <f t="shared" si="4"/>
        <v>NO CONFORME</v>
      </c>
    </row>
    <row r="158" ht="15.75" customHeight="1">
      <c r="F158" s="195">
        <v>100.0</v>
      </c>
      <c r="G158" s="124">
        <f t="shared" si="1"/>
        <v>0</v>
      </c>
      <c r="H158" s="195" t="str">
        <f t="shared" si="2"/>
        <v>CRÍTICO</v>
      </c>
      <c r="K158" s="124">
        <f t="shared" si="3"/>
        <v>0</v>
      </c>
      <c r="L158" s="195" t="str">
        <f t="shared" si="4"/>
        <v>NO CONFORME</v>
      </c>
    </row>
    <row r="159" ht="15.75" customHeight="1">
      <c r="F159" s="195">
        <v>100.0</v>
      </c>
      <c r="G159" s="124">
        <f t="shared" si="1"/>
        <v>0</v>
      </c>
      <c r="H159" s="195" t="str">
        <f t="shared" si="2"/>
        <v>CRÍTICO</v>
      </c>
      <c r="K159" s="124">
        <f t="shared" si="3"/>
        <v>0</v>
      </c>
      <c r="L159" s="195" t="str">
        <f t="shared" si="4"/>
        <v>NO CONFORME</v>
      </c>
    </row>
    <row r="160" ht="15.75" customHeight="1">
      <c r="F160" s="195">
        <v>100.0</v>
      </c>
      <c r="G160" s="124">
        <f t="shared" si="1"/>
        <v>0</v>
      </c>
      <c r="H160" s="195" t="str">
        <f t="shared" si="2"/>
        <v>CRÍTICO</v>
      </c>
      <c r="K160" s="124">
        <f t="shared" si="3"/>
        <v>0</v>
      </c>
      <c r="L160" s="195" t="str">
        <f t="shared" si="4"/>
        <v>NO CONFORME</v>
      </c>
    </row>
    <row r="161" ht="15.75" customHeight="1">
      <c r="F161" s="195">
        <v>100.0</v>
      </c>
      <c r="G161" s="124">
        <f t="shared" si="1"/>
        <v>0</v>
      </c>
      <c r="H161" s="195" t="str">
        <f t="shared" si="2"/>
        <v>CRÍTICO</v>
      </c>
      <c r="K161" s="124">
        <f t="shared" si="3"/>
        <v>0</v>
      </c>
      <c r="L161" s="195" t="str">
        <f t="shared" si="4"/>
        <v>NO CONFORME</v>
      </c>
    </row>
    <row r="162" ht="15.75" customHeight="1">
      <c r="F162" s="195">
        <v>100.0</v>
      </c>
      <c r="G162" s="124">
        <f t="shared" si="1"/>
        <v>0</v>
      </c>
      <c r="H162" s="195" t="str">
        <f t="shared" si="2"/>
        <v>CRÍTICO</v>
      </c>
      <c r="K162" s="124">
        <f t="shared" si="3"/>
        <v>0</v>
      </c>
      <c r="L162" s="195" t="str">
        <f t="shared" si="4"/>
        <v>NO CONFORME</v>
      </c>
    </row>
    <row r="163" ht="15.75" customHeight="1">
      <c r="F163" s="195">
        <v>100.0</v>
      </c>
      <c r="G163" s="124">
        <f t="shared" si="1"/>
        <v>0</v>
      </c>
      <c r="H163" s="195" t="str">
        <f t="shared" si="2"/>
        <v>CRÍTICO</v>
      </c>
      <c r="K163" s="124">
        <f t="shared" si="3"/>
        <v>0</v>
      </c>
      <c r="L163" s="195" t="str">
        <f t="shared" si="4"/>
        <v>NO CONFORME</v>
      </c>
    </row>
    <row r="164" ht="15.75" customHeight="1">
      <c r="F164" s="195">
        <v>100.0</v>
      </c>
      <c r="G164" s="124">
        <f t="shared" si="1"/>
        <v>0</v>
      </c>
      <c r="H164" s="195" t="str">
        <f t="shared" si="2"/>
        <v>CRÍTICO</v>
      </c>
      <c r="K164" s="124">
        <f t="shared" si="3"/>
        <v>0</v>
      </c>
      <c r="L164" s="195" t="str">
        <f t="shared" si="4"/>
        <v>NO CONFORME</v>
      </c>
    </row>
    <row r="165" ht="15.75" customHeight="1">
      <c r="F165" s="195">
        <v>100.0</v>
      </c>
      <c r="G165" s="124">
        <f t="shared" si="1"/>
        <v>0</v>
      </c>
      <c r="H165" s="195" t="str">
        <f t="shared" si="2"/>
        <v>CRÍTICO</v>
      </c>
      <c r="K165" s="124">
        <f t="shared" si="3"/>
        <v>0</v>
      </c>
      <c r="L165" s="195" t="str">
        <f t="shared" si="4"/>
        <v>NO CONFORME</v>
      </c>
    </row>
    <row r="166" ht="15.75" customHeight="1">
      <c r="F166" s="195">
        <v>100.0</v>
      </c>
      <c r="G166" s="124">
        <f t="shared" si="1"/>
        <v>0</v>
      </c>
      <c r="H166" s="195" t="str">
        <f t="shared" si="2"/>
        <v>CRÍTICO</v>
      </c>
      <c r="K166" s="124">
        <f t="shared" si="3"/>
        <v>0</v>
      </c>
      <c r="L166" s="195" t="str">
        <f t="shared" si="4"/>
        <v>NO CONFORME</v>
      </c>
    </row>
    <row r="167" ht="15.75" customHeight="1">
      <c r="F167" s="195">
        <v>100.0</v>
      </c>
      <c r="G167" s="124">
        <f t="shared" si="1"/>
        <v>0</v>
      </c>
      <c r="H167" s="195" t="str">
        <f t="shared" si="2"/>
        <v>CRÍTICO</v>
      </c>
      <c r="K167" s="124">
        <f t="shared" si="3"/>
        <v>0</v>
      </c>
      <c r="L167" s="195" t="str">
        <f t="shared" si="4"/>
        <v>NO CONFORME</v>
      </c>
    </row>
    <row r="168" ht="15.75" customHeight="1">
      <c r="F168" s="195">
        <v>100.0</v>
      </c>
      <c r="G168" s="124">
        <f t="shared" si="1"/>
        <v>0</v>
      </c>
      <c r="H168" s="195" t="str">
        <f t="shared" si="2"/>
        <v>CRÍTICO</v>
      </c>
      <c r="K168" s="124">
        <f t="shared" si="3"/>
        <v>0</v>
      </c>
      <c r="L168" s="195" t="str">
        <f t="shared" si="4"/>
        <v>NO CONFORME</v>
      </c>
    </row>
    <row r="169" ht="15.75" customHeight="1">
      <c r="F169" s="195">
        <v>100.0</v>
      </c>
      <c r="G169" s="124">
        <f t="shared" si="1"/>
        <v>0</v>
      </c>
      <c r="H169" s="195" t="str">
        <f t="shared" si="2"/>
        <v>CRÍTICO</v>
      </c>
      <c r="K169" s="124">
        <f t="shared" si="3"/>
        <v>0</v>
      </c>
      <c r="L169" s="195" t="str">
        <f t="shared" si="4"/>
        <v>NO CONFORME</v>
      </c>
    </row>
    <row r="170" ht="15.75" customHeight="1">
      <c r="F170" s="195">
        <v>100.0</v>
      </c>
      <c r="G170" s="124">
        <f t="shared" si="1"/>
        <v>0</v>
      </c>
      <c r="H170" s="195" t="str">
        <f t="shared" si="2"/>
        <v>CRÍTICO</v>
      </c>
      <c r="K170" s="124">
        <f t="shared" si="3"/>
        <v>0</v>
      </c>
      <c r="L170" s="195" t="str">
        <f t="shared" si="4"/>
        <v>NO CONFORME</v>
      </c>
    </row>
    <row r="171" ht="15.75" customHeight="1">
      <c r="F171" s="195">
        <v>100.0</v>
      </c>
      <c r="G171" s="124">
        <f t="shared" si="1"/>
        <v>0</v>
      </c>
      <c r="H171" s="195" t="str">
        <f t="shared" si="2"/>
        <v>CRÍTICO</v>
      </c>
      <c r="K171" s="124">
        <f t="shared" si="3"/>
        <v>0</v>
      </c>
      <c r="L171" s="195" t="str">
        <f t="shared" si="4"/>
        <v>NO CONFORME</v>
      </c>
    </row>
    <row r="172" ht="15.75" customHeight="1">
      <c r="F172" s="195">
        <v>100.0</v>
      </c>
      <c r="G172" s="124">
        <f t="shared" si="1"/>
        <v>0</v>
      </c>
      <c r="H172" s="195" t="str">
        <f t="shared" si="2"/>
        <v>CRÍTICO</v>
      </c>
      <c r="K172" s="124">
        <f t="shared" si="3"/>
        <v>0</v>
      </c>
      <c r="L172" s="195" t="str">
        <f t="shared" si="4"/>
        <v>NO CONFORME</v>
      </c>
    </row>
    <row r="173" ht="15.75" customHeight="1">
      <c r="F173" s="195">
        <v>100.0</v>
      </c>
      <c r="G173" s="124">
        <f t="shared" si="1"/>
        <v>0</v>
      </c>
      <c r="H173" s="195" t="str">
        <f t="shared" si="2"/>
        <v>CRÍTICO</v>
      </c>
      <c r="K173" s="124">
        <f t="shared" si="3"/>
        <v>0</v>
      </c>
      <c r="L173" s="195" t="str">
        <f t="shared" si="4"/>
        <v>NO CONFORME</v>
      </c>
    </row>
    <row r="174" ht="15.75" customHeight="1">
      <c r="F174" s="195">
        <v>100.0</v>
      </c>
      <c r="G174" s="124">
        <f t="shared" si="1"/>
        <v>0</v>
      </c>
      <c r="H174" s="195" t="str">
        <f t="shared" si="2"/>
        <v>CRÍTICO</v>
      </c>
      <c r="K174" s="124">
        <f t="shared" si="3"/>
        <v>0</v>
      </c>
      <c r="L174" s="195" t="str">
        <f t="shared" si="4"/>
        <v>NO CONFORME</v>
      </c>
    </row>
    <row r="175" ht="15.75" customHeight="1">
      <c r="F175" s="195">
        <v>100.0</v>
      </c>
      <c r="G175" s="124">
        <f t="shared" si="1"/>
        <v>0</v>
      </c>
      <c r="H175" s="195" t="str">
        <f t="shared" si="2"/>
        <v>CRÍTICO</v>
      </c>
      <c r="K175" s="124">
        <f t="shared" si="3"/>
        <v>0</v>
      </c>
      <c r="L175" s="195" t="str">
        <f t="shared" si="4"/>
        <v>NO CONFORME</v>
      </c>
    </row>
    <row r="176" ht="15.75" customHeight="1">
      <c r="F176" s="195">
        <v>100.0</v>
      </c>
      <c r="G176" s="124">
        <f t="shared" si="1"/>
        <v>0</v>
      </c>
      <c r="H176" s="195" t="str">
        <f t="shared" si="2"/>
        <v>CRÍTICO</v>
      </c>
      <c r="K176" s="124">
        <f t="shared" si="3"/>
        <v>0</v>
      </c>
      <c r="L176" s="195" t="str">
        <f t="shared" si="4"/>
        <v>NO CONFORME</v>
      </c>
    </row>
    <row r="177" ht="15.75" customHeight="1">
      <c r="F177" s="195">
        <v>100.0</v>
      </c>
      <c r="G177" s="124">
        <f t="shared" si="1"/>
        <v>0</v>
      </c>
      <c r="H177" s="195" t="str">
        <f t="shared" si="2"/>
        <v>CRÍTICO</v>
      </c>
      <c r="K177" s="124">
        <f t="shared" si="3"/>
        <v>0</v>
      </c>
      <c r="L177" s="195" t="str">
        <f t="shared" si="4"/>
        <v>NO CONFORME</v>
      </c>
    </row>
    <row r="178" ht="15.75" customHeight="1">
      <c r="F178" s="195">
        <v>100.0</v>
      </c>
      <c r="G178" s="124">
        <f t="shared" si="1"/>
        <v>0</v>
      </c>
      <c r="H178" s="195" t="str">
        <f t="shared" si="2"/>
        <v>CRÍTICO</v>
      </c>
      <c r="K178" s="124">
        <f t="shared" si="3"/>
        <v>0</v>
      </c>
      <c r="L178" s="195" t="str">
        <f t="shared" si="4"/>
        <v>NO CONFORME</v>
      </c>
    </row>
    <row r="179" ht="15.75" customHeight="1">
      <c r="F179" s="195">
        <v>100.0</v>
      </c>
      <c r="G179" s="124">
        <f t="shared" si="1"/>
        <v>0</v>
      </c>
      <c r="H179" s="195" t="str">
        <f t="shared" si="2"/>
        <v>CRÍTICO</v>
      </c>
      <c r="K179" s="124">
        <f t="shared" si="3"/>
        <v>0</v>
      </c>
      <c r="L179" s="195" t="str">
        <f t="shared" si="4"/>
        <v>NO CONFORME</v>
      </c>
    </row>
    <row r="180" ht="15.75" customHeight="1">
      <c r="F180" s="195">
        <v>100.0</v>
      </c>
      <c r="G180" s="124">
        <f t="shared" si="1"/>
        <v>0</v>
      </c>
      <c r="H180" s="195" t="str">
        <f t="shared" si="2"/>
        <v>CRÍTICO</v>
      </c>
      <c r="K180" s="124">
        <f t="shared" si="3"/>
        <v>0</v>
      </c>
      <c r="L180" s="195" t="str">
        <f t="shared" si="4"/>
        <v>NO CONFORME</v>
      </c>
    </row>
    <row r="181" ht="15.75" customHeight="1">
      <c r="F181" s="195">
        <v>100.0</v>
      </c>
      <c r="G181" s="124">
        <f t="shared" si="1"/>
        <v>0</v>
      </c>
      <c r="H181" s="195" t="str">
        <f t="shared" si="2"/>
        <v>CRÍTICO</v>
      </c>
      <c r="K181" s="124">
        <f t="shared" si="3"/>
        <v>0</v>
      </c>
      <c r="L181" s="195" t="str">
        <f t="shared" si="4"/>
        <v>NO CONFORME</v>
      </c>
    </row>
    <row r="182" ht="15.75" customHeight="1">
      <c r="F182" s="195">
        <v>100.0</v>
      </c>
      <c r="G182" s="124">
        <f t="shared" si="1"/>
        <v>0</v>
      </c>
      <c r="H182" s="195" t="str">
        <f t="shared" si="2"/>
        <v>CRÍTICO</v>
      </c>
      <c r="K182" s="124">
        <f t="shared" si="3"/>
        <v>0</v>
      </c>
      <c r="L182" s="195" t="str">
        <f t="shared" si="4"/>
        <v>NO CONFORME</v>
      </c>
    </row>
    <row r="183" ht="15.75" customHeight="1">
      <c r="F183" s="195">
        <v>100.0</v>
      </c>
      <c r="G183" s="124">
        <f t="shared" si="1"/>
        <v>0</v>
      </c>
      <c r="H183" s="195" t="str">
        <f t="shared" si="2"/>
        <v>CRÍTICO</v>
      </c>
      <c r="K183" s="124">
        <f t="shared" si="3"/>
        <v>0</v>
      </c>
      <c r="L183" s="195" t="str">
        <f t="shared" si="4"/>
        <v>NO CONFORME</v>
      </c>
    </row>
    <row r="184" ht="15.75" customHeight="1">
      <c r="F184" s="195">
        <v>100.0</v>
      </c>
      <c r="G184" s="124">
        <f t="shared" si="1"/>
        <v>0</v>
      </c>
      <c r="H184" s="195" t="str">
        <f t="shared" si="2"/>
        <v>CRÍTICO</v>
      </c>
      <c r="K184" s="124">
        <f t="shared" si="3"/>
        <v>0</v>
      </c>
      <c r="L184" s="195" t="str">
        <f t="shared" si="4"/>
        <v>NO CONFORME</v>
      </c>
    </row>
    <row r="185" ht="15.75" customHeight="1">
      <c r="F185" s="195">
        <v>100.0</v>
      </c>
      <c r="G185" s="124">
        <f t="shared" si="1"/>
        <v>0</v>
      </c>
      <c r="H185" s="195" t="str">
        <f t="shared" si="2"/>
        <v>CRÍTICO</v>
      </c>
      <c r="K185" s="124">
        <f t="shared" si="3"/>
        <v>0</v>
      </c>
      <c r="L185" s="195" t="str">
        <f t="shared" si="4"/>
        <v>NO CONFORME</v>
      </c>
    </row>
    <row r="186" ht="15.75" customHeight="1">
      <c r="F186" s="195">
        <v>100.0</v>
      </c>
      <c r="G186" s="124">
        <f t="shared" si="1"/>
        <v>0</v>
      </c>
      <c r="H186" s="195" t="str">
        <f t="shared" si="2"/>
        <v>CRÍTICO</v>
      </c>
      <c r="K186" s="124">
        <f t="shared" si="3"/>
        <v>0</v>
      </c>
      <c r="L186" s="195" t="str">
        <f t="shared" si="4"/>
        <v>NO CONFORME</v>
      </c>
    </row>
    <row r="187" ht="15.75" customHeight="1">
      <c r="F187" s="195">
        <v>100.0</v>
      </c>
      <c r="G187" s="124">
        <f t="shared" si="1"/>
        <v>0</v>
      </c>
      <c r="H187" s="195" t="str">
        <f t="shared" si="2"/>
        <v>CRÍTICO</v>
      </c>
      <c r="K187" s="124">
        <f t="shared" si="3"/>
        <v>0</v>
      </c>
      <c r="L187" s="195" t="str">
        <f t="shared" si="4"/>
        <v>NO CONFORME</v>
      </c>
    </row>
    <row r="188" ht="15.75" customHeight="1">
      <c r="F188" s="195">
        <v>100.0</v>
      </c>
      <c r="G188" s="124">
        <f t="shared" si="1"/>
        <v>0</v>
      </c>
      <c r="H188" s="195" t="str">
        <f t="shared" si="2"/>
        <v>CRÍTICO</v>
      </c>
      <c r="K188" s="124">
        <f t="shared" si="3"/>
        <v>0</v>
      </c>
      <c r="L188" s="195" t="str">
        <f t="shared" si="4"/>
        <v>NO CONFORME</v>
      </c>
    </row>
    <row r="189" ht="15.75" customHeight="1">
      <c r="F189" s="195">
        <v>100.0</v>
      </c>
      <c r="G189" s="124">
        <f t="shared" si="1"/>
        <v>0</v>
      </c>
      <c r="H189" s="195" t="str">
        <f t="shared" si="2"/>
        <v>CRÍTICO</v>
      </c>
      <c r="K189" s="124">
        <f t="shared" si="3"/>
        <v>0</v>
      </c>
      <c r="L189" s="195" t="str">
        <f t="shared" si="4"/>
        <v>NO CONFORME</v>
      </c>
    </row>
    <row r="190" ht="15.75" customHeight="1">
      <c r="F190" s="195">
        <v>100.0</v>
      </c>
      <c r="G190" s="124">
        <f t="shared" si="1"/>
        <v>0</v>
      </c>
      <c r="H190" s="195" t="str">
        <f t="shared" si="2"/>
        <v>CRÍTICO</v>
      </c>
      <c r="K190" s="124">
        <f t="shared" si="3"/>
        <v>0</v>
      </c>
      <c r="L190" s="195" t="str">
        <f t="shared" si="4"/>
        <v>NO CONFORME</v>
      </c>
    </row>
    <row r="191" ht="15.75" customHeight="1">
      <c r="F191" s="195">
        <v>100.0</v>
      </c>
      <c r="G191" s="124">
        <f t="shared" si="1"/>
        <v>0</v>
      </c>
      <c r="H191" s="195" t="str">
        <f t="shared" si="2"/>
        <v>CRÍTICO</v>
      </c>
      <c r="K191" s="124">
        <f t="shared" si="3"/>
        <v>0</v>
      </c>
      <c r="L191" s="195" t="str">
        <f t="shared" si="4"/>
        <v>NO CONFORME</v>
      </c>
    </row>
    <row r="192" ht="15.75" customHeight="1">
      <c r="F192" s="195">
        <v>100.0</v>
      </c>
      <c r="G192" s="124">
        <f t="shared" si="1"/>
        <v>0</v>
      </c>
      <c r="H192" s="195" t="str">
        <f t="shared" si="2"/>
        <v>CRÍTICO</v>
      </c>
      <c r="K192" s="124">
        <f t="shared" si="3"/>
        <v>0</v>
      </c>
      <c r="L192" s="195" t="str">
        <f t="shared" si="4"/>
        <v>NO CONFORME</v>
      </c>
    </row>
    <row r="193" ht="15.75" customHeight="1">
      <c r="F193" s="195">
        <v>100.0</v>
      </c>
      <c r="G193" s="124">
        <f t="shared" si="1"/>
        <v>0</v>
      </c>
      <c r="H193" s="195" t="str">
        <f t="shared" si="2"/>
        <v>CRÍTICO</v>
      </c>
      <c r="K193" s="124">
        <f t="shared" si="3"/>
        <v>0</v>
      </c>
      <c r="L193" s="195" t="str">
        <f t="shared" si="4"/>
        <v>NO CONFORME</v>
      </c>
    </row>
    <row r="194" ht="15.75" customHeight="1">
      <c r="F194" s="195">
        <v>100.0</v>
      </c>
      <c r="G194" s="124">
        <f t="shared" si="1"/>
        <v>0</v>
      </c>
      <c r="H194" s="195" t="str">
        <f t="shared" si="2"/>
        <v>CRÍTICO</v>
      </c>
      <c r="K194" s="124">
        <f t="shared" si="3"/>
        <v>0</v>
      </c>
      <c r="L194" s="195" t="str">
        <f t="shared" si="4"/>
        <v>NO CONFORME</v>
      </c>
    </row>
    <row r="195" ht="15.75" customHeight="1">
      <c r="F195" s="195">
        <v>100.0</v>
      </c>
      <c r="G195" s="124">
        <f t="shared" si="1"/>
        <v>0</v>
      </c>
      <c r="H195" s="195" t="str">
        <f t="shared" si="2"/>
        <v>CRÍTICO</v>
      </c>
      <c r="K195" s="124">
        <f t="shared" si="3"/>
        <v>0</v>
      </c>
      <c r="L195" s="195" t="str">
        <f t="shared" si="4"/>
        <v>NO CONFORME</v>
      </c>
    </row>
    <row r="196" ht="15.75" customHeight="1">
      <c r="F196" s="195">
        <v>100.0</v>
      </c>
      <c r="G196" s="124">
        <f t="shared" si="1"/>
        <v>0</v>
      </c>
      <c r="H196" s="195" t="str">
        <f t="shared" si="2"/>
        <v>CRÍTICO</v>
      </c>
      <c r="K196" s="124">
        <f t="shared" si="3"/>
        <v>0</v>
      </c>
      <c r="L196" s="195" t="str">
        <f t="shared" si="4"/>
        <v>NO CONFORME</v>
      </c>
    </row>
    <row r="197" ht="15.75" customHeight="1">
      <c r="F197" s="195">
        <v>100.0</v>
      </c>
      <c r="G197" s="124">
        <f t="shared" si="1"/>
        <v>0</v>
      </c>
      <c r="H197" s="195" t="str">
        <f t="shared" si="2"/>
        <v>CRÍTICO</v>
      </c>
      <c r="K197" s="124">
        <f t="shared" si="3"/>
        <v>0</v>
      </c>
      <c r="L197" s="195" t="str">
        <f t="shared" si="4"/>
        <v>NO CONFORME</v>
      </c>
    </row>
    <row r="198" ht="15.75" customHeight="1">
      <c r="F198" s="195">
        <v>100.0</v>
      </c>
      <c r="G198" s="124">
        <f t="shared" si="1"/>
        <v>0</v>
      </c>
      <c r="H198" s="195" t="str">
        <f t="shared" si="2"/>
        <v>CRÍTICO</v>
      </c>
      <c r="K198" s="124">
        <f t="shared" si="3"/>
        <v>0</v>
      </c>
      <c r="L198" s="195" t="str">
        <f t="shared" si="4"/>
        <v>NO CONFORME</v>
      </c>
    </row>
    <row r="199" ht="15.75" customHeight="1">
      <c r="F199" s="195">
        <v>100.0</v>
      </c>
      <c r="G199" s="124">
        <f t="shared" si="1"/>
        <v>0</v>
      </c>
      <c r="H199" s="195" t="str">
        <f t="shared" si="2"/>
        <v>CRÍTICO</v>
      </c>
      <c r="K199" s="124">
        <f t="shared" si="3"/>
        <v>0</v>
      </c>
      <c r="L199" s="195" t="str">
        <f t="shared" si="4"/>
        <v>NO CONFORME</v>
      </c>
    </row>
    <row r="200" ht="15.75" customHeight="1">
      <c r="F200" s="195">
        <v>100.0</v>
      </c>
      <c r="G200" s="124">
        <f t="shared" si="1"/>
        <v>0</v>
      </c>
      <c r="H200" s="195" t="str">
        <f t="shared" si="2"/>
        <v>CRÍTICO</v>
      </c>
      <c r="K200" s="124">
        <f t="shared" si="3"/>
        <v>0</v>
      </c>
      <c r="L200" s="195" t="str">
        <f t="shared" si="4"/>
        <v>NO CONFORME</v>
      </c>
    </row>
    <row r="201" ht="15.75" customHeight="1">
      <c r="F201" s="195">
        <v>100.0</v>
      </c>
      <c r="G201" s="124">
        <f t="shared" si="1"/>
        <v>0</v>
      </c>
      <c r="H201" s="195" t="str">
        <f t="shared" si="2"/>
        <v>CRÍTICO</v>
      </c>
      <c r="K201" s="124">
        <f t="shared" si="3"/>
        <v>0</v>
      </c>
      <c r="L201" s="195" t="str">
        <f t="shared" si="4"/>
        <v>NO CONFORME</v>
      </c>
    </row>
    <row r="202" ht="15.75" customHeight="1">
      <c r="F202" s="195">
        <v>100.0</v>
      </c>
      <c r="G202" s="124">
        <f t="shared" si="1"/>
        <v>0</v>
      </c>
      <c r="H202" s="195" t="str">
        <f t="shared" si="2"/>
        <v>CRÍTICO</v>
      </c>
      <c r="K202" s="124">
        <f t="shared" si="3"/>
        <v>0</v>
      </c>
      <c r="L202" s="195" t="str">
        <f t="shared" si="4"/>
        <v>NO CONFORME</v>
      </c>
    </row>
    <row r="203" ht="15.75" customHeight="1">
      <c r="F203" s="195">
        <v>100.0</v>
      </c>
      <c r="G203" s="124">
        <f t="shared" si="1"/>
        <v>0</v>
      </c>
      <c r="H203" s="195" t="str">
        <f t="shared" si="2"/>
        <v>CRÍTICO</v>
      </c>
      <c r="K203" s="124">
        <f t="shared" si="3"/>
        <v>0</v>
      </c>
      <c r="L203" s="195" t="str">
        <f t="shared" si="4"/>
        <v>NO CONFORME</v>
      </c>
    </row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