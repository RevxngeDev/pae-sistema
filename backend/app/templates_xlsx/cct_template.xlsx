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 - ORG" sheetId="1" r:id="rId5"/>
    <sheet state="visible" name="TRANS Y DISTRIB" sheetId="2" r:id="rId6"/>
    <sheet state="visible" name="REQUERIMIENTOS ALIM Y NUTR" sheetId="3" r:id="rId7"/>
    <sheet state="visible" name="GRAMAJES" sheetId="4" r:id="rId8"/>
    <sheet state="visible" name="REGISTRO FOTOGRÁFICO" sheetId="5" r:id="rId9"/>
    <sheet state="visible" name="REGISTRO FOTOG HALLAZGOS" sheetId="6" r:id="rId10"/>
    <sheet state="visible" name="ANALISIS_PUNTAJES" sheetId="7" r:id="rId11"/>
  </sheets>
  <definedNames/>
  <calcPr/>
</workbook>
</file>

<file path=xl/sharedStrings.xml><?xml version="1.0" encoding="utf-8"?>
<sst xmlns="http://schemas.openxmlformats.org/spreadsheetml/2006/main" count="390" uniqueCount="250">
  <si>
    <t>UNIDAD ADMINISTRATIVA ESPECIAL DE ALIMENTACIÓN ESCOLAR</t>
  </si>
  <si>
    <t>VERSIÓN 1</t>
  </si>
  <si>
    <t>FORMATO DE VERIFICACIÓN TEMPERATURAS Y CARACTERÍSTICAS ORGANOLÉPTICAS ALIMENTOS PREPARADOS Y DISTRIBUIDOS COMIDA CALIENTE TRANSPORTADA</t>
  </si>
  <si>
    <t>ETCNoC:</t>
  </si>
  <si>
    <t>Municipio de Puerto Gaitán</t>
  </si>
  <si>
    <t>Fecha de la visita:</t>
  </si>
  <si>
    <t>Sede educativa:</t>
  </si>
  <si>
    <t>JORGE ELIECER GAITÀN</t>
  </si>
  <si>
    <t>Tipo de Complemento:</t>
  </si>
  <si>
    <t>Jornada Mañana</t>
  </si>
  <si>
    <t>Jornada Tarde</t>
  </si>
  <si>
    <t>Almuerzo</t>
  </si>
  <si>
    <t>Operador:</t>
  </si>
  <si>
    <t>No Servicios</t>
  </si>
  <si>
    <t>X</t>
  </si>
  <si>
    <t xml:space="preserve">Organolépticas y temperaturas </t>
  </si>
  <si>
    <t>Preparación</t>
  </si>
  <si>
    <t>Apariencia</t>
  </si>
  <si>
    <t>Sabor</t>
  </si>
  <si>
    <t>Olor</t>
  </si>
  <si>
    <t>Textura</t>
  </si>
  <si>
    <t>Temperatura final de cocción</t>
  </si>
  <si>
    <t>Temperatura distribución inicial</t>
  </si>
  <si>
    <t>Temperatura distribución final</t>
  </si>
  <si>
    <t xml:space="preserve">Cumplimiento </t>
  </si>
  <si>
    <t>Cumple</t>
  </si>
  <si>
    <t>No cumple</t>
  </si>
  <si>
    <t>T (°C)</t>
  </si>
  <si>
    <t>PASTA - ESPAGUETHI</t>
  </si>
  <si>
    <t>62.5</t>
  </si>
  <si>
    <t>54.1</t>
  </si>
  <si>
    <t>CUMPLE</t>
  </si>
  <si>
    <t>PECHUGA A LA CRIOLLA</t>
  </si>
  <si>
    <t>62.9</t>
  </si>
  <si>
    <t>58.0</t>
  </si>
  <si>
    <t>´VERDURAS SALTEADAS</t>
  </si>
  <si>
    <t>71.3</t>
  </si>
  <si>
    <t>66.2</t>
  </si>
  <si>
    <t>INDICADOR: No de preparaciones que cumplen criterios de calidad y organolepticos / No de preparaciones verificadas</t>
  </si>
  <si>
    <t>Porcentaje de cumplimiento:</t>
  </si>
  <si>
    <t xml:space="preserve">Observaciones: </t>
  </si>
  <si>
    <t>FIRMAS</t>
  </si>
  <si>
    <t>Nombre:</t>
  </si>
  <si>
    <t>Documento:</t>
  </si>
  <si>
    <t>Cargo:</t>
  </si>
  <si>
    <t>ALCALDÍA DE PUERTO GAITÁN META</t>
  </si>
  <si>
    <t>FORMATO DE EVALUACIÓN CONDICIONES OPERACIONALES COMIDA CALIENTE TRANSPORTADA</t>
  </si>
  <si>
    <t>ETCNoC</t>
  </si>
  <si>
    <t>Municipio Puerto Gaitán</t>
  </si>
  <si>
    <t>JORGE ELIECER GAITAN</t>
  </si>
  <si>
    <t>Productora de Alimentos PA</t>
  </si>
  <si>
    <t>No. Contrato/Convenio</t>
  </si>
  <si>
    <t>No. de servicios</t>
  </si>
  <si>
    <t>Nombre de quien recibe la visita</t>
  </si>
  <si>
    <t>Cargo de quien recibe la visita</t>
  </si>
  <si>
    <t>Nombre de quien realiza la visita</t>
  </si>
  <si>
    <t>Cargo de quien realiza la visita</t>
  </si>
  <si>
    <t>Datos del Menú a verificar</t>
  </si>
  <si>
    <t>Descripción del Menú:</t>
  </si>
  <si>
    <t>PECHUGA A LA PLANCHA, PASTA ESPAGUETI, MONEDAS DE PLATANO, VERDURAS SALTEADAS, JUGO DE PIÑA</t>
  </si>
  <si>
    <t>Información de la ruta a verificar</t>
  </si>
  <si>
    <t>Nombre Centro de Producción (CDP):</t>
  </si>
  <si>
    <t>Centro de Producción Principal</t>
  </si>
  <si>
    <t>Placa del vehículo:</t>
  </si>
  <si>
    <t>TST 057</t>
  </si>
  <si>
    <t>N° de Ruta:</t>
  </si>
  <si>
    <t>N° de sedes de la ruta:</t>
  </si>
  <si>
    <t>Hora salida CDP:</t>
  </si>
  <si>
    <t>11:00AM</t>
  </si>
  <si>
    <t>Datos de distribución</t>
  </si>
  <si>
    <t>Nombre de la sede educativa</t>
  </si>
  <si>
    <t>CONTENEDOR 1</t>
  </si>
  <si>
    <t>CONTENEDOR 2 PASTA</t>
  </si>
  <si>
    <t>Hora de llegada  a la sede educativa</t>
  </si>
  <si>
    <t>Hora de salida de  la sede educativa</t>
  </si>
  <si>
    <t>Temperatura el contenedor isotérmico</t>
  </si>
  <si>
    <t>N/A</t>
  </si>
  <si>
    <t>Temperatura del complemento alimentario</t>
  </si>
  <si>
    <t>Cantidad  de complementos alimentarios entregados en la sede</t>
  </si>
  <si>
    <t>Califique según nivel de cumplimiento: Cumple (2), Cumple parcialmente (1) No cumple (NC), No aplica (NA)</t>
  </si>
  <si>
    <t>Personal Manipulador</t>
  </si>
  <si>
    <t>Calificación</t>
  </si>
  <si>
    <t>El personal manipulador y transportador cuenta con la documentación exigida para manipular alimentos de acuerdo a lo establecido en la Resolución 2674 de 2013 y ésta se encuentra vigente.</t>
  </si>
  <si>
    <t>Cuenta con la dotación completa, limpia, en buen estado y hace uso adecuado de la misma de acuerdo a lo establecido en la normatividad vigente.</t>
  </si>
  <si>
    <t>El personal manipulador y transportador cumple con las buenas prácticas de manufactura  en las diferentes etapas del proceso, según lo establecido en la normatividad legal vigente</t>
  </si>
  <si>
    <t>TOTAL ESPERADO:</t>
  </si>
  <si>
    <t>TOTAL OBTENIDO</t>
  </si>
  <si>
    <t>*</t>
  </si>
  <si>
    <t>Los vehículos para el transporte de los contenedores  isotérmicos cumplen con la normatividad sanitaria vigente (Resolución 2674 de 2013) y los lineamientos determinados para transporte de alimentos establecidos por el Ministerio de Transporte.</t>
  </si>
  <si>
    <t>El vehículo cuenta con certificación sanitaria expedida por la autoridad competente con concepto  favorable.</t>
  </si>
  <si>
    <t xml:space="preserve">Las Canastillas y/o equipos donde son transportados los alimentos se encuentran limpias, en buen estado y son de material resistente. </t>
  </si>
  <si>
    <t>Se realiza monitoreo de temperatura de los complementos alimentarios.</t>
  </si>
  <si>
    <t>Las temperaturas de los alimentos se encuentran dentro de los rangos establecidos y se monitorean los tiempos de exposición de los complementos.</t>
  </si>
  <si>
    <t>Se cumple con las cantidades establecidas por contenedor isotérmico según capacidad la capacidad de este.</t>
  </si>
  <si>
    <t>Observaciones</t>
  </si>
  <si>
    <t>Entrega de complemento alimentario</t>
  </si>
  <si>
    <t>La cantidad de complementos alimentarios entregados  se ajusta a las cantidades definidas para la sede educativa.</t>
  </si>
  <si>
    <t>Los componentes alimentarios entregados corresponden con los establecidos en el ciclo de menús aprobado.</t>
  </si>
  <si>
    <t>Los alimentos empacados y/o envasados que se entreguen con el complemento alimentario cumplen con la normatividad vigente para el  rotulado de alimentos</t>
  </si>
  <si>
    <t>Los complementos alimentarios se suministran en adecuadas condiciones de calidad (fechas de vencimiento, entre otros),  inocuidad,  presentación y no presentan ningún tipo de contaminación.</t>
  </si>
  <si>
    <t>Durante el descargue y entrega de los complementos alimentarios en la sede educativa se evidencia adecuadas practicas de manufactura.</t>
  </si>
  <si>
    <t>Los complementos alimentarios son entregados a las sedes educativas cumpliendo con los horarios establecidos.</t>
  </si>
  <si>
    <t>Los empaques y/o envases donde vienen ensamblados o contenidos los complementos alimentarios se encuentran en buen estado.</t>
  </si>
  <si>
    <t>Consumo</t>
  </si>
  <si>
    <t>Las áreas para la distribución  y consumo de los complementos alimentarios se encuentran en adecuadas condiciones higiénicas y físicas</t>
  </si>
  <si>
    <t>La institución educativa dispone de recipientes y bolsas, así como la clasificación y disposición de residuos.</t>
  </si>
  <si>
    <t>Los equipos y/o utensilios para la distribución y consumo de los complementos se encuentran en adecuadas condiciones higiénicas y físicas</t>
  </si>
  <si>
    <t>Durante el consumo de los complementos alimentarios no se presentan novedades relacionadas con la calidad (sensorial, inocuidad, entre otros) y cantidad de los complementos alimentarios</t>
  </si>
  <si>
    <t>Se dispone del menaje suficiente para cada modalidad, de acuerdo al  número de servicios establecidos, y se encuentra en buen estado.</t>
  </si>
  <si>
    <t>INDICADOR: Porcentaje de cumplimiento de condiciones operativas</t>
  </si>
  <si>
    <t>TOTAL CALIFICACIÓN</t>
  </si>
  <si>
    <t>PUNTAJE OBTENIDO:</t>
  </si>
  <si>
    <t>Porcentaje de Cumplimiento:</t>
  </si>
  <si>
    <t>FIRMA</t>
  </si>
  <si>
    <t>FORMATO DE REQUERIMIENTOS ALIMENTARIOS Y NUTRICIONALES COMIDA CALIENTE TRANSPORTADA</t>
  </si>
  <si>
    <t>No. Visita:</t>
  </si>
  <si>
    <t>1ra visita X</t>
  </si>
  <si>
    <t>2da visita</t>
  </si>
  <si>
    <t>3 visita</t>
  </si>
  <si>
    <t>644/2026</t>
  </si>
  <si>
    <t>No de servicios:</t>
  </si>
  <si>
    <t>Nombre de quien atiende la visita</t>
  </si>
  <si>
    <t>Cargo de quien atiende la visita</t>
  </si>
  <si>
    <t>Cargo de quien realizala visita</t>
  </si>
  <si>
    <t>Información de las raciones entregadas</t>
  </si>
  <si>
    <t>Descripción del menú:</t>
  </si>
  <si>
    <t>Intercambios</t>
  </si>
  <si>
    <t>Alimento:</t>
  </si>
  <si>
    <t>Motivo del intercambio</t>
  </si>
  <si>
    <t>Fecha:</t>
  </si>
  <si>
    <t>Autorizado por:</t>
  </si>
  <si>
    <t>Califique según nivel de cumplimiento: C (Cumple) NC (No cumple) N/A (No aplica)</t>
  </si>
  <si>
    <t>Requerimientos alimentario y nutricional</t>
  </si>
  <si>
    <t>Cumplimiento de la minuta patrón</t>
  </si>
  <si>
    <t>Se cuenta con la totalidad de la materia prima correspondientes al cálculo de las minutas aprobadas, multiplicadas por el número de servicios y tipo de menú.</t>
  </si>
  <si>
    <t>El menu del dia es acorde a lo establecido en el ciclo de menus y minuta patron adoptada.</t>
  </si>
  <si>
    <t>Se encuentran estandarizadas el tamaño de porciones de las preparaciones según el grado de los estudiantes.</t>
  </si>
  <si>
    <t>El ciclo de menú se ejecuta bajo las especificaciones técnicas definidas.</t>
  </si>
  <si>
    <t xml:space="preserve">El menú entregado según el tipo de complemento corresponde a lo programado y aprobado. </t>
  </si>
  <si>
    <t>En caso de presentarse intercambios, estos se realizan de acuerdo al componente, a la frecuencia y cuentan con documento soporte de aprobación.</t>
  </si>
  <si>
    <t>Los alimentos preparados cumplen con las características organolépticas propias de la preparación  o alimentos que hacen parte del menú servido.</t>
  </si>
  <si>
    <t>Todas las preparaciones que se incluyen en el ciclo de menús, cuentan con su respectiva receta estandarizada.</t>
  </si>
  <si>
    <t>El  menú entregado a los estudiantes tiene aspecto atractivo y buena presentación.</t>
  </si>
  <si>
    <t>Se cuenta con elementos de estandarización tanto para servido como para preparacion.</t>
  </si>
  <si>
    <t>Se cumple con los horarios de distribución establecidos para el servicio  y no se generan retrasos durante el suministro.</t>
  </si>
  <si>
    <t>En el ciclo de minutas incluye alimentos y/o preparaciones propias del territorio</t>
  </si>
  <si>
    <t>En el comedor escolar se promocionan practicas adecuadas de habitos alimentarios en los estudiantes beneficiarios.</t>
  </si>
  <si>
    <t>La aceptabilidad de los alimentos preparados es adecuada.</t>
  </si>
  <si>
    <t>El desperdicio de alimentos en la etapa de descomide es bajo.</t>
  </si>
  <si>
    <t xml:space="preserve"> FORMATO DE VERIFICACIÓN GRAMAJES PARA COMEDORES ESCOLARES DEL PROGRAMA DE ALIMENTACIÓN ESCOLAR - PAE</t>
  </si>
  <si>
    <t>Institución Educativa</t>
  </si>
  <si>
    <t>ETC</t>
  </si>
  <si>
    <t>Ciudad/ Municipio</t>
  </si>
  <si>
    <t>PUERTO GAITÁN</t>
  </si>
  <si>
    <t>Dirección:</t>
  </si>
  <si>
    <t>Fecha Visita:</t>
  </si>
  <si>
    <t>Hora inicio:</t>
  </si>
  <si>
    <t xml:space="preserve">Operador: </t>
  </si>
  <si>
    <t>No Contrato / Convenio</t>
  </si>
  <si>
    <t>Hora de terminación:</t>
  </si>
  <si>
    <t>Instrumento: Marque con una X</t>
  </si>
  <si>
    <t>Balanza</t>
  </si>
  <si>
    <t xml:space="preserve">Marca </t>
  </si>
  <si>
    <t>Número de menú programado</t>
  </si>
  <si>
    <t xml:space="preserve">Se presentaron intercambios </t>
  </si>
  <si>
    <t>Si</t>
  </si>
  <si>
    <t>No</t>
  </si>
  <si>
    <t>Gramera</t>
  </si>
  <si>
    <t>Fecha de última calibración</t>
  </si>
  <si>
    <t>Número de menú entregado</t>
  </si>
  <si>
    <t>Presentaron soporte de autorización</t>
  </si>
  <si>
    <t>Alimentos a entregar de acuerdo al menú programado</t>
  </si>
  <si>
    <t>Alimentos verificados en la visita de acuerdo al menú entregado</t>
  </si>
  <si>
    <t>CUMPLIMIENTO DE GRAMAJES</t>
  </si>
  <si>
    <t>GRUPO DE EDAD</t>
  </si>
  <si>
    <t>PRIMARIA, CUARTO Y QUINTO</t>
  </si>
  <si>
    <t>NIVEL SECUNDARIA</t>
  </si>
  <si>
    <t>Componente</t>
  </si>
  <si>
    <t>MUESTRA 1</t>
  </si>
  <si>
    <t>MUESTRA 2</t>
  </si>
  <si>
    <t>MUESTRA 3</t>
  </si>
  <si>
    <t>Peso esperado</t>
  </si>
  <si>
    <t xml:space="preserve">Concepto 
(Cumple (1) - No Cumple (0) )        </t>
  </si>
  <si>
    <t>Peso / Volumen</t>
  </si>
  <si>
    <t>Ración para preparar en sitio – CCT</t>
  </si>
  <si>
    <t>NO CUMPLE</t>
  </si>
  <si>
    <t>OBSERVACIONES:</t>
  </si>
  <si>
    <t>Se realizaron cambios en el menú?</t>
  </si>
  <si>
    <t>SI</t>
  </si>
  <si>
    <t>NO</t>
  </si>
  <si>
    <t>Los cambios están aprobados por la interventoría ?</t>
  </si>
  <si>
    <t>TOTAL CUMPLIMIENTO DE GRAMAJES</t>
  </si>
  <si>
    <t>OBSERVACIONES</t>
  </si>
  <si>
    <t>PUNTAJE POSIBLE</t>
  </si>
  <si>
    <t>PUNTAJE REAL</t>
  </si>
  <si>
    <t>PORCENTAJE %</t>
  </si>
  <si>
    <t>MUNICIPIO DE PUERTO GAITÁN – SECRETARÍA DE EDUCACIÓN</t>
  </si>
  <si>
    <t>REGISTRO FOTOGRÁFICO GENERAL
Contrato Interventoría PAE N° 656/2026</t>
  </si>
  <si>
    <t>Contrato N°: 0644/2026     |     Operador: Productora de Alimentos PA S.A.S.</t>
  </si>
  <si>
    <t>Sede educativa: ___________________________     Fecha: _______________     Período: _______________</t>
  </si>
  <si>
    <t>FOTOGRAFÍA 1</t>
  </si>
  <si>
    <t>FOTOGRAFÍA 2</t>
  </si>
  <si>
    <t>[ FOTOGRAFÍA 1 ]</t>
  </si>
  <si>
    <t>[ FOTOGRAFÍA 2 ]</t>
  </si>
  <si>
    <t>Descripción F1: ___________________________________</t>
  </si>
  <si>
    <t>Descripción F2: ___________________________________</t>
  </si>
  <si>
    <t>[ FOTOGRAFÍA 3 ]</t>
  </si>
  <si>
    <t>[ FOTOGRAFÍA 4 ]</t>
  </si>
  <si>
    <t>Descripción F3: ___________________________________</t>
  </si>
  <si>
    <t>Descripción F4: ___________________________________</t>
  </si>
  <si>
    <t>[ FOTOGRAFÍA 5 ]</t>
  </si>
  <si>
    <t>[ FOTOGRAFÍA 6 ]</t>
  </si>
  <si>
    <t>Descripción F5: ___________________________________</t>
  </si>
  <si>
    <t>Descripción F6: ___________________________________</t>
  </si>
  <si>
    <t>[ FOTOGRAFÍA 7 ]</t>
  </si>
  <si>
    <t>[ FOTOGRAFÍA 8 ]</t>
  </si>
  <si>
    <t>Descripción F7: ___________________________________</t>
  </si>
  <si>
    <t>Descripción F8: ___________________________________</t>
  </si>
  <si>
    <t>[ FOTOGRAFÍA 9 ]</t>
  </si>
  <si>
    <t>[ FOTOGRAFÍA 10 ]</t>
  </si>
  <si>
    <t>Descripción F9: ___________________________________</t>
  </si>
  <si>
    <t>Descripción F10: ___________________________________</t>
  </si>
  <si>
    <t>[ FOTOGRAFÍA 11 ]</t>
  </si>
  <si>
    <t>[ FOTOGRAFÍA 12 ]</t>
  </si>
  <si>
    <t>Descripción F11: ___________________________________</t>
  </si>
  <si>
    <t>Descripción F12: ___________________________________</t>
  </si>
  <si>
    <t>Elaboró (Interventoría): _________________________     Firma: _____________     Fecha: ___________</t>
  </si>
  <si>
    <t>REGISTRO FOTOGRÁFICO HALLAZGOS
Contrato Interventoría PAE N° 656/2026</t>
  </si>
  <si>
    <t>ANÁLISIS DE PUNTAJES Y GRAMAJES – CCT</t>
  </si>
  <si>
    <t>FECHA</t>
  </si>
  <si>
    <t>SEDE</t>
  </si>
  <si>
    <t>RESPONSABLE</t>
  </si>
  <si>
    <t>TIPO VISITA</t>
  </si>
  <si>
    <t>PUNTAJE OBTENIDO</t>
  </si>
  <si>
    <t>PUNTAJE MÁXIMO</t>
  </si>
  <si>
    <t>% CUMPLIMIENTO</t>
  </si>
  <si>
    <t>CALIFICACIÓN</t>
  </si>
  <si>
    <t>GRAMAJE ESPERADO (g)</t>
  </si>
  <si>
    <t>GRAMAJE VERIFICADO (g)</t>
  </si>
  <si>
    <t>% CUMPLIMIENTO GRAMAJE</t>
  </si>
  <si>
    <t>ESTADO GRAMAJE</t>
  </si>
  <si>
    <t>INDICADORES GENERALES</t>
  </si>
  <si>
    <t>PROMEDIO CUMPLIMIENTO</t>
  </si>
  <si>
    <t>CONFORME</t>
  </si>
  <si>
    <t>PROMEDIO GRAMAJES</t>
  </si>
  <si>
    <t>ACEPTABLE</t>
  </si>
  <si>
    <t>MÁXIMO CUMPLIMIENTO</t>
  </si>
  <si>
    <t>NO CONFORME</t>
  </si>
  <si>
    <t>MÍNIMO CUMPLIMIENTO</t>
  </si>
  <si>
    <t>TOTAL VISITAS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</si>
</sst>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9">
    <font>
      <sz val="11.0"/>
      <color theme="1"/>
      <name val="Calibri"/>
      <scheme val="minor"/>
    </font>
    <font>
      <sz val="11.0"/>
      <color rgb="FFD0CECE"/>
      <name val="Arial"/>
    </font>
    <font/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i/>
      <sz val="9.0"/>
      <color theme="1"/>
      <name val="Arial"/>
    </font>
    <font>
      <b/>
      <sz val="11.0"/>
      <color rgb="FFD0CECE"/>
      <name val="Arial"/>
    </font>
    <font>
      <sz val="9.0"/>
      <color theme="1"/>
      <name val="Arial"/>
    </font>
    <font>
      <sz val="11.0"/>
      <color theme="1"/>
      <name val="Calibri"/>
    </font>
    <font>
      <sz val="16.0"/>
      <color theme="1"/>
      <name val="Arial Narrow"/>
    </font>
    <font>
      <b/>
      <sz val="12.0"/>
      <color theme="1"/>
      <name val="Arial Narrow"/>
    </font>
    <font>
      <b/>
      <sz val="11.0"/>
      <color theme="1"/>
      <name val="Arial Narrow"/>
    </font>
    <font>
      <b/>
      <sz val="11.0"/>
      <color theme="1"/>
      <name val="Tahoma"/>
    </font>
    <font>
      <sz val="11.0"/>
      <color theme="1"/>
      <name val="Arial Narrow"/>
    </font>
    <font>
      <sz val="11.0"/>
      <color rgb="FFFF0000"/>
      <name val="Calibri"/>
    </font>
    <font>
      <b/>
      <sz val="9.0"/>
      <color theme="1"/>
      <name val="Arial Narrow"/>
    </font>
    <font>
      <b/>
      <sz val="10.0"/>
      <color theme="1"/>
      <name val="Arial Narrow"/>
    </font>
    <font>
      <b/>
      <sz val="9.0"/>
      <color rgb="FFFFFFFF"/>
      <name val="Arial"/>
    </font>
    <font>
      <b/>
      <sz val="14.0"/>
      <color rgb="FFFFFFFF"/>
      <name val="Arial"/>
    </font>
    <font>
      <color theme="1"/>
      <name val="Calibri"/>
      <scheme val="minor"/>
    </font>
    <font>
      <sz val="9.0"/>
      <color rgb="FF1F4E79"/>
      <name val="Arial"/>
    </font>
    <font>
      <i/>
      <sz val="10.0"/>
      <color rgb="FFAAAAAA"/>
      <name val="Arial"/>
    </font>
    <font>
      <sz val="8.0"/>
      <color theme="1"/>
      <name val="Arial"/>
    </font>
    <font>
      <b/>
      <sz val="16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8EAADB"/>
        <bgColor rgb="FF8EAADB"/>
      </patternFill>
    </fill>
    <fill>
      <patternFill patternType="solid">
        <fgColor rgb="FFBFBFBF"/>
        <bgColor rgb="FFBFBFBF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EBF3FB"/>
        <bgColor rgb="FFEBF3FB"/>
      </patternFill>
    </fill>
    <fill>
      <patternFill patternType="solid">
        <fgColor rgb="FF1F4E78"/>
        <bgColor rgb="FF1F4E78"/>
      </patternFill>
    </fill>
  </fills>
  <borders count="80">
    <border/>
    <border>
      <left style="thin">
        <color rgb="FFA5A5A5"/>
      </left>
      <top style="thin">
        <color rgb="FFA5A5A5"/>
      </top>
    </border>
    <border>
      <top style="thin">
        <color rgb="FFA5A5A5"/>
      </top>
    </border>
    <border>
      <right/>
      <top style="thin">
        <color rgb="FFA5A5A5"/>
      </top>
    </border>
    <border>
      <left/>
      <top style="thin">
        <color rgb="FFA5A5A5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A5A5A5"/>
      </right>
    </border>
    <border>
      <left style="thin">
        <color rgb="FFA5A5A5"/>
      </left>
    </border>
    <border>
      <right/>
    </border>
    <border>
      <left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A5A5A5"/>
      </left>
      <bottom style="thin">
        <color rgb="FFA5A5A5"/>
      </bottom>
    </border>
    <border>
      <bottom style="thin">
        <color rgb="FFA5A5A5"/>
      </bottom>
    </border>
    <border>
      <right/>
      <bottom style="thin">
        <color rgb="FFA5A5A5"/>
      </bottom>
    </border>
    <border>
      <left/>
      <bottom/>
    </border>
    <border>
      <bottom/>
    </border>
    <border>
      <right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A5A5A5"/>
      </right>
      <top/>
      <bottom/>
    </border>
    <border>
      <left style="thin">
        <color rgb="FFA5A5A5"/>
      </left>
      <top/>
      <bottom/>
    </border>
    <border>
      <right/>
      <top/>
      <bottom/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left style="thin">
        <color rgb="FFA5A5A5"/>
      </left>
      <top style="thin">
        <color rgb="FFA5A5A5"/>
      </top>
      <bottom/>
    </border>
    <border>
      <top style="thin">
        <color rgb="FFA5A5A5"/>
      </top>
      <bottom/>
    </border>
    <border>
      <right style="thin">
        <color rgb="FFA5A5A5"/>
      </right>
      <top style="thin">
        <color rgb="FFA5A5A5"/>
      </top>
      <bottom/>
    </border>
    <border>
      <left style="thin">
        <color rgb="FFA5A5A5"/>
      </left>
      <right/>
      <top/>
      <bottom/>
    </border>
    <border>
      <left/>
      <right/>
      <top/>
      <bottom/>
    </border>
    <border>
      <left style="thin">
        <color rgb="FFA5A5A5"/>
      </left>
      <right/>
      <top/>
      <bottom style="thin">
        <color rgb="FFA5A5A5"/>
      </bottom>
    </border>
    <border>
      <left/>
      <right/>
      <top/>
      <bottom style="thin">
        <color rgb="FFA5A5A5"/>
      </bottom>
    </border>
    <border>
      <left/>
      <right style="thin">
        <color rgb="FFA5A5A5"/>
      </right>
      <top/>
      <bottom style="thin">
        <color rgb="FFA5A5A5"/>
      </bottom>
    </border>
    <border>
      <left/>
      <bottom style="thin">
        <color rgb="FFA5A5A5"/>
      </bottom>
    </border>
    <border>
      <left/>
      <top/>
    </border>
    <border>
      <right/>
      <top/>
    </border>
    <border>
      <left style="thin">
        <color rgb="FFA5A5A5"/>
      </left>
      <top style="thin">
        <color rgb="FF000000"/>
      </top>
      <bottom style="thin">
        <color rgb="FFA5A5A5"/>
      </bottom>
    </border>
    <border>
      <top style="thin">
        <color rgb="FF000000"/>
      </top>
      <bottom style="thin">
        <color rgb="FFA5A5A5"/>
      </bottom>
    </border>
    <border>
      <right/>
      <top style="thin">
        <color rgb="FF000000"/>
      </top>
      <bottom style="thin">
        <color rgb="FFA5A5A5"/>
      </bottom>
    </border>
    <border>
      <left/>
      <right/>
      <top style="thin">
        <color rgb="FFA5A5A5"/>
      </top>
      <bottom style="thin">
        <color rgb="FFA5A5A5"/>
      </bottom>
    </border>
    <border>
      <left style="thin">
        <color rgb="FFA5A5A5"/>
      </left>
      <right/>
      <top style="thin">
        <color rgb="FFA5A5A5"/>
      </top>
      <bottom/>
    </border>
    <border>
      <left/>
      <right/>
      <top style="thin">
        <color rgb="FFA5A5A5"/>
      </top>
      <bottom/>
    </border>
    <border>
      <left style="thin">
        <color rgb="FFA5A5A5"/>
      </left>
      <top/>
    </border>
    <border>
      <left style="thin">
        <color rgb="FFA5A5A5"/>
      </left>
      <bottom/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left/>
      <top/>
      <bottom style="thin">
        <color rgb="FFA5A5A5"/>
      </bottom>
    </border>
    <border>
      <top/>
      <bottom style="thin">
        <color rgb="FFA5A5A5"/>
      </bottom>
    </border>
    <border>
      <right style="thin">
        <color rgb="FFA5A5A5"/>
      </right>
      <top/>
      <bottom style="thin">
        <color rgb="FFA5A5A5"/>
      </bottom>
    </border>
    <border>
      <left style="thin">
        <color rgb="FFA5A5A5"/>
      </left>
      <top/>
      <bottom style="thin">
        <color rgb="FFA5A5A5"/>
      </bottom>
    </border>
    <border>
      <right/>
      <top style="thin">
        <color rgb="FFA5A5A5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A5A5A5"/>
      </right>
      <top/>
      <bottom/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right style="thin">
        <color rgb="FFAAAAAA"/>
      </right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top style="medium">
        <color rgb="FF1F4E79"/>
      </top>
    </border>
  </borders>
  <cellStyleXfs count="1">
    <xf borderId="0" fillId="0" fontId="0" numFmtId="0" applyAlignment="1" applyFont="1"/>
  </cellStyleXfs>
  <cellXfs count="2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4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3" fontId="3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0" fontId="2" numFmtId="0" xfId="0" applyBorder="1" applyFont="1"/>
    <xf borderId="8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5" fillId="0" fontId="5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center" vertical="center"/>
    </xf>
    <xf borderId="5" fillId="2" fontId="5" numFmtId="0" xfId="0" applyAlignment="1" applyBorder="1" applyFont="1">
      <alignment horizontal="left" vertical="center"/>
    </xf>
    <xf borderId="26" fillId="2" fontId="1" numFmtId="0" xfId="0" applyAlignment="1" applyBorder="1" applyFont="1">
      <alignment horizontal="center"/>
    </xf>
    <xf borderId="27" fillId="0" fontId="2" numFmtId="0" xfId="0" applyBorder="1" applyFont="1"/>
    <xf borderId="28" fillId="0" fontId="2" numFmtId="0" xfId="0" applyBorder="1" applyFont="1"/>
    <xf borderId="29" fillId="2" fontId="5" numFmtId="0" xfId="0" applyAlignment="1" applyBorder="1" applyFont="1">
      <alignment horizontal="center" vertical="center"/>
    </xf>
    <xf borderId="30" fillId="0" fontId="2" numFmtId="0" xfId="0" applyBorder="1" applyFont="1"/>
    <xf borderId="23" fillId="0" fontId="5" numFmtId="0" xfId="0" applyAlignment="1" applyBorder="1" applyFont="1">
      <alignment horizontal="center" vertical="center"/>
    </xf>
    <xf borderId="31" fillId="2" fontId="6" numFmtId="0" xfId="0" applyAlignment="1" applyBorder="1" applyFont="1">
      <alignment horizontal="center" vertical="center"/>
    </xf>
    <xf borderId="32" fillId="0" fontId="2" numFmtId="0" xfId="0" applyBorder="1" applyFont="1"/>
    <xf borderId="33" fillId="0" fontId="2" numFmtId="0" xfId="0" applyBorder="1" applyFont="1"/>
    <xf borderId="34" fillId="2" fontId="6" numFmtId="0" xfId="0" applyAlignment="1" applyBorder="1" applyFont="1">
      <alignment horizontal="center" shrinkToFit="0" wrapText="1"/>
    </xf>
    <xf borderId="35" fillId="0" fontId="2" numFmtId="0" xfId="0" applyBorder="1" applyFont="1"/>
    <xf borderId="36" fillId="0" fontId="2" numFmtId="0" xfId="0" applyBorder="1" applyFont="1"/>
    <xf borderId="34" fillId="2" fontId="6" numFmtId="0" xfId="0" applyAlignment="1" applyBorder="1" applyFont="1">
      <alignment horizontal="center" shrinkToFit="0" vertical="center" wrapText="1"/>
    </xf>
    <xf borderId="37" fillId="2" fontId="6" numFmtId="0" xfId="0" applyAlignment="1" applyBorder="1" applyFont="1">
      <alignment horizontal="center" vertical="center"/>
    </xf>
    <xf borderId="5" fillId="2" fontId="5" numFmtId="0" xfId="0" applyAlignment="1" applyBorder="1" applyFont="1">
      <alignment horizontal="center" vertical="center"/>
    </xf>
    <xf borderId="5" fillId="3" fontId="4" numFmtId="0" xfId="0" applyAlignment="1" applyBorder="1" applyFont="1">
      <alignment horizontal="center" vertical="center"/>
    </xf>
    <xf borderId="13" fillId="3" fontId="4" numFmtId="0" xfId="0" applyAlignment="1" applyBorder="1" applyFont="1">
      <alignment horizontal="center" vertical="center"/>
    </xf>
    <xf borderId="13" fillId="3" fontId="4" numFmtId="0" xfId="0" applyAlignment="1" applyBorder="1" applyFont="1">
      <alignment horizontal="center" shrinkToFit="0" vertical="center" wrapText="1"/>
    </xf>
    <xf borderId="13" fillId="3" fontId="7" numFmtId="0" xfId="0" applyAlignment="1" applyBorder="1" applyFont="1">
      <alignment horizontal="center" shrinkToFit="0" vertical="center" wrapText="1"/>
    </xf>
    <xf borderId="34" fillId="2" fontId="4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vertical="center"/>
    </xf>
    <xf borderId="13" fillId="2" fontId="4" numFmtId="0" xfId="0" applyAlignment="1" applyBorder="1" applyFont="1">
      <alignment horizontal="left" shrinkToFit="0" vertical="center" wrapText="1"/>
    </xf>
    <xf borderId="13" fillId="2" fontId="5" numFmtId="0" xfId="0" applyAlignment="1" applyBorder="1" applyFont="1">
      <alignment horizontal="center" shrinkToFit="0" vertical="center" wrapText="1"/>
    </xf>
    <xf borderId="13" fillId="2" fontId="4" numFmtId="0" xfId="0" applyAlignment="1" applyBorder="1" applyFont="1">
      <alignment horizontal="right" shrinkToFit="0" vertical="center" wrapText="1"/>
    </xf>
    <xf borderId="38" fillId="3" fontId="4" numFmtId="0" xfId="0" applyAlignment="1" applyBorder="1" applyFont="1">
      <alignment horizontal="left" vertical="center"/>
    </xf>
    <xf borderId="39" fillId="0" fontId="2" numFmtId="0" xfId="0" applyBorder="1" applyFont="1"/>
    <xf borderId="40" fillId="0" fontId="2" numFmtId="0" xfId="0" applyBorder="1" applyFont="1"/>
    <xf borderId="5" fillId="2" fontId="5" numFmtId="0" xfId="0" applyAlignment="1" applyBorder="1" applyFont="1">
      <alignment vertical="center"/>
    </xf>
    <xf borderId="29" fillId="2" fontId="5" numFmtId="0" xfId="0" applyAlignment="1" applyBorder="1" applyFont="1">
      <alignment vertical="center"/>
    </xf>
    <xf borderId="41" fillId="2" fontId="5" numFmtId="0" xfId="0" applyAlignment="1" applyBorder="1" applyFont="1">
      <alignment horizontal="center" vertical="center"/>
    </xf>
    <xf borderId="42" fillId="2" fontId="5" numFmtId="0" xfId="0" applyAlignment="1" applyBorder="1" applyFont="1">
      <alignment horizontal="center" vertical="center"/>
    </xf>
    <xf borderId="13" fillId="2" fontId="5" numFmtId="0" xfId="0" applyAlignment="1" applyBorder="1" applyFont="1">
      <alignment horizontal="center" vertical="center"/>
    </xf>
    <xf borderId="42" fillId="2" fontId="8" numFmtId="0" xfId="0" applyAlignment="1" applyBorder="1" applyFont="1">
      <alignment shrinkToFit="0" vertical="center" wrapText="1"/>
    </xf>
    <xf borderId="43" fillId="2" fontId="5" numFmtId="0" xfId="0" applyAlignment="1" applyBorder="1" applyFont="1">
      <alignment horizontal="center" vertical="center"/>
    </xf>
    <xf borderId="44" fillId="2" fontId="5" numFmtId="0" xfId="0" applyAlignment="1" applyBorder="1" applyFont="1">
      <alignment horizontal="center" vertical="center"/>
    </xf>
    <xf borderId="45" fillId="2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2" fontId="5" numFmtId="0" xfId="0" applyAlignment="1" applyBorder="1" applyFont="1">
      <alignment horizontal="center"/>
    </xf>
    <xf borderId="4" fillId="2" fontId="5" numFmtId="0" xfId="0" applyAlignment="1" applyBorder="1" applyFont="1">
      <alignment horizontal="center"/>
    </xf>
    <xf borderId="13" fillId="0" fontId="7" numFmtId="0" xfId="0" applyAlignment="1" applyBorder="1" applyFont="1">
      <alignment horizontal="center" shrinkToFit="0" vertical="center" wrapText="1"/>
    </xf>
    <xf borderId="0" fillId="0" fontId="5" numFmtId="0" xfId="0" applyFont="1"/>
    <xf borderId="0" fillId="0" fontId="5" numFmtId="0" xfId="0" applyAlignment="1" applyFont="1">
      <alignment vertical="center"/>
    </xf>
    <xf borderId="46" fillId="0" fontId="2" numFmtId="0" xfId="0" applyBorder="1" applyFont="1"/>
    <xf borderId="5" fillId="0" fontId="4" numFmtId="0" xfId="0" applyAlignment="1" applyBorder="1" applyFont="1">
      <alignment horizontal="left" vertical="center"/>
    </xf>
    <xf borderId="5" fillId="2" fontId="9" numFmtId="0" xfId="0" applyAlignment="1" applyBorder="1" applyFont="1">
      <alignment horizontal="center"/>
    </xf>
    <xf borderId="5" fillId="2" fontId="4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center" vertical="center"/>
    </xf>
    <xf borderId="47" fillId="2" fontId="6" numFmtId="0" xfId="0" applyAlignment="1" applyBorder="1" applyFont="1">
      <alignment horizontal="center" vertical="center"/>
    </xf>
    <xf borderId="48" fillId="0" fontId="2" numFmtId="0" xfId="0" applyBorder="1" applyFont="1"/>
    <xf borderId="26" fillId="2" fontId="6" numFmtId="0" xfId="0" applyAlignment="1" applyBorder="1" applyFont="1">
      <alignment horizontal="center" shrinkToFit="0" wrapText="1"/>
    </xf>
    <xf borderId="26" fillId="2" fontId="6" numFmtId="0" xfId="0" applyAlignment="1" applyBorder="1" applyFont="1">
      <alignment horizontal="center" shrinkToFit="0" vertical="center" wrapText="1"/>
    </xf>
    <xf borderId="26" fillId="2" fontId="6" numFmtId="0" xfId="0" applyAlignment="1" applyBorder="1" applyFont="1">
      <alignment horizontal="center" vertical="center"/>
    </xf>
    <xf borderId="26" fillId="2" fontId="5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/>
    </xf>
    <xf borderId="13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49" fillId="3" fontId="4" numFmtId="0" xfId="0" applyAlignment="1" applyBorder="1" applyFont="1">
      <alignment horizontal="center" vertical="center"/>
    </xf>
    <xf borderId="50" fillId="0" fontId="2" numFmtId="0" xfId="0" applyBorder="1" applyFont="1"/>
    <xf borderId="51" fillId="0" fontId="2" numFmtId="0" xfId="0" applyBorder="1" applyFont="1"/>
    <xf borderId="52" fillId="3" fontId="4" numFmtId="0" xfId="0" applyAlignment="1" applyBorder="1" applyFont="1">
      <alignment vertical="center"/>
    </xf>
    <xf borderId="53" fillId="2" fontId="5" numFmtId="0" xfId="0" applyAlignment="1" applyBorder="1" applyFont="1">
      <alignment horizontal="left" vertical="center"/>
    </xf>
    <xf borderId="54" fillId="2" fontId="5" numFmtId="0" xfId="0" applyAlignment="1" applyBorder="1" applyFont="1">
      <alignment horizontal="left" vertical="center"/>
    </xf>
    <xf borderId="54" fillId="2" fontId="5" numFmtId="0" xfId="0" applyAlignment="1" applyBorder="1" applyFont="1">
      <alignment vertical="center"/>
    </xf>
    <xf borderId="55" fillId="2" fontId="5" numFmtId="0" xfId="0" applyAlignment="1" applyBorder="1" applyFont="1">
      <alignment horizontal="center" shrinkToFit="0" vertical="center" wrapText="1"/>
    </xf>
    <xf borderId="42" fillId="2" fontId="5" numFmtId="0" xfId="0" applyAlignment="1" applyBorder="1" applyFont="1">
      <alignment vertical="center"/>
    </xf>
    <xf borderId="56" fillId="0" fontId="2" numFmtId="0" xfId="0" applyBorder="1" applyFont="1"/>
    <xf borderId="42" fillId="4" fontId="4" numFmtId="0" xfId="0" applyAlignment="1" applyBorder="1" applyFill="1" applyFont="1">
      <alignment vertical="center"/>
    </xf>
    <xf borderId="10" fillId="0" fontId="5" numFmtId="0" xfId="0" applyAlignment="1" applyBorder="1" applyFont="1">
      <alignment horizontal="left" vertical="center"/>
    </xf>
    <xf borderId="57" fillId="0" fontId="5" numFmtId="0" xfId="0" applyAlignment="1" applyBorder="1" applyFont="1">
      <alignment horizontal="left" vertical="center"/>
    </xf>
    <xf borderId="58" fillId="0" fontId="2" numFmtId="0" xfId="0" applyBorder="1" applyFont="1"/>
    <xf borderId="9" fillId="0" fontId="5" numFmtId="0" xfId="0" applyAlignment="1" applyBorder="1" applyFont="1">
      <alignment horizontal="left" vertical="center"/>
    </xf>
    <xf borderId="0" fillId="0" fontId="5" numFmtId="0" xfId="0" applyAlignment="1" applyFont="1">
      <alignment horizontal="left" vertical="center"/>
    </xf>
    <xf borderId="59" fillId="0" fontId="2" numFmtId="0" xfId="0" applyBorder="1" applyFont="1"/>
    <xf borderId="57" fillId="0" fontId="5" numFmtId="0" xfId="0" applyAlignment="1" applyBorder="1" applyFont="1">
      <alignment horizontal="center" vertical="center"/>
    </xf>
    <xf borderId="17" fillId="0" fontId="5" numFmtId="0" xfId="0" applyAlignment="1" applyBorder="1" applyFont="1">
      <alignment horizontal="center" vertical="center"/>
    </xf>
    <xf borderId="60" fillId="0" fontId="2" numFmtId="0" xfId="0" applyBorder="1" applyFont="1"/>
    <xf borderId="17" fillId="0" fontId="5" numFmtId="0" xfId="0" applyAlignment="1" applyBorder="1" applyFont="1">
      <alignment horizontal="left" vertical="center"/>
    </xf>
    <xf borderId="10" fillId="0" fontId="5" numFmtId="0" xfId="0" applyBorder="1" applyFont="1"/>
    <xf borderId="9" fillId="0" fontId="5" numFmtId="0" xfId="0" applyBorder="1" applyFont="1"/>
    <xf borderId="5" fillId="3" fontId="5" numFmtId="0" xfId="0" applyAlignment="1" applyBorder="1" applyFont="1">
      <alignment horizontal="center" vertical="center"/>
    </xf>
    <xf borderId="61" fillId="2" fontId="5" numFmtId="0" xfId="0" applyAlignment="1" applyBorder="1" applyFont="1">
      <alignment horizontal="center" shrinkToFit="0" vertical="center" wrapText="1"/>
    </xf>
    <xf borderId="62" fillId="0" fontId="2" numFmtId="0" xfId="0" applyBorder="1" applyFont="1"/>
    <xf borderId="63" fillId="0" fontId="2" numFmtId="0" xfId="0" applyBorder="1" applyFont="1"/>
    <xf borderId="64" fillId="2" fontId="5" numFmtId="0" xfId="0" applyAlignment="1" applyBorder="1" applyFont="1">
      <alignment horizontal="center" vertical="center"/>
    </xf>
    <xf borderId="64" fillId="2" fontId="5" numFmtId="0" xfId="0" applyAlignment="1" applyBorder="1" applyFont="1">
      <alignment horizontal="left" vertical="center"/>
    </xf>
    <xf borderId="57" fillId="2" fontId="5" numFmtId="18" xfId="0" applyAlignment="1" applyBorder="1" applyFont="1" applyNumberFormat="1">
      <alignment horizontal="center" vertical="center"/>
    </xf>
    <xf borderId="57" fillId="2" fontId="5" numFmtId="0" xfId="0" applyAlignment="1" applyBorder="1" applyFont="1">
      <alignment horizontal="center" vertical="center"/>
    </xf>
    <xf borderId="57" fillId="2" fontId="5" numFmtId="0" xfId="0" applyAlignment="1" applyBorder="1" applyFont="1">
      <alignment horizontal="left" vertical="center"/>
    </xf>
    <xf borderId="57" fillId="0" fontId="5" numFmtId="0" xfId="0" applyAlignment="1" applyBorder="1" applyFont="1">
      <alignment horizontal="left" shrinkToFit="0" vertical="center" wrapText="1"/>
    </xf>
    <xf borderId="57" fillId="0" fontId="10" numFmtId="0" xfId="0" applyAlignment="1" applyBorder="1" applyFont="1">
      <alignment horizontal="center" vertical="center"/>
    </xf>
    <xf borderId="38" fillId="3" fontId="4" numFmtId="0" xfId="0" applyAlignment="1" applyBorder="1" applyFont="1">
      <alignment horizontal="center" vertical="center"/>
    </xf>
    <xf borderId="65" fillId="0" fontId="2" numFmtId="0" xfId="0" applyBorder="1" applyFont="1"/>
    <xf borderId="66" fillId="3" fontId="4" numFmtId="0" xfId="0" applyAlignment="1" applyBorder="1" applyFont="1">
      <alignment horizontal="center" vertical="center"/>
    </xf>
    <xf borderId="67" fillId="0" fontId="2" numFmtId="0" xfId="0" applyBorder="1" applyFont="1"/>
    <xf borderId="68" fillId="0" fontId="2" numFmtId="0" xfId="0" applyBorder="1" applyFont="1"/>
    <xf borderId="69" fillId="0" fontId="5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left" shrinkToFit="0" vertical="top" wrapText="1"/>
    </xf>
    <xf borderId="5" fillId="0" fontId="6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29" fillId="3" fontId="4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left" vertical="top"/>
    </xf>
    <xf borderId="0" fillId="0" fontId="11" numFmtId="9" xfId="0" applyFont="1" applyNumberFormat="1"/>
    <xf borderId="5" fillId="3" fontId="4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/>
    </xf>
    <xf borderId="10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9" fillId="0" fontId="5" numFmtId="0" xfId="0" applyAlignment="1" applyBorder="1" applyFont="1">
      <alignment horizontal="center"/>
    </xf>
    <xf borderId="26" fillId="2" fontId="4" numFmtId="0" xfId="0" applyAlignment="1" applyBorder="1" applyFont="1">
      <alignment horizontal="center" vertical="center"/>
    </xf>
    <xf borderId="70" fillId="2" fontId="5" numFmtId="0" xfId="0" applyAlignment="1" applyBorder="1" applyFont="1">
      <alignment horizontal="center" vertical="center"/>
    </xf>
    <xf borderId="13" fillId="2" fontId="5" numFmtId="0" xfId="0" applyAlignment="1" applyBorder="1" applyFont="1">
      <alignment horizontal="center"/>
    </xf>
    <xf borderId="71" fillId="3" fontId="4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72" fillId="0" fontId="2" numFmtId="0" xfId="0" applyBorder="1" applyFont="1"/>
    <xf borderId="73" fillId="0" fontId="2" numFmtId="0" xfId="0" applyBorder="1" applyFont="1"/>
    <xf borderId="26" fillId="2" fontId="9" numFmtId="0" xfId="0" applyAlignment="1" applyBorder="1" applyFont="1">
      <alignment horizontal="center"/>
    </xf>
    <xf borderId="5" fillId="0" fontId="4" numFmtId="0" xfId="0" applyAlignment="1" applyBorder="1" applyFont="1">
      <alignment vertical="center"/>
    </xf>
    <xf borderId="13" fillId="0" fontId="4" numFmtId="0" xfId="0" applyAlignment="1" applyBorder="1" applyFont="1">
      <alignment shrinkToFit="0" vertical="center" wrapText="1"/>
    </xf>
    <xf borderId="13" fillId="0" fontId="4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shrinkToFit="0" vertical="center" wrapText="1"/>
    </xf>
    <xf borderId="57" fillId="3" fontId="4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left" vertical="center"/>
    </xf>
    <xf borderId="13" fillId="0" fontId="6" numFmtId="0" xfId="0" applyAlignment="1" applyBorder="1" applyFont="1">
      <alignment horizontal="center"/>
    </xf>
    <xf borderId="5" fillId="0" fontId="6" numFmtId="0" xfId="0" applyAlignment="1" applyBorder="1" applyFont="1">
      <alignment horizontal="center" vertical="center"/>
    </xf>
    <xf borderId="69" fillId="0" fontId="6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left" shrinkToFit="0" vertical="center" wrapText="1"/>
    </xf>
    <xf borderId="13" fillId="0" fontId="5" numFmtId="0" xfId="0" applyAlignment="1" applyBorder="1" applyFont="1">
      <alignment horizontal="center"/>
    </xf>
    <xf borderId="42" fillId="2" fontId="4" numFmtId="0" xfId="0" applyAlignment="1" applyBorder="1" applyFont="1">
      <alignment vertical="center"/>
    </xf>
    <xf borderId="5" fillId="0" fontId="12" numFmtId="0" xfId="0" applyAlignment="1" applyBorder="1" applyFont="1">
      <alignment horizontal="center" shrinkToFit="0" vertical="center" wrapText="1"/>
    </xf>
    <xf borderId="5" fillId="0" fontId="13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horizontal="left" shrinkToFit="0" vertical="center" wrapText="1"/>
    </xf>
    <xf borderId="5" fillId="0" fontId="15" numFmtId="0" xfId="0" applyAlignment="1" applyBorder="1" applyFont="1">
      <alignment horizontal="center" vertical="center"/>
    </xf>
    <xf borderId="69" fillId="0" fontId="15" numFmtId="0" xfId="0" applyAlignment="1" applyBorder="1" applyFont="1">
      <alignment horizontal="center" vertical="center"/>
    </xf>
    <xf borderId="5" fillId="0" fontId="14" numFmtId="164" xfId="0" applyAlignment="1" applyBorder="1" applyFont="1" applyNumberFormat="1">
      <alignment horizontal="center" shrinkToFit="0" vertical="center" wrapText="1"/>
    </xf>
    <xf borderId="69" fillId="0" fontId="14" numFmtId="164" xfId="0" applyAlignment="1" applyBorder="1" applyFont="1" applyNumberFormat="1">
      <alignment horizontal="center" shrinkToFit="0" vertical="center" wrapText="1"/>
    </xf>
    <xf borderId="5" fillId="0" fontId="14" numFmtId="0" xfId="0" applyAlignment="1" applyBorder="1" applyFont="1">
      <alignment horizontal="center" vertical="center"/>
    </xf>
    <xf borderId="5" fillId="0" fontId="14" numFmtId="20" xfId="0" applyAlignment="1" applyBorder="1" applyFont="1" applyNumberFormat="1">
      <alignment horizontal="center" vertical="center"/>
    </xf>
    <xf borderId="5" fillId="2" fontId="14" numFmtId="0" xfId="0" applyAlignment="1" applyBorder="1" applyFont="1">
      <alignment horizontal="center" vertical="center"/>
    </xf>
    <xf borderId="69" fillId="2" fontId="14" numFmtId="0" xfId="0" applyAlignment="1" applyBorder="1" applyFont="1">
      <alignment horizontal="center" vertical="center"/>
    </xf>
    <xf borderId="5" fillId="0" fontId="16" numFmtId="3" xfId="0" applyAlignment="1" applyBorder="1" applyFont="1" applyNumberFormat="1">
      <alignment horizontal="center" vertical="center"/>
    </xf>
    <xf borderId="74" fillId="0" fontId="14" numFmtId="0" xfId="0" applyAlignment="1" applyBorder="1" applyFont="1">
      <alignment horizontal="center" shrinkToFit="0" vertical="center" wrapText="1"/>
    </xf>
    <xf borderId="69" fillId="0" fontId="14" numFmtId="0" xfId="0" applyAlignment="1" applyBorder="1" applyFont="1">
      <alignment shrinkToFit="0" vertical="center" wrapText="1"/>
    </xf>
    <xf borderId="69" fillId="0" fontId="11" numFmtId="0" xfId="0" applyBorder="1" applyFont="1"/>
    <xf borderId="69" fillId="0" fontId="14" numFmtId="0" xfId="0" applyAlignment="1" applyBorder="1" applyFont="1">
      <alignment horizontal="left" shrinkToFit="0" vertical="center" wrapText="1"/>
    </xf>
    <xf borderId="75" fillId="0" fontId="2" numFmtId="0" xfId="0" applyBorder="1" applyFont="1"/>
    <xf borderId="69" fillId="0" fontId="17" numFmtId="0" xfId="0" applyBorder="1" applyFont="1"/>
    <xf borderId="13" fillId="0" fontId="14" numFmtId="0" xfId="0" applyAlignment="1" applyBorder="1" applyFont="1">
      <alignment horizontal="left" shrinkToFit="0" vertical="center" wrapText="1"/>
    </xf>
    <xf borderId="69" fillId="0" fontId="11" numFmtId="0" xfId="0" applyAlignment="1" applyBorder="1" applyFont="1">
      <alignment horizontal="left"/>
    </xf>
    <xf borderId="13" fillId="0" fontId="14" numFmtId="0" xfId="0" applyAlignment="1" applyBorder="1" applyFont="1">
      <alignment horizontal="center" shrinkToFit="0" vertical="center" wrapText="1"/>
    </xf>
    <xf borderId="5" fillId="5" fontId="14" numFmtId="0" xfId="0" applyAlignment="1" applyBorder="1" applyFill="1" applyFont="1">
      <alignment horizontal="center" shrinkToFit="0" vertical="center" wrapText="1"/>
    </xf>
    <xf borderId="74" fillId="4" fontId="14" numFmtId="0" xfId="0" applyAlignment="1" applyBorder="1" applyFont="1">
      <alignment horizontal="center" shrinkToFit="0" vertical="center" wrapText="1"/>
    </xf>
    <xf borderId="74" fillId="4" fontId="18" numFmtId="0" xfId="0" applyAlignment="1" applyBorder="1" applyFont="1">
      <alignment horizontal="center" shrinkToFit="0" vertical="center" wrapText="1"/>
    </xf>
    <xf borderId="69" fillId="4" fontId="14" numFmtId="0" xfId="0" applyAlignment="1" applyBorder="1" applyFont="1">
      <alignment horizontal="center" shrinkToFit="0" vertical="center" wrapText="1"/>
    </xf>
    <xf borderId="69" fillId="4" fontId="14" numFmtId="0" xfId="0" applyAlignment="1" applyBorder="1" applyFont="1">
      <alignment shrinkToFit="0" vertical="center" wrapText="1"/>
    </xf>
    <xf borderId="69" fillId="4" fontId="18" numFmtId="0" xfId="0" applyAlignment="1" applyBorder="1" applyFont="1">
      <alignment horizontal="center" shrinkToFit="0" vertical="center" wrapText="1"/>
    </xf>
    <xf borderId="5" fillId="6" fontId="3" numFmtId="0" xfId="0" applyAlignment="1" applyBorder="1" applyFill="1" applyFont="1">
      <alignment horizontal="left"/>
    </xf>
    <xf borderId="69" fillId="0" fontId="16" numFmtId="0" xfId="0" applyAlignment="1" applyBorder="1" applyFont="1">
      <alignment horizontal="left" shrinkToFit="0" vertical="center" wrapText="1"/>
    </xf>
    <xf borderId="69" fillId="0" fontId="16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horizontal="right" shrinkToFit="0" vertical="center" wrapText="1"/>
    </xf>
    <xf borderId="5" fillId="0" fontId="16" numFmtId="0" xfId="0" applyAlignment="1" applyBorder="1" applyFont="1">
      <alignment horizontal="left" shrinkToFit="0" vertical="top" wrapText="1"/>
    </xf>
    <xf borderId="5" fillId="0" fontId="16" numFmtId="0" xfId="0" applyAlignment="1" applyBorder="1" applyFont="1">
      <alignment horizontal="left" vertical="center"/>
    </xf>
    <xf borderId="69" fillId="0" fontId="16" numFmtId="0" xfId="0" applyAlignment="1" applyBorder="1" applyFont="1">
      <alignment horizontal="left" shrinkToFit="0" vertical="top" wrapText="1"/>
    </xf>
    <xf borderId="13" fillId="0" fontId="16" numFmtId="0" xfId="0" applyAlignment="1" applyBorder="1" applyFont="1">
      <alignment horizontal="left" vertical="top"/>
    </xf>
    <xf borderId="5" fillId="7" fontId="14" numFmtId="0" xfId="0" applyAlignment="1" applyBorder="1" applyFill="1" applyFont="1">
      <alignment horizontal="center" shrinkToFit="0" vertical="center" wrapText="1"/>
    </xf>
    <xf borderId="69" fillId="0" fontId="14" numFmtId="0" xfId="0" applyAlignment="1" applyBorder="1" applyFont="1">
      <alignment horizontal="center" shrinkToFit="0" vertical="center" wrapText="1"/>
    </xf>
    <xf borderId="69" fillId="0" fontId="19" numFmtId="0" xfId="0" applyAlignment="1" applyBorder="1" applyFont="1">
      <alignment horizontal="left" shrinkToFit="0" vertical="center" wrapText="1"/>
    </xf>
    <xf borderId="69" fillId="2" fontId="16" numFmtId="0" xfId="0" applyAlignment="1" applyBorder="1" applyFont="1">
      <alignment horizontal="center" shrinkToFit="0" vertical="center" wrapText="1"/>
    </xf>
    <xf borderId="69" fillId="0" fontId="18" numFmtId="0" xfId="0" applyAlignment="1" applyBorder="1" applyFont="1">
      <alignment horizontal="center" shrinkToFit="0" vertical="center" wrapText="1"/>
    </xf>
    <xf borderId="5" fillId="2" fontId="16" numFmtId="9" xfId="0" applyAlignment="1" applyBorder="1" applyFont="1" applyNumberFormat="1">
      <alignment horizontal="center" shrinkToFit="0" vertical="center" wrapText="1"/>
    </xf>
    <xf borderId="26" fillId="8" fontId="20" numFmtId="0" xfId="0" applyAlignment="1" applyBorder="1" applyFill="1" applyFont="1">
      <alignment horizontal="center" vertical="center"/>
    </xf>
    <xf borderId="26" fillId="9" fontId="21" numFmtId="0" xfId="0" applyAlignment="1" applyBorder="1" applyFill="1" applyFont="1">
      <alignment horizontal="center" shrinkToFit="0" vertical="center" wrapText="1"/>
    </xf>
    <xf borderId="0" fillId="0" fontId="22" numFmtId="0" xfId="0" applyFont="1"/>
    <xf borderId="26" fillId="10" fontId="23" numFmtId="0" xfId="0" applyAlignment="1" applyBorder="1" applyFill="1" applyFont="1">
      <alignment horizontal="center" vertical="center"/>
    </xf>
    <xf borderId="0" fillId="0" fontId="10" numFmtId="0" xfId="0" applyAlignment="1" applyFont="1">
      <alignment horizontal="left" vertical="center"/>
    </xf>
    <xf borderId="42" fillId="8" fontId="20" numFmtId="0" xfId="0" applyAlignment="1" applyBorder="1" applyFont="1">
      <alignment horizontal="center" vertical="center"/>
    </xf>
    <xf borderId="76" fillId="4" fontId="24" numFmtId="0" xfId="0" applyAlignment="1" applyBorder="1" applyFont="1">
      <alignment horizontal="center" vertical="center"/>
    </xf>
    <xf borderId="77" fillId="0" fontId="2" numFmtId="0" xfId="0" applyBorder="1" applyFont="1"/>
    <xf borderId="78" fillId="0" fontId="2" numFmtId="0" xfId="0" applyBorder="1" applyFont="1"/>
    <xf borderId="76" fillId="11" fontId="25" numFmtId="0" xfId="0" applyAlignment="1" applyBorder="1" applyFill="1" applyFont="1">
      <alignment horizontal="left" shrinkToFit="0" vertical="center" wrapText="1"/>
    </xf>
    <xf borderId="79" fillId="0" fontId="25" numFmtId="0" xfId="0" applyAlignment="1" applyBorder="1" applyFont="1">
      <alignment horizontal="center" vertical="center"/>
    </xf>
    <xf borderId="79" fillId="0" fontId="2" numFmtId="0" xfId="0" applyBorder="1" applyFont="1"/>
    <xf borderId="0" fillId="0" fontId="26" numFmtId="0" xfId="0" applyFont="1"/>
    <xf borderId="42" fillId="12" fontId="27" numFmtId="0" xfId="0" applyAlignment="1" applyBorder="1" applyFill="1" applyFont="1">
      <alignment horizontal="center" shrinkToFit="0" vertical="center" wrapText="1"/>
    </xf>
    <xf borderId="0" fillId="0" fontId="28" numFmtId="0" xfId="0" applyFont="1"/>
    <xf borderId="0" fillId="0" fontId="2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CUMPLIMIENTO POR VISITA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% CUMPLIMIENTO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ANALISIS_PUNTAJES!$B$4:$B$30</c:f>
            </c:strRef>
          </c:cat>
          <c:val>
            <c:numRef>
              <c:f>ANALISIS_PUNTAJES!$G$4:$G$30</c:f>
              <c:numCache/>
            </c:numRef>
          </c:val>
        </c:ser>
        <c:axId val="568578009"/>
        <c:axId val="396317221"/>
      </c:barChart>
      <c:catAx>
        <c:axId val="5685780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6317221"/>
      </c:catAx>
      <c:valAx>
        <c:axId val="3963172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% CUMPLIMIENTO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85780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TENDENCIA DE CUMPLIMIENTO DE GRAMAJES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% CUMPLIMIENTO GRAMAJE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ANALISIS_PUNTAJES!$B$4:$B$30</c:f>
            </c:strRef>
          </c:cat>
          <c:val>
            <c:numRef>
              <c:f>ANALISIS_PUNTAJES!$K$4:$K$30</c:f>
              <c:numCache/>
            </c:numRef>
          </c:val>
          <c:smooth val="1"/>
        </c:ser>
        <c:axId val="2029322398"/>
        <c:axId val="234898465"/>
      </c:lineChart>
      <c:catAx>
        <c:axId val="20293223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4898465"/>
      </c:catAx>
      <c:valAx>
        <c:axId val="2348984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% GRAMAJE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93223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ESTADO DE GRAMAJES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ANALISIS_PUNTAJES!$R$4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ANALISIS_PUNTAJES!$Q$5:$Q$7</c:f>
            </c:strRef>
          </c:cat>
          <c:val>
            <c:numRef>
              <c:f>ANALISIS_PUNTAJES!$R$5:$R$7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2.png"/><Relationship Id="rId3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6.png"/><Relationship Id="rId3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66675</xdr:colOff>
      <xdr:row>26</xdr:row>
      <xdr:rowOff>38100</xdr:rowOff>
    </xdr:from>
    <xdr:ext cx="2990850" cy="1133475"/>
    <xdr:grpSp>
      <xdr:nvGrpSpPr>
        <xdr:cNvPr id="2" name="Shape 2"/>
        <xdr:cNvGrpSpPr/>
      </xdr:nvGrpSpPr>
      <xdr:grpSpPr>
        <a:xfrm>
          <a:off x="3850575" y="3213263"/>
          <a:ext cx="2990850" cy="1133475"/>
          <a:chOff x="3850575" y="3213263"/>
          <a:chExt cx="2990850" cy="1133475"/>
        </a:xfrm>
      </xdr:grpSpPr>
      <xdr:grpSp>
        <xdr:nvGrpSpPr>
          <xdr:cNvPr id="3" name="Shape 3"/>
          <xdr:cNvGrpSpPr/>
        </xdr:nvGrpSpPr>
        <xdr:grpSpPr>
          <a:xfrm>
            <a:off x="3850575" y="3213263"/>
            <a:ext cx="2990850" cy="1133475"/>
            <a:chOff x="8915400" y="2857500"/>
            <a:chExt cx="2452147" cy="1182370"/>
          </a:xfrm>
        </xdr:grpSpPr>
        <xdr:sp>
          <xdr:nvSpPr>
            <xdr:cNvPr id="4" name="Shape 4"/>
            <xdr:cNvSpPr/>
          </xdr:nvSpPr>
          <xdr:spPr>
            <a:xfrm>
              <a:off x="8915400" y="2857500"/>
              <a:ext cx="2452125" cy="1182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 rot="5400000">
              <a:off x="10724515" y="3396838"/>
              <a:ext cx="1182370" cy="103694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171450</xdr:colOff>
      <xdr:row>0</xdr:row>
      <xdr:rowOff>38100</xdr:rowOff>
    </xdr:from>
    <xdr:ext cx="600075" cy="7620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0</xdr:row>
      <xdr:rowOff>104775</xdr:rowOff>
    </xdr:from>
    <xdr:ext cx="1533525" cy="704850"/>
    <xdr:pic>
      <xdr:nvPicPr>
        <xdr:cNvPr descr="Logotipo, nombre de la empresa&#10;&#10;El contenido generado por IA puede ser incorrecto.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65</xdr:row>
      <xdr:rowOff>28575</xdr:rowOff>
    </xdr:from>
    <xdr:ext cx="2457450" cy="1590675"/>
    <xdr:grpSp>
      <xdr:nvGrpSpPr>
        <xdr:cNvPr id="2" name="Shape 2"/>
        <xdr:cNvGrpSpPr/>
      </xdr:nvGrpSpPr>
      <xdr:grpSpPr>
        <a:xfrm>
          <a:off x="4117275" y="2984663"/>
          <a:ext cx="2457450" cy="1590675"/>
          <a:chOff x="4117275" y="2984663"/>
          <a:chExt cx="2457450" cy="1590675"/>
        </a:xfrm>
      </xdr:grpSpPr>
      <xdr:grpSp>
        <xdr:nvGrpSpPr>
          <xdr:cNvPr id="6" name="Shape 6"/>
          <xdr:cNvGrpSpPr/>
        </xdr:nvGrpSpPr>
        <xdr:grpSpPr>
          <a:xfrm>
            <a:off x="4117275" y="2984663"/>
            <a:ext cx="2457450" cy="1590675"/>
            <a:chOff x="8915400" y="2857500"/>
            <a:chExt cx="2452147" cy="1182370"/>
          </a:xfrm>
        </xdr:grpSpPr>
        <xdr:sp>
          <xdr:nvSpPr>
            <xdr:cNvPr id="4" name="Shape 4"/>
            <xdr:cNvSpPr/>
          </xdr:nvSpPr>
          <xdr:spPr>
            <a:xfrm>
              <a:off x="8915400" y="2857500"/>
              <a:ext cx="2452125" cy="1182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7" name="Shape 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 rot="5400000">
              <a:off x="10724515" y="3396838"/>
              <a:ext cx="1182370" cy="103694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85725</xdr:colOff>
      <xdr:row>0</xdr:row>
      <xdr:rowOff>152400</xdr:rowOff>
    </xdr:from>
    <xdr:ext cx="552450" cy="11430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0</xdr:row>
      <xdr:rowOff>142875</xdr:rowOff>
    </xdr:from>
    <xdr:ext cx="1590675" cy="895350"/>
    <xdr:pic>
      <xdr:nvPicPr>
        <xdr:cNvPr descr="Logotipo, nombre de la empresa&#10;&#10;El contenido generado por IA puede ser incorrecto."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</xdr:colOff>
      <xdr:row>45</xdr:row>
      <xdr:rowOff>9525</xdr:rowOff>
    </xdr:from>
    <xdr:ext cx="2724150" cy="1133475"/>
    <xdr:grpSp>
      <xdr:nvGrpSpPr>
        <xdr:cNvPr id="2" name="Shape 2"/>
        <xdr:cNvGrpSpPr/>
      </xdr:nvGrpSpPr>
      <xdr:grpSpPr>
        <a:xfrm>
          <a:off x="3983925" y="3213263"/>
          <a:ext cx="2724150" cy="1133475"/>
          <a:chOff x="3983925" y="3213263"/>
          <a:chExt cx="2724150" cy="1133475"/>
        </a:xfrm>
      </xdr:grpSpPr>
      <xdr:grpSp>
        <xdr:nvGrpSpPr>
          <xdr:cNvPr id="8" name="Shape 8"/>
          <xdr:cNvGrpSpPr/>
        </xdr:nvGrpSpPr>
        <xdr:grpSpPr>
          <a:xfrm>
            <a:off x="3983925" y="3213263"/>
            <a:ext cx="2724150" cy="1133475"/>
            <a:chOff x="8915400" y="2857500"/>
            <a:chExt cx="2452147" cy="1182370"/>
          </a:xfrm>
        </xdr:grpSpPr>
        <xdr:sp>
          <xdr:nvSpPr>
            <xdr:cNvPr id="4" name="Shape 4"/>
            <xdr:cNvSpPr/>
          </xdr:nvSpPr>
          <xdr:spPr>
            <a:xfrm>
              <a:off x="8915400" y="2857500"/>
              <a:ext cx="2452125" cy="1182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9" name="Shape 9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 rot="5400000">
              <a:off x="10724515" y="3396838"/>
              <a:ext cx="1182370" cy="103694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</xdr:col>
      <xdr:colOff>123825</xdr:colOff>
      <xdr:row>0</xdr:row>
      <xdr:rowOff>104775</xdr:rowOff>
    </xdr:from>
    <xdr:ext cx="552450" cy="7715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0</xdr:row>
      <xdr:rowOff>76200</xdr:rowOff>
    </xdr:from>
    <xdr:ext cx="1314450" cy="733425"/>
    <xdr:pic>
      <xdr:nvPicPr>
        <xdr:cNvPr descr="Logotipo, nombre de la empresa&#10;&#10;El contenido generado por IA puede ser incorrecto."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504825</xdr:colOff>
      <xdr:row>0</xdr:row>
      <xdr:rowOff>104775</xdr:rowOff>
    </xdr:from>
    <xdr:ext cx="1628775" cy="723900"/>
    <xdr:grpSp>
      <xdr:nvGrpSpPr>
        <xdr:cNvPr id="2" name="Shape 2"/>
        <xdr:cNvGrpSpPr/>
      </xdr:nvGrpSpPr>
      <xdr:grpSpPr>
        <a:xfrm>
          <a:off x="4531613" y="3418050"/>
          <a:ext cx="1628775" cy="723900"/>
          <a:chOff x="4531613" y="3418050"/>
          <a:chExt cx="1628775" cy="723900"/>
        </a:xfrm>
      </xdr:grpSpPr>
      <xdr:grpSp>
        <xdr:nvGrpSpPr>
          <xdr:cNvPr id="10" name="Shape 10"/>
          <xdr:cNvGrpSpPr/>
        </xdr:nvGrpSpPr>
        <xdr:grpSpPr>
          <a:xfrm>
            <a:off x="4531613" y="3418050"/>
            <a:ext cx="1628775" cy="723900"/>
            <a:chOff x="8915400" y="2857500"/>
            <a:chExt cx="2452147" cy="1182370"/>
          </a:xfrm>
        </xdr:grpSpPr>
        <xdr:sp>
          <xdr:nvSpPr>
            <xdr:cNvPr id="4" name="Shape 4"/>
            <xdr:cNvSpPr/>
          </xdr:nvSpPr>
          <xdr:spPr>
            <a:xfrm>
              <a:off x="8915400" y="2857500"/>
              <a:ext cx="2452125" cy="1182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 rot="5400000">
              <a:off x="10724515" y="3396838"/>
              <a:ext cx="1182370" cy="103694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447675</xdr:colOff>
      <xdr:row>0</xdr:row>
      <xdr:rowOff>123825</xdr:rowOff>
    </xdr:from>
    <xdr:ext cx="1895475" cy="7334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0</xdr:row>
      <xdr:rowOff>114300</xdr:rowOff>
    </xdr:from>
    <xdr:ext cx="981075" cy="7620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11</xdr:row>
      <xdr:rowOff>0</xdr:rowOff>
    </xdr:from>
    <xdr:ext cx="6477000" cy="3590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0</xdr:colOff>
      <xdr:row>31</xdr:row>
      <xdr:rowOff>0</xdr:rowOff>
    </xdr:from>
    <xdr:ext cx="6477000" cy="3590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0</xdr:colOff>
      <xdr:row>51</xdr:row>
      <xdr:rowOff>0</xdr:rowOff>
    </xdr:from>
    <xdr:ext cx="3590925" cy="287655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2" width="3.71"/>
    <col customWidth="1" min="13" max="13" width="3.0"/>
    <col customWidth="1" hidden="1" min="14" max="15" width="3.71"/>
    <col customWidth="1" min="16" max="16" width="3.71"/>
    <col customWidth="1" min="17" max="17" width="5.29"/>
    <col customWidth="1" min="18" max="18" width="3.71"/>
    <col customWidth="1" min="19" max="19" width="5.57"/>
    <col customWidth="1" min="20" max="20" width="3.71"/>
    <col customWidth="1" min="21" max="21" width="5.57"/>
    <col customWidth="1" min="22" max="22" width="3.71"/>
    <col customWidth="1" min="23" max="23" width="5.29"/>
    <col customWidth="1" min="24" max="24" width="3.71"/>
    <col customWidth="1" min="25" max="25" width="6.57"/>
    <col customWidth="1" min="26" max="26" width="3.71"/>
    <col customWidth="1" min="27" max="27" width="6.0"/>
    <col customWidth="1" min="28" max="28" width="3.71"/>
    <col customWidth="1" min="29" max="29" width="5.57"/>
    <col customWidth="1" min="30" max="30" width="3.71"/>
    <col customWidth="1" min="31" max="31" width="7.43"/>
    <col customWidth="1" min="32" max="34" width="3.71"/>
    <col customWidth="1" min="35" max="35" width="6.14"/>
    <col customWidth="1" min="36" max="36" width="3.71"/>
    <col customWidth="1" min="37" max="37" width="7.0"/>
    <col customWidth="1" min="38" max="40" width="3.71"/>
    <col customWidth="1" min="41" max="41" width="5.71"/>
    <col customWidth="1" min="42" max="42" width="3.71"/>
    <col customWidth="1" min="43" max="43" width="7.14"/>
    <col customWidth="1" min="44" max="45" width="3.71"/>
    <col customWidth="1" min="46" max="46" width="4.29"/>
    <col customWidth="1" min="47" max="48" width="3.71"/>
    <col customWidth="1" min="49" max="49" width="5.71"/>
    <col customWidth="1" min="50" max="53" width="3.71"/>
    <col customWidth="1" min="54" max="54" width="4.43"/>
    <col customWidth="1" min="55" max="55" width="3.71"/>
  </cols>
  <sheetData>
    <row r="1" ht="20.25" customHeight="1">
      <c r="A1" s="1"/>
      <c r="B1" s="2"/>
      <c r="C1" s="2"/>
      <c r="D1" s="2"/>
      <c r="E1" s="3"/>
      <c r="F1" s="4"/>
      <c r="G1" s="2"/>
      <c r="H1" s="2"/>
      <c r="I1" s="2"/>
      <c r="J1" s="3"/>
      <c r="K1" s="5" t="s">
        <v>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7"/>
      <c r="AV1" s="8" t="s">
        <v>1</v>
      </c>
      <c r="BC1" s="9"/>
    </row>
    <row r="2" ht="20.25" customHeight="1">
      <c r="A2" s="10"/>
      <c r="E2" s="11"/>
      <c r="F2" s="12"/>
      <c r="J2" s="11"/>
      <c r="K2" s="13" t="s">
        <v>2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5"/>
      <c r="AV2" s="16"/>
      <c r="BC2" s="9"/>
    </row>
    <row r="3" ht="15.0" customHeight="1">
      <c r="A3" s="10"/>
      <c r="E3" s="11"/>
      <c r="F3" s="12"/>
      <c r="J3" s="11"/>
      <c r="K3" s="16"/>
      <c r="AU3" s="17"/>
      <c r="AV3" s="16"/>
      <c r="BC3" s="9"/>
    </row>
    <row r="4" ht="15.0" customHeight="1">
      <c r="A4" s="18"/>
      <c r="B4" s="19"/>
      <c r="C4" s="19"/>
      <c r="D4" s="19"/>
      <c r="E4" s="20"/>
      <c r="F4" s="21"/>
      <c r="G4" s="22"/>
      <c r="H4" s="22"/>
      <c r="I4" s="22"/>
      <c r="J4" s="23"/>
      <c r="K4" s="24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6"/>
      <c r="AV4" s="16"/>
      <c r="BC4" s="9"/>
    </row>
    <row r="5" ht="19.5" customHeight="1">
      <c r="A5" s="27" t="s">
        <v>3</v>
      </c>
      <c r="B5" s="6"/>
      <c r="C5" s="6"/>
      <c r="D5" s="6"/>
      <c r="E5" s="6"/>
      <c r="F5" s="7"/>
      <c r="G5" s="28" t="s">
        <v>4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7"/>
    </row>
    <row r="6" ht="24.0" customHeight="1">
      <c r="A6" s="29" t="s">
        <v>5</v>
      </c>
      <c r="B6" s="6"/>
      <c r="C6" s="6"/>
      <c r="D6" s="6"/>
      <c r="E6" s="6"/>
      <c r="F6" s="6"/>
      <c r="G6" s="6"/>
      <c r="H6" s="6"/>
      <c r="I6" s="7"/>
      <c r="J6" s="30"/>
      <c r="K6" s="31"/>
      <c r="L6" s="31"/>
      <c r="M6" s="31"/>
      <c r="N6" s="31"/>
      <c r="O6" s="31"/>
      <c r="P6" s="31"/>
      <c r="Q6" s="32"/>
      <c r="R6" s="33" t="s">
        <v>6</v>
      </c>
      <c r="S6" s="31"/>
      <c r="T6" s="31"/>
      <c r="U6" s="31"/>
      <c r="V6" s="31"/>
      <c r="W6" s="34"/>
      <c r="X6" s="35" t="s">
        <v>7</v>
      </c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6"/>
      <c r="AP6" s="36" t="s">
        <v>8</v>
      </c>
      <c r="AQ6" s="37"/>
      <c r="AR6" s="37"/>
      <c r="AS6" s="37"/>
      <c r="AT6" s="38"/>
      <c r="AU6" s="39" t="s">
        <v>9</v>
      </c>
      <c r="AV6" s="40"/>
      <c r="AW6" s="41"/>
      <c r="AX6" s="42" t="s">
        <v>10</v>
      </c>
      <c r="AY6" s="40"/>
      <c r="AZ6" s="41"/>
      <c r="BA6" s="43" t="s">
        <v>11</v>
      </c>
      <c r="BB6" s="31"/>
      <c r="BC6" s="34"/>
    </row>
    <row r="7" ht="21.75" customHeight="1">
      <c r="A7" s="27" t="s">
        <v>12</v>
      </c>
      <c r="B7" s="6"/>
      <c r="C7" s="6"/>
      <c r="D7" s="6"/>
      <c r="E7" s="6"/>
      <c r="F7" s="7"/>
      <c r="G7" s="28"/>
      <c r="H7" s="6"/>
      <c r="I7" s="6"/>
      <c r="J7" s="6"/>
      <c r="K7" s="6"/>
      <c r="L7" s="6"/>
      <c r="M7" s="6"/>
      <c r="N7" s="6"/>
      <c r="O7" s="6"/>
      <c r="P7" s="6"/>
      <c r="Q7" s="7"/>
      <c r="R7" s="44" t="s">
        <v>13</v>
      </c>
      <c r="S7" s="6"/>
      <c r="T7" s="6"/>
      <c r="U7" s="6"/>
      <c r="V7" s="6"/>
      <c r="W7" s="7"/>
      <c r="X7" s="28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/>
      <c r="AP7" s="24"/>
      <c r="AQ7" s="25"/>
      <c r="AR7" s="25"/>
      <c r="AS7" s="25"/>
      <c r="AT7" s="26"/>
      <c r="AU7" s="44"/>
      <c r="AV7" s="6"/>
      <c r="AW7" s="7"/>
      <c r="AX7" s="28"/>
      <c r="AY7" s="6"/>
      <c r="AZ7" s="7"/>
      <c r="BA7" s="35" t="s">
        <v>14</v>
      </c>
      <c r="BB7" s="25"/>
      <c r="BC7" s="25"/>
    </row>
    <row r="8" ht="15.0" customHeight="1">
      <c r="A8" s="45" t="s">
        <v>15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7"/>
    </row>
    <row r="9" ht="15.0" customHeight="1">
      <c r="A9" s="46" t="s">
        <v>16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5"/>
      <c r="P9" s="47" t="s">
        <v>17</v>
      </c>
      <c r="Q9" s="14"/>
      <c r="R9" s="14"/>
      <c r="S9" s="15"/>
      <c r="T9" s="47" t="s">
        <v>18</v>
      </c>
      <c r="U9" s="14"/>
      <c r="V9" s="14"/>
      <c r="W9" s="15"/>
      <c r="X9" s="47" t="s">
        <v>19</v>
      </c>
      <c r="Y9" s="14"/>
      <c r="Z9" s="14"/>
      <c r="AA9" s="15"/>
      <c r="AB9" s="47" t="s">
        <v>20</v>
      </c>
      <c r="AC9" s="14"/>
      <c r="AD9" s="14"/>
      <c r="AE9" s="15"/>
      <c r="AF9" s="47" t="s">
        <v>21</v>
      </c>
      <c r="AG9" s="14"/>
      <c r="AH9" s="14"/>
      <c r="AI9" s="14"/>
      <c r="AJ9" s="14"/>
      <c r="AK9" s="15"/>
      <c r="AL9" s="47" t="s">
        <v>22</v>
      </c>
      <c r="AM9" s="14"/>
      <c r="AN9" s="14"/>
      <c r="AO9" s="14"/>
      <c r="AP9" s="14"/>
      <c r="AQ9" s="15"/>
      <c r="AR9" s="47" t="s">
        <v>23</v>
      </c>
      <c r="AS9" s="14"/>
      <c r="AT9" s="14"/>
      <c r="AU9" s="14"/>
      <c r="AV9" s="14"/>
      <c r="AW9" s="15"/>
      <c r="AX9" s="47" t="s">
        <v>24</v>
      </c>
      <c r="AY9" s="14"/>
      <c r="AZ9" s="14"/>
      <c r="BA9" s="14"/>
      <c r="BB9" s="14"/>
      <c r="BC9" s="15"/>
    </row>
    <row r="10" ht="14.25" customHeight="1">
      <c r="A10" s="16"/>
      <c r="O10" s="17"/>
      <c r="P10" s="24"/>
      <c r="Q10" s="25"/>
      <c r="R10" s="25"/>
      <c r="S10" s="26"/>
      <c r="T10" s="24"/>
      <c r="U10" s="25"/>
      <c r="V10" s="25"/>
      <c r="W10" s="26"/>
      <c r="X10" s="24"/>
      <c r="Y10" s="25"/>
      <c r="Z10" s="25"/>
      <c r="AA10" s="26"/>
      <c r="AB10" s="24"/>
      <c r="AC10" s="25"/>
      <c r="AD10" s="25"/>
      <c r="AE10" s="26"/>
      <c r="AF10" s="24"/>
      <c r="AG10" s="25"/>
      <c r="AH10" s="25"/>
      <c r="AI10" s="25"/>
      <c r="AJ10" s="25"/>
      <c r="AK10" s="26"/>
      <c r="AL10" s="24"/>
      <c r="AM10" s="25"/>
      <c r="AN10" s="25"/>
      <c r="AO10" s="25"/>
      <c r="AP10" s="25"/>
      <c r="AQ10" s="26"/>
      <c r="AR10" s="24"/>
      <c r="AS10" s="25"/>
      <c r="AT10" s="25"/>
      <c r="AU10" s="25"/>
      <c r="AV10" s="25"/>
      <c r="AW10" s="26"/>
      <c r="AX10" s="24"/>
      <c r="AY10" s="25"/>
      <c r="AZ10" s="25"/>
      <c r="BA10" s="25"/>
      <c r="BB10" s="25"/>
      <c r="BC10" s="26"/>
    </row>
    <row r="11" ht="15.0" customHeight="1">
      <c r="A11" s="16"/>
      <c r="O11" s="17"/>
      <c r="P11" s="48" t="s">
        <v>25</v>
      </c>
      <c r="Q11" s="15"/>
      <c r="R11" s="48" t="s">
        <v>26</v>
      </c>
      <c r="S11" s="15"/>
      <c r="T11" s="48" t="s">
        <v>25</v>
      </c>
      <c r="U11" s="15"/>
      <c r="V11" s="48" t="s">
        <v>26</v>
      </c>
      <c r="W11" s="15"/>
      <c r="X11" s="48" t="s">
        <v>25</v>
      </c>
      <c r="Y11" s="15"/>
      <c r="Z11" s="48" t="s">
        <v>26</v>
      </c>
      <c r="AA11" s="15"/>
      <c r="AB11" s="48" t="s">
        <v>25</v>
      </c>
      <c r="AC11" s="15"/>
      <c r="AD11" s="48" t="s">
        <v>26</v>
      </c>
      <c r="AE11" s="15"/>
      <c r="AF11" s="47" t="s">
        <v>27</v>
      </c>
      <c r="AG11" s="15"/>
      <c r="AH11" s="48" t="s">
        <v>25</v>
      </c>
      <c r="AI11" s="15"/>
      <c r="AJ11" s="48" t="s">
        <v>26</v>
      </c>
      <c r="AK11" s="15"/>
      <c r="AL11" s="47" t="s">
        <v>27</v>
      </c>
      <c r="AM11" s="15"/>
      <c r="AN11" s="48" t="s">
        <v>25</v>
      </c>
      <c r="AO11" s="15"/>
      <c r="AP11" s="48" t="s">
        <v>26</v>
      </c>
      <c r="AQ11" s="15"/>
      <c r="AR11" s="47" t="s">
        <v>27</v>
      </c>
      <c r="AS11" s="15"/>
      <c r="AT11" s="48" t="s">
        <v>25</v>
      </c>
      <c r="AU11" s="15"/>
      <c r="AV11" s="48" t="s">
        <v>26</v>
      </c>
      <c r="AW11" s="15"/>
      <c r="AX11" s="47" t="s">
        <v>25</v>
      </c>
      <c r="AY11" s="14"/>
      <c r="AZ11" s="15"/>
      <c r="BA11" s="47" t="s">
        <v>26</v>
      </c>
      <c r="BB11" s="14"/>
      <c r="BC11" s="15"/>
    </row>
    <row r="12" ht="14.25" customHeight="1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6"/>
      <c r="P12" s="24"/>
      <c r="Q12" s="26"/>
      <c r="R12" s="24"/>
      <c r="S12" s="26"/>
      <c r="T12" s="24"/>
      <c r="U12" s="26"/>
      <c r="V12" s="24"/>
      <c r="W12" s="26"/>
      <c r="X12" s="24"/>
      <c r="Y12" s="26"/>
      <c r="Z12" s="24"/>
      <c r="AA12" s="26"/>
      <c r="AB12" s="24"/>
      <c r="AC12" s="26"/>
      <c r="AD12" s="24"/>
      <c r="AE12" s="26"/>
      <c r="AF12" s="24"/>
      <c r="AG12" s="26"/>
      <c r="AH12" s="24"/>
      <c r="AI12" s="26"/>
      <c r="AJ12" s="24"/>
      <c r="AK12" s="26"/>
      <c r="AL12" s="24"/>
      <c r="AM12" s="26"/>
      <c r="AN12" s="24"/>
      <c r="AO12" s="26"/>
      <c r="AP12" s="24"/>
      <c r="AQ12" s="26"/>
      <c r="AR12" s="24"/>
      <c r="AS12" s="26"/>
      <c r="AT12" s="24"/>
      <c r="AU12" s="26"/>
      <c r="AV12" s="24"/>
      <c r="AW12" s="26"/>
      <c r="AX12" s="24"/>
      <c r="AY12" s="25"/>
      <c r="AZ12" s="26"/>
      <c r="BA12" s="24"/>
      <c r="BB12" s="25"/>
      <c r="BC12" s="26"/>
    </row>
    <row r="13" ht="15.0" customHeight="1">
      <c r="A13" s="49" t="s">
        <v>28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1"/>
      <c r="P13" s="50" t="s">
        <v>25</v>
      </c>
      <c r="Q13" s="7"/>
      <c r="R13" s="50"/>
      <c r="S13" s="7"/>
      <c r="T13" s="50" t="s">
        <v>25</v>
      </c>
      <c r="U13" s="7"/>
      <c r="V13" s="50"/>
      <c r="W13" s="7"/>
      <c r="X13" s="50" t="s">
        <v>25</v>
      </c>
      <c r="Y13" s="7"/>
      <c r="Z13" s="50"/>
      <c r="AA13" s="7"/>
      <c r="AB13" s="50" t="s">
        <v>25</v>
      </c>
      <c r="AC13" s="7"/>
      <c r="AD13" s="50"/>
      <c r="AE13" s="7"/>
      <c r="AF13" s="50"/>
      <c r="AG13" s="7"/>
      <c r="AH13" s="50"/>
      <c r="AI13" s="7"/>
      <c r="AJ13" s="50"/>
      <c r="AK13" s="7"/>
      <c r="AL13" s="50" t="s">
        <v>29</v>
      </c>
      <c r="AM13" s="7"/>
      <c r="AN13" s="50" t="s">
        <v>25</v>
      </c>
      <c r="AO13" s="7"/>
      <c r="AP13" s="50"/>
      <c r="AQ13" s="7"/>
      <c r="AR13" s="50" t="s">
        <v>30</v>
      </c>
      <c r="AS13" s="7"/>
      <c r="AT13" s="50"/>
      <c r="AU13" s="7"/>
      <c r="AV13" s="50"/>
      <c r="AW13" s="7"/>
      <c r="AX13" s="50" t="s">
        <v>31</v>
      </c>
      <c r="AY13" s="6"/>
      <c r="AZ13" s="7"/>
      <c r="BA13" s="50"/>
      <c r="BB13" s="6"/>
      <c r="BC13" s="7"/>
    </row>
    <row r="14" ht="15.0" customHeight="1">
      <c r="A14" s="50" t="s">
        <v>32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7"/>
      <c r="P14" s="50" t="s">
        <v>25</v>
      </c>
      <c r="Q14" s="7"/>
      <c r="R14" s="50"/>
      <c r="S14" s="7"/>
      <c r="T14" s="50" t="s">
        <v>25</v>
      </c>
      <c r="U14" s="7"/>
      <c r="V14" s="50"/>
      <c r="W14" s="7"/>
      <c r="X14" s="50" t="s">
        <v>25</v>
      </c>
      <c r="Y14" s="7"/>
      <c r="Z14" s="50"/>
      <c r="AA14" s="7"/>
      <c r="AB14" s="50" t="s">
        <v>25</v>
      </c>
      <c r="AC14" s="7"/>
      <c r="AD14" s="50"/>
      <c r="AE14" s="7"/>
      <c r="AF14" s="50"/>
      <c r="AG14" s="7"/>
      <c r="AH14" s="50"/>
      <c r="AI14" s="7"/>
      <c r="AJ14" s="50"/>
      <c r="AK14" s="7"/>
      <c r="AL14" s="50" t="s">
        <v>33</v>
      </c>
      <c r="AM14" s="7"/>
      <c r="AN14" s="50" t="s">
        <v>25</v>
      </c>
      <c r="AO14" s="7"/>
      <c r="AP14" s="50"/>
      <c r="AQ14" s="7"/>
      <c r="AR14" s="50" t="s">
        <v>34</v>
      </c>
      <c r="AS14" s="7"/>
      <c r="AT14" s="50"/>
      <c r="AU14" s="7"/>
      <c r="AV14" s="50"/>
      <c r="AW14" s="7"/>
      <c r="AX14" s="50" t="s">
        <v>31</v>
      </c>
      <c r="AY14" s="6"/>
      <c r="AZ14" s="7"/>
      <c r="BA14" s="50"/>
      <c r="BB14" s="6"/>
      <c r="BC14" s="7"/>
    </row>
    <row r="15" ht="15.0" customHeight="1">
      <c r="A15" s="50" t="s">
        <v>35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7"/>
      <c r="P15" s="50" t="s">
        <v>25</v>
      </c>
      <c r="Q15" s="7"/>
      <c r="R15" s="50"/>
      <c r="S15" s="7"/>
      <c r="T15" s="50" t="s">
        <v>25</v>
      </c>
      <c r="U15" s="7"/>
      <c r="V15" s="50"/>
      <c r="W15" s="7"/>
      <c r="X15" s="50" t="s">
        <v>25</v>
      </c>
      <c r="Y15" s="7"/>
      <c r="Z15" s="50"/>
      <c r="AA15" s="7"/>
      <c r="AB15" s="50" t="s">
        <v>25</v>
      </c>
      <c r="AC15" s="7"/>
      <c r="AD15" s="50"/>
      <c r="AE15" s="7"/>
      <c r="AF15" s="50"/>
      <c r="AG15" s="7"/>
      <c r="AH15" s="50"/>
      <c r="AI15" s="7"/>
      <c r="AJ15" s="50"/>
      <c r="AK15" s="7"/>
      <c r="AL15" s="50" t="s">
        <v>36</v>
      </c>
      <c r="AM15" s="7"/>
      <c r="AN15" s="50" t="s">
        <v>25</v>
      </c>
      <c r="AO15" s="7"/>
      <c r="AP15" s="50"/>
      <c r="AQ15" s="7"/>
      <c r="AR15" s="50" t="s">
        <v>37</v>
      </c>
      <c r="AS15" s="7"/>
      <c r="AT15" s="50"/>
      <c r="AU15" s="7"/>
      <c r="AV15" s="50"/>
      <c r="AW15" s="7"/>
      <c r="AX15" s="50" t="s">
        <v>31</v>
      </c>
      <c r="AY15" s="6"/>
      <c r="AZ15" s="7"/>
      <c r="BA15" s="50"/>
      <c r="BB15" s="6"/>
      <c r="BC15" s="7"/>
    </row>
    <row r="16" ht="15.0" customHeight="1">
      <c r="A16" s="50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  <c r="P16" s="50"/>
      <c r="Q16" s="7"/>
      <c r="R16" s="50"/>
      <c r="S16" s="7"/>
      <c r="T16" s="50"/>
      <c r="U16" s="7"/>
      <c r="V16" s="50"/>
      <c r="W16" s="7"/>
      <c r="X16" s="50"/>
      <c r="Y16" s="7"/>
      <c r="Z16" s="50"/>
      <c r="AA16" s="7"/>
      <c r="AB16" s="50"/>
      <c r="AC16" s="7"/>
      <c r="AD16" s="50"/>
      <c r="AE16" s="7"/>
      <c r="AF16" s="50"/>
      <c r="AG16" s="7"/>
      <c r="AH16" s="50"/>
      <c r="AI16" s="7"/>
      <c r="AJ16" s="50"/>
      <c r="AK16" s="7"/>
      <c r="AL16" s="50"/>
      <c r="AM16" s="7"/>
      <c r="AN16" s="50"/>
      <c r="AO16" s="7"/>
      <c r="AP16" s="50"/>
      <c r="AQ16" s="7"/>
      <c r="AR16" s="50"/>
      <c r="AS16" s="7"/>
      <c r="AT16" s="50"/>
      <c r="AU16" s="7"/>
      <c r="AV16" s="50"/>
      <c r="AW16" s="7"/>
      <c r="AX16" s="50"/>
      <c r="AY16" s="6"/>
      <c r="AZ16" s="7"/>
      <c r="BA16" s="50"/>
      <c r="BB16" s="6"/>
      <c r="BC16" s="7"/>
    </row>
    <row r="17" ht="15.0" customHeight="1">
      <c r="A17" s="50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  <c r="P17" s="50"/>
      <c r="Q17" s="7"/>
      <c r="R17" s="50"/>
      <c r="S17" s="7"/>
      <c r="T17" s="50"/>
      <c r="U17" s="7"/>
      <c r="V17" s="50"/>
      <c r="W17" s="7"/>
      <c r="X17" s="50"/>
      <c r="Y17" s="7"/>
      <c r="Z17" s="50"/>
      <c r="AA17" s="7"/>
      <c r="AB17" s="50"/>
      <c r="AC17" s="7"/>
      <c r="AD17" s="50"/>
      <c r="AE17" s="7"/>
      <c r="AF17" s="50"/>
      <c r="AG17" s="7"/>
      <c r="AH17" s="50"/>
      <c r="AI17" s="7"/>
      <c r="AJ17" s="50"/>
      <c r="AK17" s="7"/>
      <c r="AL17" s="50"/>
      <c r="AM17" s="7"/>
      <c r="AN17" s="50"/>
      <c r="AO17" s="7"/>
      <c r="AP17" s="50"/>
      <c r="AQ17" s="7"/>
      <c r="AR17" s="50"/>
      <c r="AS17" s="7"/>
      <c r="AT17" s="50"/>
      <c r="AU17" s="7"/>
      <c r="AV17" s="50"/>
      <c r="AW17" s="7"/>
      <c r="AX17" s="50"/>
      <c r="AY17" s="6"/>
      <c r="AZ17" s="7"/>
      <c r="BA17" s="50"/>
      <c r="BB17" s="6"/>
      <c r="BC17" s="7"/>
    </row>
    <row r="18" ht="15.0" customHeight="1">
      <c r="A18" s="50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50"/>
      <c r="Q18" s="7"/>
      <c r="R18" s="50"/>
      <c r="S18" s="7"/>
      <c r="T18" s="50"/>
      <c r="U18" s="7"/>
      <c r="V18" s="50"/>
      <c r="W18" s="7"/>
      <c r="X18" s="50"/>
      <c r="Y18" s="7"/>
      <c r="Z18" s="50"/>
      <c r="AA18" s="7"/>
      <c r="AB18" s="50"/>
      <c r="AC18" s="7"/>
      <c r="AD18" s="50"/>
      <c r="AE18" s="7"/>
      <c r="AF18" s="50"/>
      <c r="AG18" s="7"/>
      <c r="AH18" s="50"/>
      <c r="AI18" s="7"/>
      <c r="AJ18" s="50"/>
      <c r="AK18" s="7"/>
      <c r="AL18" s="50"/>
      <c r="AM18" s="7"/>
      <c r="AN18" s="50"/>
      <c r="AO18" s="7"/>
      <c r="AP18" s="50"/>
      <c r="AQ18" s="7"/>
      <c r="AR18" s="50"/>
      <c r="AS18" s="7"/>
      <c r="AT18" s="50"/>
      <c r="AU18" s="7"/>
      <c r="AV18" s="50"/>
      <c r="AW18" s="7"/>
      <c r="AX18" s="50"/>
      <c r="AY18" s="6"/>
      <c r="AZ18" s="7"/>
      <c r="BA18" s="50"/>
      <c r="BB18" s="6"/>
      <c r="BC18" s="7"/>
    </row>
    <row r="19" ht="15.0" customHeight="1">
      <c r="A19" s="50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  <c r="P19" s="50"/>
      <c r="Q19" s="7"/>
      <c r="R19" s="50"/>
      <c r="S19" s="7"/>
      <c r="T19" s="50"/>
      <c r="U19" s="7"/>
      <c r="V19" s="50"/>
      <c r="W19" s="7"/>
      <c r="X19" s="50"/>
      <c r="Y19" s="7"/>
      <c r="Z19" s="50"/>
      <c r="AA19" s="7"/>
      <c r="AB19" s="50"/>
      <c r="AC19" s="7"/>
      <c r="AD19" s="50"/>
      <c r="AE19" s="7"/>
      <c r="AF19" s="50"/>
      <c r="AG19" s="7"/>
      <c r="AH19" s="50"/>
      <c r="AI19" s="7"/>
      <c r="AJ19" s="50"/>
      <c r="AK19" s="7"/>
      <c r="AL19" s="50"/>
      <c r="AM19" s="7"/>
      <c r="AN19" s="50"/>
      <c r="AO19" s="7"/>
      <c r="AP19" s="50"/>
      <c r="AQ19" s="7"/>
      <c r="AR19" s="50"/>
      <c r="AS19" s="7"/>
      <c r="AT19" s="50"/>
      <c r="AU19" s="7"/>
      <c r="AV19" s="50"/>
      <c r="AW19" s="7"/>
      <c r="AX19" s="50"/>
      <c r="AY19" s="6"/>
      <c r="AZ19" s="7"/>
      <c r="BA19" s="50"/>
      <c r="BB19" s="6"/>
      <c r="BC19" s="7"/>
    </row>
    <row r="20" ht="15.0" customHeight="1">
      <c r="A20" s="50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7"/>
      <c r="P20" s="50"/>
      <c r="Q20" s="7"/>
      <c r="R20" s="50"/>
      <c r="S20" s="7"/>
      <c r="T20" s="50"/>
      <c r="U20" s="7"/>
      <c r="V20" s="50"/>
      <c r="W20" s="7"/>
      <c r="X20" s="50"/>
      <c r="Y20" s="7"/>
      <c r="Z20" s="50"/>
      <c r="AA20" s="7"/>
      <c r="AB20" s="50"/>
      <c r="AC20" s="7"/>
      <c r="AD20" s="50"/>
      <c r="AE20" s="7"/>
      <c r="AF20" s="50"/>
      <c r="AG20" s="7"/>
      <c r="AH20" s="50"/>
      <c r="AI20" s="7"/>
      <c r="AJ20" s="50"/>
      <c r="AK20" s="7"/>
      <c r="AL20" s="50"/>
      <c r="AM20" s="7"/>
      <c r="AN20" s="50"/>
      <c r="AO20" s="7"/>
      <c r="AP20" s="50"/>
      <c r="AQ20" s="7"/>
      <c r="AR20" s="50"/>
      <c r="AS20" s="7"/>
      <c r="AT20" s="50"/>
      <c r="AU20" s="7"/>
      <c r="AV20" s="50"/>
      <c r="AW20" s="7"/>
      <c r="AX20" s="50"/>
      <c r="AY20" s="6"/>
      <c r="AZ20" s="7"/>
      <c r="BA20" s="50"/>
      <c r="BB20" s="6"/>
      <c r="BC20" s="7"/>
    </row>
    <row r="21" ht="15.0" customHeight="1">
      <c r="A21" s="51" t="s">
        <v>38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5"/>
      <c r="AR21" s="52" t="s">
        <v>39</v>
      </c>
      <c r="AS21" s="14"/>
      <c r="AT21" s="14"/>
      <c r="AU21" s="14"/>
      <c r="AV21" s="14"/>
      <c r="AW21" s="15"/>
      <c r="AX21" s="53">
        <v>100.0</v>
      </c>
      <c r="AY21" s="14"/>
      <c r="AZ21" s="14"/>
      <c r="BA21" s="14"/>
      <c r="BB21" s="14"/>
      <c r="BC21" s="15"/>
    </row>
    <row r="22" ht="14.25" customHeight="1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6"/>
      <c r="AR22" s="24"/>
      <c r="AS22" s="25"/>
      <c r="AT22" s="25"/>
      <c r="AU22" s="25"/>
      <c r="AV22" s="25"/>
      <c r="AW22" s="26"/>
      <c r="AX22" s="24"/>
      <c r="AY22" s="25"/>
      <c r="AZ22" s="25"/>
      <c r="BA22" s="25"/>
      <c r="BB22" s="25"/>
      <c r="BC22" s="26"/>
    </row>
    <row r="23" ht="15.0" customHeight="1">
      <c r="A23" s="54" t="s">
        <v>40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6"/>
    </row>
    <row r="24" ht="14.25" customHeight="1">
      <c r="A24" s="57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7"/>
    </row>
    <row r="25" ht="14.25" customHeight="1">
      <c r="A25" s="57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7"/>
    </row>
    <row r="26" ht="14.25" customHeight="1">
      <c r="A26" s="57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7"/>
    </row>
    <row r="27" ht="3.75" customHeight="1">
      <c r="A27" s="58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2"/>
    </row>
    <row r="28" ht="15.0" customHeight="1">
      <c r="A28" s="59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45" t="s">
        <v>41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7"/>
      <c r="AN28" s="45" t="s">
        <v>41</v>
      </c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7"/>
    </row>
    <row r="29" ht="14.25" customHeight="1">
      <c r="A29" s="59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1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5"/>
      <c r="AN29" s="61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5"/>
    </row>
    <row r="30" ht="14.25" customHeight="1">
      <c r="A30" s="59"/>
      <c r="B30" s="62"/>
      <c r="C30" s="62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24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6"/>
      <c r="AN30" s="24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6"/>
    </row>
    <row r="31" ht="14.25" customHeight="1">
      <c r="A31" s="59"/>
      <c r="B31" s="62"/>
      <c r="C31" s="62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29" t="s">
        <v>42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7"/>
      <c r="AN31" s="29" t="s">
        <v>42</v>
      </c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7"/>
    </row>
    <row r="32" ht="14.25" customHeight="1">
      <c r="A32" s="59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29" t="s">
        <v>43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7"/>
      <c r="AN32" s="29" t="s">
        <v>43</v>
      </c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7"/>
    </row>
    <row r="33" ht="14.25" customHeight="1">
      <c r="A33" s="59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29" t="s">
        <v>44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7"/>
      <c r="AN33" s="29" t="s">
        <v>44</v>
      </c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7"/>
    </row>
    <row r="34" ht="4.5" customHeight="1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5"/>
    </row>
    <row r="35" ht="14.25" customHeight="1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</row>
    <row r="36" ht="14.25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</row>
    <row r="37" ht="14.25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</row>
    <row r="38" ht="14.25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</row>
    <row r="39" ht="14.2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</row>
    <row r="40" ht="14.2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</row>
    <row r="41" ht="14.2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</row>
    <row r="42" ht="14.2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</row>
    <row r="43" ht="14.2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</row>
    <row r="44" ht="14.2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</row>
    <row r="45" ht="14.2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</row>
    <row r="46" ht="14.2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</row>
    <row r="47" ht="14.2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</row>
    <row r="48" ht="14.2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</row>
    <row r="49" ht="14.2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</row>
    <row r="50" ht="14.2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</row>
    <row r="51" ht="14.2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</row>
    <row r="52" ht="14.2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</row>
    <row r="53" ht="14.2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</row>
    <row r="54" ht="14.2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</row>
    <row r="55" ht="14.2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</row>
    <row r="56" ht="14.2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</row>
    <row r="57" ht="14.2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66"/>
    </row>
    <row r="58" ht="14.2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</row>
    <row r="59" ht="14.2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</row>
    <row r="60" ht="14.2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</row>
    <row r="61" ht="14.2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</row>
    <row r="62" ht="14.2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</row>
    <row r="63" ht="14.2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</row>
    <row r="64" ht="14.2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</row>
    <row r="65" ht="14.2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</row>
    <row r="66" ht="14.2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</row>
    <row r="67" ht="14.2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</row>
    <row r="68" ht="14.2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</row>
    <row r="69" ht="14.2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</row>
    <row r="70" ht="14.2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</row>
    <row r="71" ht="14.2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</row>
    <row r="72" ht="14.2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</row>
    <row r="73" ht="14.2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</row>
    <row r="74" ht="14.2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</row>
    <row r="75" ht="14.2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</row>
    <row r="76" ht="14.2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</row>
    <row r="77" ht="14.2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</row>
    <row r="78" ht="14.2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6"/>
      <c r="AV78" s="66"/>
      <c r="AW78" s="66"/>
      <c r="AX78" s="66"/>
      <c r="AY78" s="66"/>
      <c r="AZ78" s="66"/>
      <c r="BA78" s="66"/>
      <c r="BB78" s="66"/>
      <c r="BC78" s="66"/>
    </row>
    <row r="79" ht="14.2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</row>
    <row r="80" ht="14.2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66"/>
    </row>
    <row r="81" ht="14.2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</row>
    <row r="82" ht="14.2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  <c r="AZ82" s="66"/>
      <c r="BA82" s="66"/>
      <c r="BB82" s="66"/>
      <c r="BC82" s="66"/>
    </row>
    <row r="83" ht="14.2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</row>
    <row r="84" ht="14.2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6"/>
      <c r="AW84" s="66"/>
      <c r="AX84" s="66"/>
      <c r="AY84" s="66"/>
      <c r="AZ84" s="66"/>
      <c r="BA84" s="66"/>
      <c r="BB84" s="66"/>
      <c r="BC84" s="66"/>
    </row>
    <row r="85" ht="14.2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</row>
    <row r="86" ht="14.2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  <c r="AW86" s="66"/>
      <c r="AX86" s="66"/>
      <c r="AY86" s="66"/>
      <c r="AZ86" s="66"/>
      <c r="BA86" s="66"/>
      <c r="BB86" s="66"/>
      <c r="BC86" s="66"/>
    </row>
    <row r="87" ht="14.2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</row>
    <row r="88" ht="14.2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6"/>
      <c r="BC88" s="66"/>
    </row>
    <row r="89" ht="14.2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  <c r="AZ89" s="66"/>
      <c r="BA89" s="66"/>
      <c r="BB89" s="66"/>
      <c r="BC89" s="66"/>
    </row>
    <row r="90" ht="14.2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6"/>
      <c r="AW90" s="66"/>
      <c r="AX90" s="66"/>
      <c r="AY90" s="66"/>
      <c r="AZ90" s="66"/>
      <c r="BA90" s="66"/>
      <c r="BB90" s="66"/>
      <c r="BC90" s="66"/>
    </row>
    <row r="91" ht="14.2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6"/>
      <c r="AW91" s="66"/>
      <c r="AX91" s="66"/>
      <c r="AY91" s="66"/>
      <c r="AZ91" s="66"/>
      <c r="BA91" s="66"/>
      <c r="BB91" s="66"/>
      <c r="BC91" s="66"/>
    </row>
    <row r="92" ht="14.2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</row>
    <row r="93" ht="14.2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6"/>
      <c r="BB93" s="66"/>
      <c r="BC93" s="66"/>
    </row>
    <row r="94" ht="14.2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</row>
    <row r="95" ht="14.2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6"/>
      <c r="AV95" s="66"/>
      <c r="AW95" s="66"/>
      <c r="AX95" s="66"/>
      <c r="AY95" s="66"/>
      <c r="AZ95" s="66"/>
      <c r="BA95" s="66"/>
      <c r="BB95" s="66"/>
      <c r="BC95" s="66"/>
    </row>
    <row r="96" ht="14.2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6"/>
      <c r="AV96" s="66"/>
      <c r="AW96" s="66"/>
      <c r="AX96" s="66"/>
      <c r="AY96" s="66"/>
      <c r="AZ96" s="66"/>
      <c r="BA96" s="66"/>
      <c r="BB96" s="66"/>
      <c r="BC96" s="66"/>
    </row>
    <row r="97" ht="14.2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6"/>
      <c r="AV97" s="66"/>
      <c r="AW97" s="66"/>
      <c r="AX97" s="66"/>
      <c r="AY97" s="66"/>
      <c r="AZ97" s="66"/>
      <c r="BA97" s="66"/>
      <c r="BB97" s="66"/>
      <c r="BC97" s="66"/>
    </row>
    <row r="98" ht="14.2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6"/>
      <c r="AV98" s="66"/>
      <c r="AW98" s="66"/>
      <c r="AX98" s="66"/>
      <c r="AY98" s="66"/>
      <c r="AZ98" s="66"/>
      <c r="BA98" s="66"/>
      <c r="BB98" s="66"/>
      <c r="BC98" s="66"/>
    </row>
    <row r="99" ht="14.2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6"/>
      <c r="AV99" s="66"/>
      <c r="AW99" s="66"/>
      <c r="AX99" s="66"/>
      <c r="AY99" s="66"/>
      <c r="AZ99" s="66"/>
      <c r="BA99" s="66"/>
      <c r="BB99" s="66"/>
      <c r="BC99" s="66"/>
    </row>
    <row r="100" ht="14.2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6"/>
      <c r="AW100" s="66"/>
      <c r="AX100" s="66"/>
      <c r="AY100" s="66"/>
      <c r="AZ100" s="66"/>
      <c r="BA100" s="66"/>
      <c r="BB100" s="66"/>
      <c r="BC100" s="66"/>
    </row>
    <row r="101" ht="14.2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6"/>
      <c r="AV101" s="66"/>
      <c r="AW101" s="66"/>
      <c r="AX101" s="66"/>
      <c r="AY101" s="66"/>
      <c r="AZ101" s="66"/>
      <c r="BA101" s="66"/>
      <c r="BB101" s="66"/>
      <c r="BC101" s="66"/>
    </row>
    <row r="102" ht="14.2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  <c r="AY102" s="66"/>
      <c r="AZ102" s="66"/>
      <c r="BA102" s="66"/>
      <c r="BB102" s="66"/>
      <c r="BC102" s="66"/>
    </row>
    <row r="103" ht="14.2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6"/>
      <c r="AV103" s="66"/>
      <c r="AW103" s="66"/>
      <c r="AX103" s="66"/>
      <c r="AY103" s="66"/>
      <c r="AZ103" s="66"/>
      <c r="BA103" s="66"/>
      <c r="BB103" s="66"/>
      <c r="BC103" s="66"/>
    </row>
    <row r="104" ht="14.2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6"/>
      <c r="AZ104" s="66"/>
      <c r="BA104" s="66"/>
      <c r="BB104" s="66"/>
      <c r="BC104" s="66"/>
    </row>
    <row r="105" ht="14.2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  <c r="AY105" s="66"/>
      <c r="AZ105" s="66"/>
      <c r="BA105" s="66"/>
      <c r="BB105" s="66"/>
      <c r="BC105" s="66"/>
    </row>
    <row r="106" ht="14.2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6"/>
      <c r="AV106" s="66"/>
      <c r="AW106" s="66"/>
      <c r="AX106" s="66"/>
      <c r="AY106" s="66"/>
      <c r="AZ106" s="66"/>
      <c r="BA106" s="66"/>
      <c r="BB106" s="66"/>
      <c r="BC106" s="66"/>
    </row>
    <row r="107" ht="14.2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6"/>
    </row>
    <row r="108" ht="14.2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6"/>
      <c r="AV108" s="66"/>
      <c r="AW108" s="66"/>
      <c r="AX108" s="66"/>
      <c r="AY108" s="66"/>
      <c r="AZ108" s="66"/>
      <c r="BA108" s="66"/>
      <c r="BB108" s="66"/>
      <c r="BC108" s="66"/>
    </row>
    <row r="109" ht="14.2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  <c r="AY109" s="66"/>
      <c r="AZ109" s="66"/>
      <c r="BA109" s="66"/>
      <c r="BB109" s="66"/>
      <c r="BC109" s="66"/>
    </row>
    <row r="110" ht="14.2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6"/>
      <c r="AV110" s="66"/>
      <c r="AW110" s="66"/>
      <c r="AX110" s="66"/>
      <c r="AY110" s="66"/>
      <c r="AZ110" s="66"/>
      <c r="BA110" s="66"/>
      <c r="BB110" s="66"/>
      <c r="BC110" s="66"/>
    </row>
    <row r="111" ht="14.2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6"/>
      <c r="AV111" s="66"/>
      <c r="AW111" s="66"/>
      <c r="AX111" s="66"/>
      <c r="AY111" s="66"/>
      <c r="AZ111" s="66"/>
      <c r="BA111" s="66"/>
      <c r="BB111" s="66"/>
      <c r="BC111" s="66"/>
    </row>
    <row r="112" ht="14.2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  <c r="AY112" s="66"/>
      <c r="AZ112" s="66"/>
      <c r="BA112" s="66"/>
      <c r="BB112" s="66"/>
      <c r="BC112" s="66"/>
    </row>
    <row r="113" ht="14.2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6"/>
      <c r="AV113" s="66"/>
      <c r="AW113" s="66"/>
      <c r="AX113" s="66"/>
      <c r="AY113" s="66"/>
      <c r="AZ113" s="66"/>
      <c r="BA113" s="66"/>
      <c r="BB113" s="66"/>
      <c r="BC113" s="66"/>
    </row>
    <row r="114" ht="14.2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6"/>
      <c r="AV114" s="66"/>
      <c r="AW114" s="66"/>
      <c r="AX114" s="66"/>
      <c r="AY114" s="66"/>
      <c r="AZ114" s="66"/>
      <c r="BA114" s="66"/>
      <c r="BB114" s="66"/>
      <c r="BC114" s="66"/>
    </row>
    <row r="115" ht="14.2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6"/>
      <c r="AW115" s="66"/>
      <c r="AX115" s="66"/>
      <c r="AY115" s="66"/>
      <c r="AZ115" s="66"/>
      <c r="BA115" s="66"/>
      <c r="BB115" s="66"/>
      <c r="BC115" s="66"/>
    </row>
    <row r="116" ht="14.2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6"/>
      <c r="AV116" s="66"/>
      <c r="AW116" s="66"/>
      <c r="AX116" s="66"/>
      <c r="AY116" s="66"/>
      <c r="AZ116" s="66"/>
      <c r="BA116" s="66"/>
      <c r="BB116" s="66"/>
      <c r="BC116" s="66"/>
    </row>
    <row r="117" ht="14.2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6"/>
      <c r="AV117" s="66"/>
      <c r="AW117" s="66"/>
      <c r="AX117" s="66"/>
      <c r="AY117" s="66"/>
      <c r="AZ117" s="66"/>
      <c r="BA117" s="66"/>
      <c r="BB117" s="66"/>
      <c r="BC117" s="66"/>
    </row>
    <row r="118" ht="14.2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6"/>
      <c r="AV118" s="66"/>
      <c r="AW118" s="66"/>
      <c r="AX118" s="66"/>
      <c r="AY118" s="66"/>
      <c r="AZ118" s="66"/>
      <c r="BA118" s="66"/>
      <c r="BB118" s="66"/>
      <c r="BC118" s="66"/>
    </row>
    <row r="119" ht="14.2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6"/>
      <c r="AV119" s="66"/>
      <c r="AW119" s="66"/>
      <c r="AX119" s="66"/>
      <c r="AY119" s="66"/>
      <c r="AZ119" s="66"/>
      <c r="BA119" s="66"/>
      <c r="BB119" s="66"/>
      <c r="BC119" s="66"/>
    </row>
    <row r="120" ht="14.2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6"/>
      <c r="AV120" s="66"/>
      <c r="AW120" s="66"/>
      <c r="AX120" s="66"/>
      <c r="AY120" s="66"/>
      <c r="AZ120" s="66"/>
      <c r="BA120" s="66"/>
      <c r="BB120" s="66"/>
      <c r="BC120" s="66"/>
    </row>
    <row r="121" ht="14.2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6"/>
      <c r="AT121" s="66"/>
      <c r="AU121" s="66"/>
      <c r="AV121" s="66"/>
      <c r="AW121" s="66"/>
      <c r="AX121" s="66"/>
      <c r="AY121" s="66"/>
      <c r="AZ121" s="66"/>
      <c r="BA121" s="66"/>
      <c r="BB121" s="66"/>
      <c r="BC121" s="66"/>
    </row>
    <row r="122" ht="14.2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66"/>
      <c r="AU122" s="66"/>
      <c r="AV122" s="66"/>
      <c r="AW122" s="66"/>
      <c r="AX122" s="66"/>
      <c r="AY122" s="66"/>
      <c r="AZ122" s="66"/>
      <c r="BA122" s="66"/>
      <c r="BB122" s="66"/>
      <c r="BC122" s="66"/>
    </row>
    <row r="123" ht="14.2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6"/>
      <c r="AT123" s="66"/>
      <c r="AU123" s="66"/>
      <c r="AV123" s="66"/>
      <c r="AW123" s="66"/>
      <c r="AX123" s="66"/>
      <c r="AY123" s="66"/>
      <c r="AZ123" s="66"/>
      <c r="BA123" s="66"/>
      <c r="BB123" s="66"/>
      <c r="BC123" s="66"/>
    </row>
    <row r="124" ht="14.2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6"/>
      <c r="AT124" s="66"/>
      <c r="AU124" s="66"/>
      <c r="AV124" s="66"/>
      <c r="AW124" s="66"/>
      <c r="AX124" s="66"/>
      <c r="AY124" s="66"/>
      <c r="AZ124" s="66"/>
      <c r="BA124" s="66"/>
      <c r="BB124" s="66"/>
      <c r="BC124" s="66"/>
    </row>
    <row r="125" ht="14.2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6"/>
      <c r="AT125" s="66"/>
      <c r="AU125" s="66"/>
      <c r="AV125" s="66"/>
      <c r="AW125" s="66"/>
      <c r="AX125" s="66"/>
      <c r="AY125" s="66"/>
      <c r="AZ125" s="66"/>
      <c r="BA125" s="66"/>
      <c r="BB125" s="66"/>
      <c r="BC125" s="66"/>
    </row>
    <row r="126" ht="14.2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6"/>
      <c r="AT126" s="66"/>
      <c r="AU126" s="66"/>
      <c r="AV126" s="66"/>
      <c r="AW126" s="66"/>
      <c r="AX126" s="66"/>
      <c r="AY126" s="66"/>
      <c r="AZ126" s="66"/>
      <c r="BA126" s="66"/>
      <c r="BB126" s="66"/>
      <c r="BC126" s="66"/>
    </row>
    <row r="127" ht="14.2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6"/>
      <c r="AT127" s="66"/>
      <c r="AU127" s="66"/>
      <c r="AV127" s="66"/>
      <c r="AW127" s="66"/>
      <c r="AX127" s="66"/>
      <c r="AY127" s="66"/>
      <c r="AZ127" s="66"/>
      <c r="BA127" s="66"/>
      <c r="BB127" s="66"/>
      <c r="BC127" s="66"/>
    </row>
    <row r="128" ht="14.2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66"/>
      <c r="AU128" s="66"/>
      <c r="AV128" s="66"/>
      <c r="AW128" s="66"/>
      <c r="AX128" s="66"/>
      <c r="AY128" s="66"/>
      <c r="AZ128" s="66"/>
      <c r="BA128" s="66"/>
      <c r="BB128" s="66"/>
      <c r="BC128" s="66"/>
    </row>
    <row r="129" ht="14.2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6"/>
      <c r="AT129" s="66"/>
      <c r="AU129" s="66"/>
      <c r="AV129" s="66"/>
      <c r="AW129" s="66"/>
      <c r="AX129" s="66"/>
      <c r="AY129" s="66"/>
      <c r="AZ129" s="66"/>
      <c r="BA129" s="66"/>
      <c r="BB129" s="66"/>
      <c r="BC129" s="66"/>
    </row>
    <row r="130" ht="14.2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6"/>
      <c r="AT130" s="66"/>
      <c r="AU130" s="66"/>
      <c r="AV130" s="66"/>
      <c r="AW130" s="66"/>
      <c r="AX130" s="66"/>
      <c r="AY130" s="66"/>
      <c r="AZ130" s="66"/>
      <c r="BA130" s="66"/>
      <c r="BB130" s="66"/>
      <c r="BC130" s="66"/>
    </row>
    <row r="131" ht="14.2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6"/>
      <c r="AT131" s="66"/>
      <c r="AU131" s="66"/>
      <c r="AV131" s="66"/>
      <c r="AW131" s="66"/>
      <c r="AX131" s="66"/>
      <c r="AY131" s="66"/>
      <c r="AZ131" s="66"/>
      <c r="BA131" s="66"/>
      <c r="BB131" s="66"/>
      <c r="BC131" s="66"/>
    </row>
    <row r="132" ht="14.2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6"/>
      <c r="AT132" s="66"/>
      <c r="AU132" s="66"/>
      <c r="AV132" s="66"/>
      <c r="AW132" s="66"/>
      <c r="AX132" s="66"/>
      <c r="AY132" s="66"/>
      <c r="AZ132" s="66"/>
      <c r="BA132" s="66"/>
      <c r="BB132" s="66"/>
      <c r="BC132" s="66"/>
    </row>
    <row r="133" ht="14.2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6"/>
      <c r="AT133" s="66"/>
      <c r="AU133" s="66"/>
      <c r="AV133" s="66"/>
      <c r="AW133" s="66"/>
      <c r="AX133" s="66"/>
      <c r="AY133" s="66"/>
      <c r="AZ133" s="66"/>
      <c r="BA133" s="66"/>
      <c r="BB133" s="66"/>
      <c r="BC133" s="66"/>
    </row>
    <row r="134" ht="14.2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6"/>
      <c r="AT134" s="66"/>
      <c r="AU134" s="66"/>
      <c r="AV134" s="66"/>
      <c r="AW134" s="66"/>
      <c r="AX134" s="66"/>
      <c r="AY134" s="66"/>
      <c r="AZ134" s="66"/>
      <c r="BA134" s="66"/>
      <c r="BB134" s="66"/>
      <c r="BC134" s="66"/>
    </row>
    <row r="135" ht="14.2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66"/>
      <c r="AU135" s="66"/>
      <c r="AV135" s="66"/>
      <c r="AW135" s="66"/>
      <c r="AX135" s="66"/>
      <c r="AY135" s="66"/>
      <c r="AZ135" s="66"/>
      <c r="BA135" s="66"/>
      <c r="BB135" s="66"/>
      <c r="BC135" s="66"/>
    </row>
    <row r="136" ht="14.2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6"/>
      <c r="AT136" s="66"/>
      <c r="AU136" s="66"/>
      <c r="AV136" s="66"/>
      <c r="AW136" s="66"/>
      <c r="AX136" s="66"/>
      <c r="AY136" s="66"/>
      <c r="AZ136" s="66"/>
      <c r="BA136" s="66"/>
      <c r="BB136" s="66"/>
      <c r="BC136" s="66"/>
    </row>
    <row r="137" ht="14.2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6"/>
      <c r="AT137" s="66"/>
      <c r="AU137" s="66"/>
      <c r="AV137" s="66"/>
      <c r="AW137" s="66"/>
      <c r="AX137" s="66"/>
      <c r="AY137" s="66"/>
      <c r="AZ137" s="66"/>
      <c r="BA137" s="66"/>
      <c r="BB137" s="66"/>
      <c r="BC137" s="66"/>
    </row>
    <row r="138" ht="14.2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6"/>
      <c r="AT138" s="66"/>
      <c r="AU138" s="66"/>
      <c r="AV138" s="66"/>
      <c r="AW138" s="66"/>
      <c r="AX138" s="66"/>
      <c r="AY138" s="66"/>
      <c r="AZ138" s="66"/>
      <c r="BA138" s="66"/>
      <c r="BB138" s="66"/>
      <c r="BC138" s="66"/>
    </row>
    <row r="139" ht="14.2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6"/>
      <c r="AW139" s="66"/>
      <c r="AX139" s="66"/>
      <c r="AY139" s="66"/>
      <c r="AZ139" s="66"/>
      <c r="BA139" s="66"/>
      <c r="BB139" s="66"/>
      <c r="BC139" s="66"/>
    </row>
    <row r="140" ht="14.2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6"/>
      <c r="AT140" s="66"/>
      <c r="AU140" s="66"/>
      <c r="AV140" s="66"/>
      <c r="AW140" s="66"/>
      <c r="AX140" s="66"/>
      <c r="AY140" s="66"/>
      <c r="AZ140" s="66"/>
      <c r="BA140" s="66"/>
      <c r="BB140" s="66"/>
      <c r="BC140" s="66"/>
    </row>
    <row r="141" ht="14.2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6"/>
      <c r="BB141" s="66"/>
      <c r="BC141" s="66"/>
    </row>
    <row r="142" ht="14.2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66"/>
      <c r="AU142" s="66"/>
      <c r="AV142" s="66"/>
      <c r="AW142" s="66"/>
      <c r="AX142" s="66"/>
      <c r="AY142" s="66"/>
      <c r="AZ142" s="66"/>
      <c r="BA142" s="66"/>
      <c r="BB142" s="66"/>
      <c r="BC142" s="66"/>
    </row>
    <row r="143" ht="14.2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6"/>
      <c r="AT143" s="66"/>
      <c r="AU143" s="66"/>
      <c r="AV143" s="66"/>
      <c r="AW143" s="66"/>
      <c r="AX143" s="66"/>
      <c r="AY143" s="66"/>
      <c r="AZ143" s="66"/>
      <c r="BA143" s="66"/>
      <c r="BB143" s="66"/>
      <c r="BC143" s="66"/>
    </row>
    <row r="144" ht="14.2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6"/>
      <c r="AT144" s="66"/>
      <c r="AU144" s="66"/>
      <c r="AV144" s="66"/>
      <c r="AW144" s="66"/>
      <c r="AX144" s="66"/>
      <c r="AY144" s="66"/>
      <c r="AZ144" s="66"/>
      <c r="BA144" s="66"/>
      <c r="BB144" s="66"/>
      <c r="BC144" s="66"/>
    </row>
    <row r="145" ht="14.2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6"/>
      <c r="AT145" s="66"/>
      <c r="AU145" s="66"/>
      <c r="AV145" s="66"/>
      <c r="AW145" s="66"/>
      <c r="AX145" s="66"/>
      <c r="AY145" s="66"/>
      <c r="AZ145" s="66"/>
      <c r="BA145" s="66"/>
      <c r="BB145" s="66"/>
      <c r="BC145" s="66"/>
    </row>
    <row r="146" ht="14.2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6"/>
      <c r="AT146" s="66"/>
      <c r="AU146" s="66"/>
      <c r="AV146" s="66"/>
      <c r="AW146" s="66"/>
      <c r="AX146" s="66"/>
      <c r="AY146" s="66"/>
      <c r="AZ146" s="66"/>
      <c r="BA146" s="66"/>
      <c r="BB146" s="66"/>
      <c r="BC146" s="66"/>
    </row>
    <row r="147" ht="14.2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66"/>
      <c r="AU147" s="66"/>
      <c r="AV147" s="66"/>
      <c r="AW147" s="66"/>
      <c r="AX147" s="66"/>
      <c r="AY147" s="66"/>
      <c r="AZ147" s="66"/>
      <c r="BA147" s="66"/>
      <c r="BB147" s="66"/>
      <c r="BC147" s="66"/>
    </row>
    <row r="148" ht="14.2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6"/>
      <c r="AT148" s="66"/>
      <c r="AU148" s="66"/>
      <c r="AV148" s="66"/>
      <c r="AW148" s="66"/>
      <c r="AX148" s="66"/>
      <c r="AY148" s="66"/>
      <c r="AZ148" s="66"/>
      <c r="BA148" s="66"/>
      <c r="BB148" s="66"/>
      <c r="BC148" s="66"/>
    </row>
    <row r="149" ht="14.2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6"/>
      <c r="AT149" s="66"/>
      <c r="AU149" s="66"/>
      <c r="AV149" s="66"/>
      <c r="AW149" s="66"/>
      <c r="AX149" s="66"/>
      <c r="AY149" s="66"/>
      <c r="AZ149" s="66"/>
      <c r="BA149" s="66"/>
      <c r="BB149" s="66"/>
      <c r="BC149" s="66"/>
    </row>
    <row r="150" ht="14.2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6"/>
      <c r="AT150" s="66"/>
      <c r="AU150" s="66"/>
      <c r="AV150" s="66"/>
      <c r="AW150" s="66"/>
      <c r="AX150" s="66"/>
      <c r="AY150" s="66"/>
      <c r="AZ150" s="66"/>
      <c r="BA150" s="66"/>
      <c r="BB150" s="66"/>
      <c r="BC150" s="66"/>
    </row>
    <row r="151" ht="14.2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6"/>
      <c r="AT151" s="66"/>
      <c r="AU151" s="66"/>
      <c r="AV151" s="66"/>
      <c r="AW151" s="66"/>
      <c r="AX151" s="66"/>
      <c r="AY151" s="66"/>
      <c r="AZ151" s="66"/>
      <c r="BA151" s="66"/>
      <c r="BB151" s="66"/>
      <c r="BC151" s="66"/>
    </row>
    <row r="152" ht="14.2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6"/>
      <c r="AT152" s="66"/>
      <c r="AU152" s="66"/>
      <c r="AV152" s="66"/>
      <c r="AW152" s="66"/>
      <c r="AX152" s="66"/>
      <c r="AY152" s="66"/>
      <c r="AZ152" s="66"/>
      <c r="BA152" s="66"/>
      <c r="BB152" s="66"/>
      <c r="BC152" s="66"/>
    </row>
    <row r="153" ht="14.2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66"/>
      <c r="AU153" s="66"/>
      <c r="AV153" s="66"/>
      <c r="AW153" s="66"/>
      <c r="AX153" s="66"/>
      <c r="AY153" s="66"/>
      <c r="AZ153" s="66"/>
      <c r="BA153" s="66"/>
      <c r="BB153" s="66"/>
      <c r="BC153" s="66"/>
    </row>
    <row r="154" ht="14.2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6"/>
      <c r="AT154" s="66"/>
      <c r="AU154" s="66"/>
      <c r="AV154" s="66"/>
      <c r="AW154" s="66"/>
      <c r="AX154" s="66"/>
      <c r="AY154" s="66"/>
      <c r="AZ154" s="66"/>
      <c r="BA154" s="66"/>
      <c r="BB154" s="66"/>
      <c r="BC154" s="66"/>
    </row>
    <row r="155" ht="14.2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6"/>
      <c r="AT155" s="66"/>
      <c r="AU155" s="66"/>
      <c r="AV155" s="66"/>
      <c r="AW155" s="66"/>
      <c r="AX155" s="66"/>
      <c r="AY155" s="66"/>
      <c r="AZ155" s="66"/>
      <c r="BA155" s="66"/>
      <c r="BB155" s="66"/>
      <c r="BC155" s="66"/>
    </row>
    <row r="156" ht="14.2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66"/>
      <c r="AU156" s="66"/>
      <c r="AV156" s="66"/>
      <c r="AW156" s="66"/>
      <c r="AX156" s="66"/>
      <c r="AY156" s="66"/>
      <c r="AZ156" s="66"/>
      <c r="BA156" s="66"/>
      <c r="BB156" s="66"/>
      <c r="BC156" s="66"/>
    </row>
    <row r="157" ht="14.2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6"/>
      <c r="AQ157" s="66"/>
      <c r="AR157" s="66"/>
      <c r="AS157" s="66"/>
      <c r="AT157" s="66"/>
      <c r="AU157" s="66"/>
      <c r="AV157" s="66"/>
      <c r="AW157" s="66"/>
      <c r="AX157" s="66"/>
      <c r="AY157" s="66"/>
      <c r="AZ157" s="66"/>
      <c r="BA157" s="66"/>
      <c r="BB157" s="66"/>
      <c r="BC157" s="66"/>
    </row>
    <row r="158" ht="14.2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6"/>
      <c r="AQ158" s="66"/>
      <c r="AR158" s="66"/>
      <c r="AS158" s="66"/>
      <c r="AT158" s="66"/>
      <c r="AU158" s="66"/>
      <c r="AV158" s="66"/>
      <c r="AW158" s="66"/>
      <c r="AX158" s="66"/>
      <c r="AY158" s="66"/>
      <c r="AZ158" s="66"/>
      <c r="BA158" s="66"/>
      <c r="BB158" s="66"/>
      <c r="BC158" s="66"/>
    </row>
    <row r="159" ht="14.2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66"/>
      <c r="AU159" s="66"/>
      <c r="AV159" s="66"/>
      <c r="AW159" s="66"/>
      <c r="AX159" s="66"/>
      <c r="AY159" s="66"/>
      <c r="AZ159" s="66"/>
      <c r="BA159" s="66"/>
      <c r="BB159" s="66"/>
      <c r="BC159" s="66"/>
    </row>
    <row r="160" ht="14.2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6"/>
      <c r="AQ160" s="66"/>
      <c r="AR160" s="66"/>
      <c r="AS160" s="66"/>
      <c r="AT160" s="66"/>
      <c r="AU160" s="66"/>
      <c r="AV160" s="66"/>
      <c r="AW160" s="66"/>
      <c r="AX160" s="66"/>
      <c r="AY160" s="66"/>
      <c r="AZ160" s="66"/>
      <c r="BA160" s="66"/>
      <c r="BB160" s="66"/>
      <c r="BC160" s="66"/>
    </row>
    <row r="161" ht="14.2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6"/>
      <c r="AQ161" s="66"/>
      <c r="AR161" s="66"/>
      <c r="AS161" s="66"/>
      <c r="AT161" s="66"/>
      <c r="AU161" s="66"/>
      <c r="AV161" s="66"/>
      <c r="AW161" s="66"/>
      <c r="AX161" s="66"/>
      <c r="AY161" s="66"/>
      <c r="AZ161" s="66"/>
      <c r="BA161" s="66"/>
      <c r="BB161" s="66"/>
      <c r="BC161" s="66"/>
    </row>
    <row r="162" ht="14.2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  <c r="AQ162" s="66"/>
      <c r="AR162" s="66"/>
      <c r="AS162" s="66"/>
      <c r="AT162" s="66"/>
      <c r="AU162" s="66"/>
      <c r="AV162" s="66"/>
      <c r="AW162" s="66"/>
      <c r="AX162" s="66"/>
      <c r="AY162" s="66"/>
      <c r="AZ162" s="66"/>
      <c r="BA162" s="66"/>
      <c r="BB162" s="66"/>
      <c r="BC162" s="66"/>
    </row>
    <row r="163" ht="14.2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6"/>
      <c r="AQ163" s="66"/>
      <c r="AR163" s="66"/>
      <c r="AS163" s="66"/>
      <c r="AT163" s="66"/>
      <c r="AU163" s="66"/>
      <c r="AV163" s="66"/>
      <c r="AW163" s="66"/>
      <c r="AX163" s="66"/>
      <c r="AY163" s="66"/>
      <c r="AZ163" s="66"/>
      <c r="BA163" s="66"/>
      <c r="BB163" s="66"/>
      <c r="BC163" s="66"/>
    </row>
    <row r="164" ht="14.2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6"/>
      <c r="AQ164" s="66"/>
      <c r="AR164" s="66"/>
      <c r="AS164" s="66"/>
      <c r="AT164" s="66"/>
      <c r="AU164" s="66"/>
      <c r="AV164" s="66"/>
      <c r="AW164" s="66"/>
      <c r="AX164" s="66"/>
      <c r="AY164" s="66"/>
      <c r="AZ164" s="66"/>
      <c r="BA164" s="66"/>
      <c r="BB164" s="66"/>
      <c r="BC164" s="66"/>
    </row>
    <row r="165" ht="14.2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6"/>
      <c r="AQ165" s="66"/>
      <c r="AR165" s="66"/>
      <c r="AS165" s="66"/>
      <c r="AT165" s="66"/>
      <c r="AU165" s="66"/>
      <c r="AV165" s="66"/>
      <c r="AW165" s="66"/>
      <c r="AX165" s="66"/>
      <c r="AY165" s="66"/>
      <c r="AZ165" s="66"/>
      <c r="BA165" s="66"/>
      <c r="BB165" s="66"/>
      <c r="BC165" s="66"/>
    </row>
    <row r="166" ht="14.2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66"/>
      <c r="AU166" s="66"/>
      <c r="AV166" s="66"/>
      <c r="AW166" s="66"/>
      <c r="AX166" s="66"/>
      <c r="AY166" s="66"/>
      <c r="AZ166" s="66"/>
      <c r="BA166" s="66"/>
      <c r="BB166" s="66"/>
      <c r="BC166" s="66"/>
    </row>
    <row r="167" ht="14.2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6"/>
      <c r="AQ167" s="66"/>
      <c r="AR167" s="66"/>
      <c r="AS167" s="66"/>
      <c r="AT167" s="66"/>
      <c r="AU167" s="66"/>
      <c r="AV167" s="66"/>
      <c r="AW167" s="66"/>
      <c r="AX167" s="66"/>
      <c r="AY167" s="66"/>
      <c r="AZ167" s="66"/>
      <c r="BA167" s="66"/>
      <c r="BB167" s="66"/>
      <c r="BC167" s="66"/>
    </row>
    <row r="168" ht="14.2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6"/>
      <c r="AQ168" s="66"/>
      <c r="AR168" s="66"/>
      <c r="AS168" s="66"/>
      <c r="AT168" s="66"/>
      <c r="AU168" s="66"/>
      <c r="AV168" s="66"/>
      <c r="AW168" s="66"/>
      <c r="AX168" s="66"/>
      <c r="AY168" s="66"/>
      <c r="AZ168" s="66"/>
      <c r="BA168" s="66"/>
      <c r="BB168" s="66"/>
      <c r="BC168" s="66"/>
    </row>
    <row r="169" ht="14.2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6"/>
      <c r="AQ169" s="66"/>
      <c r="AR169" s="66"/>
      <c r="AS169" s="66"/>
      <c r="AT169" s="66"/>
      <c r="AU169" s="66"/>
      <c r="AV169" s="66"/>
      <c r="AW169" s="66"/>
      <c r="AX169" s="66"/>
      <c r="AY169" s="66"/>
      <c r="AZ169" s="66"/>
      <c r="BA169" s="66"/>
      <c r="BB169" s="66"/>
      <c r="BC169" s="66"/>
    </row>
    <row r="170" ht="14.2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6"/>
      <c r="AQ170" s="66"/>
      <c r="AR170" s="66"/>
      <c r="AS170" s="66"/>
      <c r="AT170" s="66"/>
      <c r="AU170" s="66"/>
      <c r="AV170" s="66"/>
      <c r="AW170" s="66"/>
      <c r="AX170" s="66"/>
      <c r="AY170" s="66"/>
      <c r="AZ170" s="66"/>
      <c r="BA170" s="66"/>
      <c r="BB170" s="66"/>
      <c r="BC170" s="66"/>
    </row>
    <row r="171" ht="14.2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6"/>
      <c r="AQ171" s="66"/>
      <c r="AR171" s="66"/>
      <c r="AS171" s="66"/>
      <c r="AT171" s="66"/>
      <c r="AU171" s="66"/>
      <c r="AV171" s="66"/>
      <c r="AW171" s="66"/>
      <c r="AX171" s="66"/>
      <c r="AY171" s="66"/>
      <c r="AZ171" s="66"/>
      <c r="BA171" s="66"/>
      <c r="BB171" s="66"/>
      <c r="BC171" s="66"/>
    </row>
    <row r="172" ht="14.2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6"/>
      <c r="AQ172" s="66"/>
      <c r="AR172" s="66"/>
      <c r="AS172" s="66"/>
      <c r="AT172" s="66"/>
      <c r="AU172" s="66"/>
      <c r="AV172" s="66"/>
      <c r="AW172" s="66"/>
      <c r="AX172" s="66"/>
      <c r="AY172" s="66"/>
      <c r="AZ172" s="66"/>
      <c r="BA172" s="66"/>
      <c r="BB172" s="66"/>
      <c r="BC172" s="66"/>
    </row>
    <row r="173" ht="14.2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66"/>
      <c r="AU173" s="66"/>
      <c r="AV173" s="66"/>
      <c r="AW173" s="66"/>
      <c r="AX173" s="66"/>
      <c r="AY173" s="66"/>
      <c r="AZ173" s="66"/>
      <c r="BA173" s="66"/>
      <c r="BB173" s="66"/>
      <c r="BC173" s="66"/>
    </row>
    <row r="174" ht="14.2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  <c r="AR174" s="66"/>
      <c r="AS174" s="66"/>
      <c r="AT174" s="66"/>
      <c r="AU174" s="66"/>
      <c r="AV174" s="66"/>
      <c r="AW174" s="66"/>
      <c r="AX174" s="66"/>
      <c r="AY174" s="66"/>
      <c r="AZ174" s="66"/>
      <c r="BA174" s="66"/>
      <c r="BB174" s="66"/>
      <c r="BC174" s="66"/>
    </row>
    <row r="175" ht="14.2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  <c r="AQ175" s="66"/>
      <c r="AR175" s="66"/>
      <c r="AS175" s="66"/>
      <c r="AT175" s="66"/>
      <c r="AU175" s="66"/>
      <c r="AV175" s="66"/>
      <c r="AW175" s="66"/>
      <c r="AX175" s="66"/>
      <c r="AY175" s="66"/>
      <c r="AZ175" s="66"/>
      <c r="BA175" s="66"/>
      <c r="BB175" s="66"/>
      <c r="BC175" s="66"/>
    </row>
    <row r="176" ht="14.2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6"/>
      <c r="AQ176" s="66"/>
      <c r="AR176" s="66"/>
      <c r="AS176" s="66"/>
      <c r="AT176" s="66"/>
      <c r="AU176" s="66"/>
      <c r="AV176" s="66"/>
      <c r="AW176" s="66"/>
      <c r="AX176" s="66"/>
      <c r="AY176" s="66"/>
      <c r="AZ176" s="66"/>
      <c r="BA176" s="66"/>
      <c r="BB176" s="66"/>
      <c r="BC176" s="66"/>
    </row>
    <row r="177" ht="14.2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66"/>
      <c r="AU177" s="66"/>
      <c r="AV177" s="66"/>
      <c r="AW177" s="66"/>
      <c r="AX177" s="66"/>
      <c r="AY177" s="66"/>
      <c r="AZ177" s="66"/>
      <c r="BA177" s="66"/>
      <c r="BB177" s="66"/>
      <c r="BC177" s="66"/>
    </row>
    <row r="178" ht="14.2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66"/>
      <c r="AU178" s="66"/>
      <c r="AV178" s="66"/>
      <c r="AW178" s="66"/>
      <c r="AX178" s="66"/>
      <c r="AY178" s="66"/>
      <c r="AZ178" s="66"/>
      <c r="BA178" s="66"/>
      <c r="BB178" s="66"/>
      <c r="BC178" s="66"/>
    </row>
    <row r="179" ht="14.2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6"/>
      <c r="AQ179" s="66"/>
      <c r="AR179" s="66"/>
      <c r="AS179" s="66"/>
      <c r="AT179" s="66"/>
      <c r="AU179" s="66"/>
      <c r="AV179" s="66"/>
      <c r="AW179" s="66"/>
      <c r="AX179" s="66"/>
      <c r="AY179" s="66"/>
      <c r="AZ179" s="66"/>
      <c r="BA179" s="66"/>
      <c r="BB179" s="66"/>
      <c r="BC179" s="66"/>
    </row>
    <row r="180" ht="14.2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6"/>
      <c r="AQ180" s="66"/>
      <c r="AR180" s="66"/>
      <c r="AS180" s="66"/>
      <c r="AT180" s="66"/>
      <c r="AU180" s="66"/>
      <c r="AV180" s="66"/>
      <c r="AW180" s="66"/>
      <c r="AX180" s="66"/>
      <c r="AY180" s="66"/>
      <c r="AZ180" s="66"/>
      <c r="BA180" s="66"/>
      <c r="BB180" s="66"/>
      <c r="BC180" s="66"/>
    </row>
    <row r="181" ht="14.2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6"/>
      <c r="AQ181" s="66"/>
      <c r="AR181" s="66"/>
      <c r="AS181" s="66"/>
      <c r="AT181" s="66"/>
      <c r="AU181" s="66"/>
      <c r="AV181" s="66"/>
      <c r="AW181" s="66"/>
      <c r="AX181" s="66"/>
      <c r="AY181" s="66"/>
      <c r="AZ181" s="66"/>
      <c r="BA181" s="66"/>
      <c r="BB181" s="66"/>
      <c r="BC181" s="66"/>
    </row>
    <row r="182" ht="14.2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6"/>
      <c r="AQ182" s="66"/>
      <c r="AR182" s="66"/>
      <c r="AS182" s="66"/>
      <c r="AT182" s="66"/>
      <c r="AU182" s="66"/>
      <c r="AV182" s="66"/>
      <c r="AW182" s="66"/>
      <c r="AX182" s="66"/>
      <c r="AY182" s="66"/>
      <c r="AZ182" s="66"/>
      <c r="BA182" s="66"/>
      <c r="BB182" s="66"/>
      <c r="BC182" s="66"/>
    </row>
    <row r="183" ht="14.2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6"/>
      <c r="AQ183" s="66"/>
      <c r="AR183" s="66"/>
      <c r="AS183" s="66"/>
      <c r="AT183" s="66"/>
      <c r="AU183" s="66"/>
      <c r="AV183" s="66"/>
      <c r="AW183" s="66"/>
      <c r="AX183" s="66"/>
      <c r="AY183" s="66"/>
      <c r="AZ183" s="66"/>
      <c r="BA183" s="66"/>
      <c r="BB183" s="66"/>
      <c r="BC183" s="66"/>
    </row>
    <row r="184" ht="14.2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66"/>
      <c r="AU184" s="66"/>
      <c r="AV184" s="66"/>
      <c r="AW184" s="66"/>
      <c r="AX184" s="66"/>
      <c r="AY184" s="66"/>
      <c r="AZ184" s="66"/>
      <c r="BA184" s="66"/>
      <c r="BB184" s="66"/>
      <c r="BC184" s="66"/>
    </row>
    <row r="185" ht="14.2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6"/>
      <c r="AQ185" s="66"/>
      <c r="AR185" s="66"/>
      <c r="AS185" s="66"/>
      <c r="AT185" s="66"/>
      <c r="AU185" s="66"/>
      <c r="AV185" s="66"/>
      <c r="AW185" s="66"/>
      <c r="AX185" s="66"/>
      <c r="AY185" s="66"/>
      <c r="AZ185" s="66"/>
      <c r="BA185" s="66"/>
      <c r="BB185" s="66"/>
      <c r="BC185" s="66"/>
    </row>
    <row r="186" ht="14.2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6"/>
      <c r="AQ186" s="66"/>
      <c r="AR186" s="66"/>
      <c r="AS186" s="66"/>
      <c r="AT186" s="66"/>
      <c r="AU186" s="66"/>
      <c r="AV186" s="66"/>
      <c r="AW186" s="66"/>
      <c r="AX186" s="66"/>
      <c r="AY186" s="66"/>
      <c r="AZ186" s="66"/>
      <c r="BA186" s="66"/>
      <c r="BB186" s="66"/>
      <c r="BC186" s="66"/>
    </row>
    <row r="187" ht="14.2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6"/>
      <c r="AQ187" s="66"/>
      <c r="AR187" s="66"/>
      <c r="AS187" s="66"/>
      <c r="AT187" s="66"/>
      <c r="AU187" s="66"/>
      <c r="AV187" s="66"/>
      <c r="AW187" s="66"/>
      <c r="AX187" s="66"/>
      <c r="AY187" s="66"/>
      <c r="AZ187" s="66"/>
      <c r="BA187" s="66"/>
      <c r="BB187" s="66"/>
      <c r="BC187" s="66"/>
    </row>
    <row r="188" ht="14.2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6"/>
      <c r="AQ188" s="66"/>
      <c r="AR188" s="66"/>
      <c r="AS188" s="66"/>
      <c r="AT188" s="66"/>
      <c r="AU188" s="66"/>
      <c r="AV188" s="66"/>
      <c r="AW188" s="66"/>
      <c r="AX188" s="66"/>
      <c r="AY188" s="66"/>
      <c r="AZ188" s="66"/>
      <c r="BA188" s="66"/>
      <c r="BB188" s="66"/>
      <c r="BC188" s="66"/>
    </row>
    <row r="189" ht="14.2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6"/>
      <c r="AQ189" s="66"/>
      <c r="AR189" s="66"/>
      <c r="AS189" s="66"/>
      <c r="AT189" s="66"/>
      <c r="AU189" s="66"/>
      <c r="AV189" s="66"/>
      <c r="AW189" s="66"/>
      <c r="AX189" s="66"/>
      <c r="AY189" s="66"/>
      <c r="AZ189" s="66"/>
      <c r="BA189" s="66"/>
      <c r="BB189" s="66"/>
      <c r="BC189" s="66"/>
    </row>
    <row r="190" ht="14.2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66"/>
      <c r="AU190" s="66"/>
      <c r="AV190" s="66"/>
      <c r="AW190" s="66"/>
      <c r="AX190" s="66"/>
      <c r="AY190" s="66"/>
      <c r="AZ190" s="66"/>
      <c r="BA190" s="66"/>
      <c r="BB190" s="66"/>
      <c r="BC190" s="66"/>
    </row>
    <row r="191" ht="14.2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6"/>
      <c r="AQ191" s="66"/>
      <c r="AR191" s="66"/>
      <c r="AS191" s="66"/>
      <c r="AT191" s="66"/>
      <c r="AU191" s="66"/>
      <c r="AV191" s="66"/>
      <c r="AW191" s="66"/>
      <c r="AX191" s="66"/>
      <c r="AY191" s="66"/>
      <c r="AZ191" s="66"/>
      <c r="BA191" s="66"/>
      <c r="BB191" s="66"/>
      <c r="BC191" s="66"/>
    </row>
    <row r="192" ht="14.2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6"/>
      <c r="AQ192" s="66"/>
      <c r="AR192" s="66"/>
      <c r="AS192" s="66"/>
      <c r="AT192" s="66"/>
      <c r="AU192" s="66"/>
      <c r="AV192" s="66"/>
      <c r="AW192" s="66"/>
      <c r="AX192" s="66"/>
      <c r="AY192" s="66"/>
      <c r="AZ192" s="66"/>
      <c r="BA192" s="66"/>
      <c r="BB192" s="66"/>
      <c r="BC192" s="66"/>
    </row>
    <row r="193" ht="14.2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6"/>
      <c r="AQ193" s="66"/>
      <c r="AR193" s="66"/>
      <c r="AS193" s="66"/>
      <c r="AT193" s="66"/>
      <c r="AU193" s="66"/>
      <c r="AV193" s="66"/>
      <c r="AW193" s="66"/>
      <c r="AX193" s="66"/>
      <c r="AY193" s="66"/>
      <c r="AZ193" s="66"/>
      <c r="BA193" s="66"/>
      <c r="BB193" s="66"/>
      <c r="BC193" s="66"/>
    </row>
    <row r="194" ht="14.2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6"/>
      <c r="AQ194" s="66"/>
      <c r="AR194" s="66"/>
      <c r="AS194" s="66"/>
      <c r="AT194" s="66"/>
      <c r="AU194" s="66"/>
      <c r="AV194" s="66"/>
      <c r="AW194" s="66"/>
      <c r="AX194" s="66"/>
      <c r="AY194" s="66"/>
      <c r="AZ194" s="66"/>
      <c r="BA194" s="66"/>
      <c r="BB194" s="66"/>
      <c r="BC194" s="66"/>
    </row>
    <row r="195" ht="14.2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6"/>
      <c r="AQ195" s="66"/>
      <c r="AR195" s="66"/>
      <c r="AS195" s="66"/>
      <c r="AT195" s="66"/>
      <c r="AU195" s="66"/>
      <c r="AV195" s="66"/>
      <c r="AW195" s="66"/>
      <c r="AX195" s="66"/>
      <c r="AY195" s="66"/>
      <c r="AZ195" s="66"/>
      <c r="BA195" s="66"/>
      <c r="BB195" s="66"/>
      <c r="BC195" s="66"/>
    </row>
    <row r="196" ht="14.2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6"/>
      <c r="AQ196" s="66"/>
      <c r="AR196" s="66"/>
      <c r="AS196" s="66"/>
      <c r="AT196" s="66"/>
      <c r="AU196" s="66"/>
      <c r="AV196" s="66"/>
      <c r="AW196" s="66"/>
      <c r="AX196" s="66"/>
      <c r="AY196" s="66"/>
      <c r="AZ196" s="66"/>
      <c r="BA196" s="66"/>
      <c r="BB196" s="66"/>
      <c r="BC196" s="66"/>
    </row>
    <row r="197" ht="14.2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66"/>
      <c r="AU197" s="66"/>
      <c r="AV197" s="66"/>
      <c r="AW197" s="66"/>
      <c r="AX197" s="66"/>
      <c r="AY197" s="66"/>
      <c r="AZ197" s="66"/>
      <c r="BA197" s="66"/>
      <c r="BB197" s="66"/>
      <c r="BC197" s="66"/>
    </row>
    <row r="198" ht="14.2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6"/>
      <c r="AQ198" s="66"/>
      <c r="AR198" s="66"/>
      <c r="AS198" s="66"/>
      <c r="AT198" s="66"/>
      <c r="AU198" s="66"/>
      <c r="AV198" s="66"/>
      <c r="AW198" s="66"/>
      <c r="AX198" s="66"/>
      <c r="AY198" s="66"/>
      <c r="AZ198" s="66"/>
      <c r="BA198" s="66"/>
      <c r="BB198" s="66"/>
      <c r="BC198" s="66"/>
    </row>
    <row r="199" ht="14.2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6"/>
      <c r="AQ199" s="66"/>
      <c r="AR199" s="66"/>
      <c r="AS199" s="66"/>
      <c r="AT199" s="66"/>
      <c r="AU199" s="66"/>
      <c r="AV199" s="66"/>
      <c r="AW199" s="66"/>
      <c r="AX199" s="66"/>
      <c r="AY199" s="66"/>
      <c r="AZ199" s="66"/>
      <c r="BA199" s="66"/>
      <c r="BB199" s="66"/>
      <c r="BC199" s="66"/>
    </row>
    <row r="200" ht="14.2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6"/>
      <c r="AQ200" s="66"/>
      <c r="AR200" s="66"/>
      <c r="AS200" s="66"/>
      <c r="AT200" s="66"/>
      <c r="AU200" s="66"/>
      <c r="AV200" s="66"/>
      <c r="AW200" s="66"/>
      <c r="AX200" s="66"/>
      <c r="AY200" s="66"/>
      <c r="AZ200" s="66"/>
      <c r="BA200" s="66"/>
      <c r="BB200" s="66"/>
      <c r="BC200" s="66"/>
    </row>
    <row r="201" ht="14.2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6"/>
      <c r="AQ201" s="66"/>
      <c r="AR201" s="66"/>
      <c r="AS201" s="66"/>
      <c r="AT201" s="66"/>
      <c r="AU201" s="66"/>
      <c r="AV201" s="66"/>
      <c r="AW201" s="66"/>
      <c r="AX201" s="66"/>
      <c r="AY201" s="66"/>
      <c r="AZ201" s="66"/>
      <c r="BA201" s="66"/>
      <c r="BB201" s="66"/>
      <c r="BC201" s="66"/>
    </row>
    <row r="202" ht="14.2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6"/>
      <c r="AQ202" s="66"/>
      <c r="AR202" s="66"/>
      <c r="AS202" s="66"/>
      <c r="AT202" s="66"/>
      <c r="AU202" s="66"/>
      <c r="AV202" s="66"/>
      <c r="AW202" s="66"/>
      <c r="AX202" s="66"/>
      <c r="AY202" s="66"/>
      <c r="AZ202" s="66"/>
      <c r="BA202" s="66"/>
      <c r="BB202" s="66"/>
      <c r="BC202" s="66"/>
    </row>
    <row r="203" ht="14.2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6"/>
      <c r="AQ203" s="66"/>
      <c r="AR203" s="66"/>
      <c r="AS203" s="66"/>
      <c r="AT203" s="66"/>
      <c r="AU203" s="66"/>
      <c r="AV203" s="66"/>
      <c r="AW203" s="66"/>
      <c r="AX203" s="66"/>
      <c r="AY203" s="66"/>
      <c r="AZ203" s="66"/>
      <c r="BA203" s="66"/>
      <c r="BB203" s="66"/>
      <c r="BC203" s="66"/>
    </row>
    <row r="204" ht="14.2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66"/>
      <c r="AU204" s="66"/>
      <c r="AV204" s="66"/>
      <c r="AW204" s="66"/>
      <c r="AX204" s="66"/>
      <c r="AY204" s="66"/>
      <c r="AZ204" s="66"/>
      <c r="BA204" s="66"/>
      <c r="BB204" s="66"/>
      <c r="BC204" s="66"/>
    </row>
    <row r="205" ht="14.2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6"/>
      <c r="AQ205" s="66"/>
      <c r="AR205" s="66"/>
      <c r="AS205" s="66"/>
      <c r="AT205" s="66"/>
      <c r="AU205" s="66"/>
      <c r="AV205" s="66"/>
      <c r="AW205" s="66"/>
      <c r="AX205" s="66"/>
      <c r="AY205" s="66"/>
      <c r="AZ205" s="66"/>
      <c r="BA205" s="66"/>
      <c r="BB205" s="66"/>
      <c r="BC205" s="66"/>
    </row>
    <row r="206" ht="14.2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6"/>
      <c r="AQ206" s="66"/>
      <c r="AR206" s="66"/>
      <c r="AS206" s="66"/>
      <c r="AT206" s="66"/>
      <c r="AU206" s="66"/>
      <c r="AV206" s="66"/>
      <c r="AW206" s="66"/>
      <c r="AX206" s="66"/>
      <c r="AY206" s="66"/>
      <c r="AZ206" s="66"/>
      <c r="BA206" s="66"/>
      <c r="BB206" s="66"/>
      <c r="BC206" s="66"/>
    </row>
    <row r="207" ht="14.2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6"/>
      <c r="AQ207" s="66"/>
      <c r="AR207" s="66"/>
      <c r="AS207" s="66"/>
      <c r="AT207" s="66"/>
      <c r="AU207" s="66"/>
      <c r="AV207" s="66"/>
      <c r="AW207" s="66"/>
      <c r="AX207" s="66"/>
      <c r="AY207" s="66"/>
      <c r="AZ207" s="66"/>
      <c r="BA207" s="66"/>
      <c r="BB207" s="66"/>
      <c r="BC207" s="66"/>
    </row>
    <row r="208" ht="14.2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6"/>
      <c r="AQ208" s="66"/>
      <c r="AR208" s="66"/>
      <c r="AS208" s="66"/>
      <c r="AT208" s="66"/>
      <c r="AU208" s="66"/>
      <c r="AV208" s="66"/>
      <c r="AW208" s="66"/>
      <c r="AX208" s="66"/>
      <c r="AY208" s="66"/>
      <c r="AZ208" s="66"/>
      <c r="BA208" s="66"/>
      <c r="BB208" s="66"/>
      <c r="BC208" s="66"/>
    </row>
    <row r="209" ht="14.2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66"/>
      <c r="AU209" s="66"/>
      <c r="AV209" s="66"/>
      <c r="AW209" s="66"/>
      <c r="AX209" s="66"/>
      <c r="AY209" s="66"/>
      <c r="AZ209" s="66"/>
      <c r="BA209" s="66"/>
      <c r="BB209" s="66"/>
      <c r="BC209" s="66"/>
    </row>
    <row r="210" ht="14.2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6"/>
      <c r="AQ210" s="66"/>
      <c r="AR210" s="66"/>
      <c r="AS210" s="66"/>
      <c r="AT210" s="66"/>
      <c r="AU210" s="66"/>
      <c r="AV210" s="66"/>
      <c r="AW210" s="66"/>
      <c r="AX210" s="66"/>
      <c r="AY210" s="66"/>
      <c r="AZ210" s="66"/>
      <c r="BA210" s="66"/>
      <c r="BB210" s="66"/>
      <c r="BC210" s="66"/>
    </row>
    <row r="211" ht="14.2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6"/>
      <c r="AQ211" s="66"/>
      <c r="AR211" s="66"/>
      <c r="AS211" s="66"/>
      <c r="AT211" s="66"/>
      <c r="AU211" s="66"/>
      <c r="AV211" s="66"/>
      <c r="AW211" s="66"/>
      <c r="AX211" s="66"/>
      <c r="AY211" s="66"/>
      <c r="AZ211" s="66"/>
      <c r="BA211" s="66"/>
      <c r="BB211" s="66"/>
      <c r="BC211" s="66"/>
    </row>
    <row r="212" ht="14.2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6"/>
      <c r="AQ212" s="66"/>
      <c r="AR212" s="66"/>
      <c r="AS212" s="66"/>
      <c r="AT212" s="66"/>
      <c r="AU212" s="66"/>
      <c r="AV212" s="66"/>
      <c r="AW212" s="66"/>
      <c r="AX212" s="66"/>
      <c r="AY212" s="66"/>
      <c r="AZ212" s="66"/>
      <c r="BA212" s="66"/>
      <c r="BB212" s="66"/>
      <c r="BC212" s="66"/>
    </row>
    <row r="213" ht="14.2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6"/>
      <c r="AQ213" s="66"/>
      <c r="AR213" s="66"/>
      <c r="AS213" s="66"/>
      <c r="AT213" s="66"/>
      <c r="AU213" s="66"/>
      <c r="AV213" s="66"/>
      <c r="AW213" s="66"/>
      <c r="AX213" s="66"/>
      <c r="AY213" s="66"/>
      <c r="AZ213" s="66"/>
      <c r="BA213" s="66"/>
      <c r="BB213" s="66"/>
      <c r="BC213" s="66"/>
    </row>
    <row r="214" ht="14.2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6"/>
      <c r="AQ214" s="66"/>
      <c r="AR214" s="66"/>
      <c r="AS214" s="66"/>
      <c r="AT214" s="66"/>
      <c r="AU214" s="66"/>
      <c r="AV214" s="66"/>
      <c r="AW214" s="66"/>
      <c r="AX214" s="66"/>
      <c r="AY214" s="66"/>
      <c r="AZ214" s="66"/>
      <c r="BA214" s="66"/>
      <c r="BB214" s="66"/>
      <c r="BC214" s="66"/>
    </row>
    <row r="215" ht="14.2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6"/>
      <c r="AQ215" s="66"/>
      <c r="AR215" s="66"/>
      <c r="AS215" s="66"/>
      <c r="AT215" s="66"/>
      <c r="AU215" s="66"/>
      <c r="AV215" s="66"/>
      <c r="AW215" s="66"/>
      <c r="AX215" s="66"/>
      <c r="AY215" s="66"/>
      <c r="AZ215" s="66"/>
      <c r="BA215" s="66"/>
      <c r="BB215" s="66"/>
      <c r="BC215" s="66"/>
    </row>
    <row r="216" ht="14.2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6"/>
      <c r="AQ216" s="66"/>
      <c r="AR216" s="66"/>
      <c r="AS216" s="66"/>
      <c r="AT216" s="66"/>
      <c r="AU216" s="66"/>
      <c r="AV216" s="66"/>
      <c r="AW216" s="66"/>
      <c r="AX216" s="66"/>
      <c r="AY216" s="66"/>
      <c r="AZ216" s="66"/>
      <c r="BA216" s="66"/>
      <c r="BB216" s="66"/>
      <c r="BC216" s="66"/>
    </row>
    <row r="217" ht="14.2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6"/>
      <c r="AQ217" s="66"/>
      <c r="AR217" s="66"/>
      <c r="AS217" s="66"/>
      <c r="AT217" s="66"/>
      <c r="AU217" s="66"/>
      <c r="AV217" s="66"/>
      <c r="AW217" s="66"/>
      <c r="AX217" s="66"/>
      <c r="AY217" s="66"/>
      <c r="AZ217" s="66"/>
      <c r="BA217" s="66"/>
      <c r="BB217" s="66"/>
      <c r="BC217" s="66"/>
    </row>
    <row r="218" ht="14.2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6"/>
      <c r="AQ218" s="66"/>
      <c r="AR218" s="66"/>
      <c r="AS218" s="66"/>
      <c r="AT218" s="66"/>
      <c r="AU218" s="66"/>
      <c r="AV218" s="66"/>
      <c r="AW218" s="66"/>
      <c r="AX218" s="66"/>
      <c r="AY218" s="66"/>
      <c r="AZ218" s="66"/>
      <c r="BA218" s="66"/>
      <c r="BB218" s="66"/>
      <c r="BC218" s="66"/>
    </row>
    <row r="219" ht="14.2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6"/>
      <c r="AQ219" s="66"/>
      <c r="AR219" s="66"/>
      <c r="AS219" s="66"/>
      <c r="AT219" s="66"/>
      <c r="AU219" s="66"/>
      <c r="AV219" s="66"/>
      <c r="AW219" s="66"/>
      <c r="AX219" s="66"/>
      <c r="AY219" s="66"/>
      <c r="AZ219" s="66"/>
      <c r="BA219" s="66"/>
      <c r="BB219" s="66"/>
      <c r="BC219" s="66"/>
    </row>
    <row r="220" ht="14.2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6"/>
      <c r="AQ220" s="66"/>
      <c r="AR220" s="66"/>
      <c r="AS220" s="66"/>
      <c r="AT220" s="66"/>
      <c r="AU220" s="66"/>
      <c r="AV220" s="66"/>
      <c r="AW220" s="66"/>
      <c r="AX220" s="66"/>
      <c r="AY220" s="66"/>
      <c r="AZ220" s="66"/>
      <c r="BA220" s="66"/>
      <c r="BB220" s="66"/>
      <c r="BC220" s="66"/>
    </row>
    <row r="221" ht="14.2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6"/>
      <c r="AQ221" s="66"/>
      <c r="AR221" s="66"/>
      <c r="AS221" s="66"/>
      <c r="AT221" s="66"/>
      <c r="AU221" s="66"/>
      <c r="AV221" s="66"/>
      <c r="AW221" s="66"/>
      <c r="AX221" s="66"/>
      <c r="AY221" s="66"/>
      <c r="AZ221" s="66"/>
      <c r="BA221" s="66"/>
      <c r="BB221" s="66"/>
      <c r="BC221" s="66"/>
    </row>
    <row r="222" ht="14.2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6"/>
      <c r="AQ222" s="66"/>
      <c r="AR222" s="66"/>
      <c r="AS222" s="66"/>
      <c r="AT222" s="66"/>
      <c r="AU222" s="66"/>
      <c r="AV222" s="66"/>
      <c r="AW222" s="66"/>
      <c r="AX222" s="66"/>
      <c r="AY222" s="66"/>
      <c r="AZ222" s="66"/>
      <c r="BA222" s="66"/>
      <c r="BB222" s="66"/>
      <c r="BC222" s="66"/>
    </row>
    <row r="223" ht="14.2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6"/>
      <c r="AQ223" s="66"/>
      <c r="AR223" s="66"/>
      <c r="AS223" s="66"/>
      <c r="AT223" s="66"/>
      <c r="AU223" s="66"/>
      <c r="AV223" s="66"/>
      <c r="AW223" s="66"/>
      <c r="AX223" s="66"/>
      <c r="AY223" s="66"/>
      <c r="AZ223" s="66"/>
      <c r="BA223" s="66"/>
      <c r="BB223" s="66"/>
      <c r="BC223" s="66"/>
    </row>
    <row r="224" ht="14.2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6"/>
      <c r="AQ224" s="66"/>
      <c r="AR224" s="66"/>
      <c r="AS224" s="66"/>
      <c r="AT224" s="66"/>
      <c r="AU224" s="66"/>
      <c r="AV224" s="66"/>
      <c r="AW224" s="66"/>
      <c r="AX224" s="66"/>
      <c r="AY224" s="66"/>
      <c r="AZ224" s="66"/>
      <c r="BA224" s="66"/>
      <c r="BB224" s="66"/>
      <c r="BC224" s="66"/>
    </row>
    <row r="225" ht="14.2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6"/>
      <c r="AQ225" s="66"/>
      <c r="AR225" s="66"/>
      <c r="AS225" s="66"/>
      <c r="AT225" s="66"/>
      <c r="AU225" s="66"/>
      <c r="AV225" s="66"/>
      <c r="AW225" s="66"/>
      <c r="AX225" s="66"/>
      <c r="AY225" s="66"/>
      <c r="AZ225" s="66"/>
      <c r="BA225" s="66"/>
      <c r="BB225" s="66"/>
      <c r="BC225" s="66"/>
    </row>
    <row r="226" ht="14.2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6"/>
      <c r="AQ226" s="66"/>
      <c r="AR226" s="66"/>
      <c r="AS226" s="66"/>
      <c r="AT226" s="66"/>
      <c r="AU226" s="66"/>
      <c r="AV226" s="66"/>
      <c r="AW226" s="66"/>
      <c r="AX226" s="66"/>
      <c r="AY226" s="66"/>
      <c r="AZ226" s="66"/>
      <c r="BA226" s="66"/>
      <c r="BB226" s="66"/>
      <c r="BC226" s="66"/>
    </row>
    <row r="227" ht="14.2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6"/>
      <c r="AQ227" s="66"/>
      <c r="AR227" s="66"/>
      <c r="AS227" s="66"/>
      <c r="AT227" s="66"/>
      <c r="AU227" s="66"/>
      <c r="AV227" s="66"/>
      <c r="AW227" s="66"/>
      <c r="AX227" s="66"/>
      <c r="AY227" s="66"/>
      <c r="AZ227" s="66"/>
      <c r="BA227" s="66"/>
      <c r="BB227" s="66"/>
      <c r="BC227" s="66"/>
    </row>
    <row r="228" ht="14.2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6"/>
      <c r="AQ228" s="66"/>
      <c r="AR228" s="66"/>
      <c r="AS228" s="66"/>
      <c r="AT228" s="66"/>
      <c r="AU228" s="66"/>
      <c r="AV228" s="66"/>
      <c r="AW228" s="66"/>
      <c r="AX228" s="66"/>
      <c r="AY228" s="66"/>
      <c r="AZ228" s="66"/>
      <c r="BA228" s="66"/>
      <c r="BB228" s="66"/>
      <c r="BC228" s="66"/>
    </row>
    <row r="229" ht="14.2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6"/>
      <c r="AQ229" s="66"/>
      <c r="AR229" s="66"/>
      <c r="AS229" s="66"/>
      <c r="AT229" s="66"/>
      <c r="AU229" s="66"/>
      <c r="AV229" s="66"/>
      <c r="AW229" s="66"/>
      <c r="AX229" s="66"/>
      <c r="AY229" s="66"/>
      <c r="AZ229" s="66"/>
      <c r="BA229" s="66"/>
      <c r="BB229" s="66"/>
      <c r="BC229" s="66"/>
    </row>
    <row r="230" ht="14.2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6"/>
      <c r="AQ230" s="66"/>
      <c r="AR230" s="66"/>
      <c r="AS230" s="66"/>
      <c r="AT230" s="66"/>
      <c r="AU230" s="66"/>
      <c r="AV230" s="66"/>
      <c r="AW230" s="66"/>
      <c r="AX230" s="66"/>
      <c r="AY230" s="66"/>
      <c r="AZ230" s="66"/>
      <c r="BA230" s="66"/>
      <c r="BB230" s="66"/>
      <c r="BC230" s="66"/>
    </row>
    <row r="231" ht="14.2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6"/>
      <c r="AQ231" s="66"/>
      <c r="AR231" s="66"/>
      <c r="AS231" s="66"/>
      <c r="AT231" s="66"/>
      <c r="AU231" s="66"/>
      <c r="AV231" s="66"/>
      <c r="AW231" s="66"/>
      <c r="AX231" s="66"/>
      <c r="AY231" s="66"/>
      <c r="AZ231" s="66"/>
      <c r="BA231" s="66"/>
      <c r="BB231" s="66"/>
      <c r="BC231" s="66"/>
    </row>
    <row r="232" ht="14.2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6"/>
      <c r="AQ232" s="66"/>
      <c r="AR232" s="66"/>
      <c r="AS232" s="66"/>
      <c r="AT232" s="66"/>
      <c r="AU232" s="66"/>
      <c r="AV232" s="66"/>
      <c r="AW232" s="66"/>
      <c r="AX232" s="66"/>
      <c r="AY232" s="66"/>
      <c r="AZ232" s="66"/>
      <c r="BA232" s="66"/>
      <c r="BB232" s="66"/>
      <c r="BC232" s="66"/>
    </row>
    <row r="233" ht="14.2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6"/>
      <c r="AQ233" s="66"/>
      <c r="AR233" s="66"/>
      <c r="AS233" s="66"/>
      <c r="AT233" s="66"/>
      <c r="AU233" s="66"/>
      <c r="AV233" s="66"/>
      <c r="AW233" s="66"/>
      <c r="AX233" s="66"/>
      <c r="AY233" s="66"/>
      <c r="AZ233" s="66"/>
      <c r="BA233" s="66"/>
      <c r="BB233" s="66"/>
      <c r="BC233" s="66"/>
    </row>
    <row r="234" ht="14.2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6"/>
      <c r="AQ234" s="66"/>
      <c r="AR234" s="66"/>
      <c r="AS234" s="66"/>
      <c r="AT234" s="66"/>
      <c r="AU234" s="66"/>
      <c r="AV234" s="66"/>
      <c r="AW234" s="66"/>
      <c r="AX234" s="66"/>
      <c r="AY234" s="66"/>
      <c r="AZ234" s="66"/>
      <c r="BA234" s="66"/>
      <c r="BB234" s="66"/>
      <c r="BC234" s="66"/>
    </row>
    <row r="235" ht="14.2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6"/>
      <c r="AQ235" s="66"/>
      <c r="AR235" s="66"/>
      <c r="AS235" s="66"/>
      <c r="AT235" s="66"/>
      <c r="AU235" s="66"/>
      <c r="AV235" s="66"/>
      <c r="AW235" s="66"/>
      <c r="AX235" s="66"/>
      <c r="AY235" s="66"/>
      <c r="AZ235" s="66"/>
      <c r="BA235" s="66"/>
      <c r="BB235" s="66"/>
      <c r="BC235" s="66"/>
    </row>
    <row r="236" ht="14.2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6"/>
      <c r="AQ236" s="66"/>
      <c r="AR236" s="66"/>
      <c r="AS236" s="66"/>
      <c r="AT236" s="66"/>
      <c r="AU236" s="66"/>
      <c r="AV236" s="66"/>
      <c r="AW236" s="66"/>
      <c r="AX236" s="66"/>
      <c r="AY236" s="66"/>
      <c r="AZ236" s="66"/>
      <c r="BA236" s="66"/>
      <c r="BB236" s="66"/>
      <c r="BC236" s="66"/>
    </row>
    <row r="237" ht="14.2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6"/>
      <c r="AQ237" s="66"/>
      <c r="AR237" s="66"/>
      <c r="AS237" s="66"/>
      <c r="AT237" s="66"/>
      <c r="AU237" s="66"/>
      <c r="AV237" s="66"/>
      <c r="AW237" s="66"/>
      <c r="AX237" s="66"/>
      <c r="AY237" s="66"/>
      <c r="AZ237" s="66"/>
      <c r="BA237" s="66"/>
      <c r="BB237" s="66"/>
      <c r="BC237" s="66"/>
    </row>
    <row r="238" ht="14.2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6"/>
      <c r="AQ238" s="66"/>
      <c r="AR238" s="66"/>
      <c r="AS238" s="66"/>
      <c r="AT238" s="66"/>
      <c r="AU238" s="66"/>
      <c r="AV238" s="66"/>
      <c r="AW238" s="66"/>
      <c r="AX238" s="66"/>
      <c r="AY238" s="66"/>
      <c r="AZ238" s="66"/>
      <c r="BA238" s="66"/>
      <c r="BB238" s="66"/>
      <c r="BC238" s="66"/>
    </row>
    <row r="239" ht="14.2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6"/>
      <c r="AQ239" s="66"/>
      <c r="AR239" s="66"/>
      <c r="AS239" s="66"/>
      <c r="AT239" s="66"/>
      <c r="AU239" s="66"/>
      <c r="AV239" s="66"/>
      <c r="AW239" s="66"/>
      <c r="AX239" s="66"/>
      <c r="AY239" s="66"/>
      <c r="AZ239" s="66"/>
      <c r="BA239" s="66"/>
      <c r="BB239" s="66"/>
      <c r="BC239" s="66"/>
    </row>
    <row r="240" ht="14.2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6"/>
      <c r="AQ240" s="66"/>
      <c r="AR240" s="66"/>
      <c r="AS240" s="66"/>
      <c r="AT240" s="66"/>
      <c r="AU240" s="66"/>
      <c r="AV240" s="66"/>
      <c r="AW240" s="66"/>
      <c r="AX240" s="66"/>
      <c r="AY240" s="66"/>
      <c r="AZ240" s="66"/>
      <c r="BA240" s="66"/>
      <c r="BB240" s="66"/>
      <c r="BC240" s="66"/>
    </row>
    <row r="241" ht="14.2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6"/>
      <c r="AQ241" s="66"/>
      <c r="AR241" s="66"/>
      <c r="AS241" s="66"/>
      <c r="AT241" s="66"/>
      <c r="AU241" s="66"/>
      <c r="AV241" s="66"/>
      <c r="AW241" s="66"/>
      <c r="AX241" s="66"/>
      <c r="AY241" s="66"/>
      <c r="AZ241" s="66"/>
      <c r="BA241" s="66"/>
      <c r="BB241" s="66"/>
      <c r="BC241" s="66"/>
    </row>
    <row r="242" ht="14.2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6"/>
      <c r="AQ242" s="66"/>
      <c r="AR242" s="66"/>
      <c r="AS242" s="66"/>
      <c r="AT242" s="66"/>
      <c r="AU242" s="66"/>
      <c r="AV242" s="66"/>
      <c r="AW242" s="66"/>
      <c r="AX242" s="66"/>
      <c r="AY242" s="66"/>
      <c r="AZ242" s="66"/>
      <c r="BA242" s="66"/>
      <c r="BB242" s="66"/>
      <c r="BC242" s="66"/>
    </row>
    <row r="243" ht="14.2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6"/>
      <c r="AQ243" s="66"/>
      <c r="AR243" s="66"/>
      <c r="AS243" s="66"/>
      <c r="AT243" s="66"/>
      <c r="AU243" s="66"/>
      <c r="AV243" s="66"/>
      <c r="AW243" s="66"/>
      <c r="AX243" s="66"/>
      <c r="AY243" s="66"/>
      <c r="AZ243" s="66"/>
      <c r="BA243" s="66"/>
      <c r="BB243" s="66"/>
      <c r="BC243" s="66"/>
    </row>
    <row r="244" ht="14.2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6"/>
      <c r="AQ244" s="66"/>
      <c r="AR244" s="66"/>
      <c r="AS244" s="66"/>
      <c r="AT244" s="66"/>
      <c r="AU244" s="66"/>
      <c r="AV244" s="66"/>
      <c r="AW244" s="66"/>
      <c r="AX244" s="66"/>
      <c r="AY244" s="66"/>
      <c r="AZ244" s="66"/>
      <c r="BA244" s="66"/>
      <c r="BB244" s="66"/>
      <c r="BC244" s="66"/>
    </row>
    <row r="245" ht="14.2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6"/>
      <c r="AQ245" s="66"/>
      <c r="AR245" s="66"/>
      <c r="AS245" s="66"/>
      <c r="AT245" s="66"/>
      <c r="AU245" s="66"/>
      <c r="AV245" s="66"/>
      <c r="AW245" s="66"/>
      <c r="AX245" s="66"/>
      <c r="AY245" s="66"/>
      <c r="AZ245" s="66"/>
      <c r="BA245" s="66"/>
      <c r="BB245" s="66"/>
      <c r="BC245" s="66"/>
    </row>
    <row r="246" ht="14.2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6"/>
      <c r="AQ246" s="66"/>
      <c r="AR246" s="66"/>
      <c r="AS246" s="66"/>
      <c r="AT246" s="66"/>
      <c r="AU246" s="66"/>
      <c r="AV246" s="66"/>
      <c r="AW246" s="66"/>
      <c r="AX246" s="66"/>
      <c r="AY246" s="66"/>
      <c r="AZ246" s="66"/>
      <c r="BA246" s="66"/>
      <c r="BB246" s="66"/>
      <c r="BC246" s="66"/>
    </row>
    <row r="247" ht="14.2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6"/>
      <c r="AQ247" s="66"/>
      <c r="AR247" s="66"/>
      <c r="AS247" s="66"/>
      <c r="AT247" s="66"/>
      <c r="AU247" s="66"/>
      <c r="AV247" s="66"/>
      <c r="AW247" s="66"/>
      <c r="AX247" s="66"/>
      <c r="AY247" s="66"/>
      <c r="AZ247" s="66"/>
      <c r="BA247" s="66"/>
      <c r="BB247" s="66"/>
      <c r="BC247" s="66"/>
    </row>
    <row r="248" ht="14.2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6"/>
      <c r="AQ248" s="66"/>
      <c r="AR248" s="66"/>
      <c r="AS248" s="66"/>
      <c r="AT248" s="66"/>
      <c r="AU248" s="66"/>
      <c r="AV248" s="66"/>
      <c r="AW248" s="66"/>
      <c r="AX248" s="66"/>
      <c r="AY248" s="66"/>
      <c r="AZ248" s="66"/>
      <c r="BA248" s="66"/>
      <c r="BB248" s="66"/>
      <c r="BC248" s="66"/>
    </row>
    <row r="249" ht="14.2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6"/>
      <c r="AQ249" s="66"/>
      <c r="AR249" s="66"/>
      <c r="AS249" s="66"/>
      <c r="AT249" s="66"/>
      <c r="AU249" s="66"/>
      <c r="AV249" s="66"/>
      <c r="AW249" s="66"/>
      <c r="AX249" s="66"/>
      <c r="AY249" s="66"/>
      <c r="AZ249" s="66"/>
      <c r="BA249" s="66"/>
      <c r="BB249" s="66"/>
      <c r="BC249" s="66"/>
    </row>
    <row r="250" ht="14.2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6"/>
      <c r="AQ250" s="66"/>
      <c r="AR250" s="66"/>
      <c r="AS250" s="66"/>
      <c r="AT250" s="66"/>
      <c r="AU250" s="66"/>
      <c r="AV250" s="66"/>
      <c r="AW250" s="66"/>
      <c r="AX250" s="66"/>
      <c r="AY250" s="66"/>
      <c r="AZ250" s="66"/>
      <c r="BA250" s="66"/>
      <c r="BB250" s="66"/>
      <c r="BC250" s="66"/>
    </row>
    <row r="251" ht="14.2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6"/>
      <c r="AQ251" s="66"/>
      <c r="AR251" s="66"/>
      <c r="AS251" s="66"/>
      <c r="AT251" s="66"/>
      <c r="AU251" s="66"/>
      <c r="AV251" s="66"/>
      <c r="AW251" s="66"/>
      <c r="AX251" s="66"/>
      <c r="AY251" s="66"/>
      <c r="AZ251" s="66"/>
      <c r="BA251" s="66"/>
      <c r="BB251" s="66"/>
      <c r="BC251" s="66"/>
    </row>
    <row r="252" ht="14.2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6"/>
      <c r="AQ252" s="66"/>
      <c r="AR252" s="66"/>
      <c r="AS252" s="66"/>
      <c r="AT252" s="66"/>
      <c r="AU252" s="66"/>
      <c r="AV252" s="66"/>
      <c r="AW252" s="66"/>
      <c r="AX252" s="66"/>
      <c r="AY252" s="66"/>
      <c r="AZ252" s="66"/>
      <c r="BA252" s="66"/>
      <c r="BB252" s="66"/>
      <c r="BC252" s="66"/>
    </row>
    <row r="253" ht="14.2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6"/>
      <c r="AQ253" s="66"/>
      <c r="AR253" s="66"/>
      <c r="AS253" s="66"/>
      <c r="AT253" s="66"/>
      <c r="AU253" s="66"/>
      <c r="AV253" s="66"/>
      <c r="AW253" s="66"/>
      <c r="AX253" s="66"/>
      <c r="AY253" s="66"/>
      <c r="AZ253" s="66"/>
      <c r="BA253" s="66"/>
      <c r="BB253" s="66"/>
      <c r="BC253" s="66"/>
    </row>
    <row r="254" ht="14.2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6"/>
      <c r="AQ254" s="66"/>
      <c r="AR254" s="66"/>
      <c r="AS254" s="66"/>
      <c r="AT254" s="66"/>
      <c r="AU254" s="66"/>
      <c r="AV254" s="66"/>
      <c r="AW254" s="66"/>
      <c r="AX254" s="66"/>
      <c r="AY254" s="66"/>
      <c r="AZ254" s="66"/>
      <c r="BA254" s="66"/>
      <c r="BB254" s="66"/>
      <c r="BC254" s="66"/>
    </row>
    <row r="255" ht="14.2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6"/>
      <c r="AQ255" s="66"/>
      <c r="AR255" s="66"/>
      <c r="AS255" s="66"/>
      <c r="AT255" s="66"/>
      <c r="AU255" s="66"/>
      <c r="AV255" s="66"/>
      <c r="AW255" s="66"/>
      <c r="AX255" s="66"/>
      <c r="AY255" s="66"/>
      <c r="AZ255" s="66"/>
      <c r="BA255" s="66"/>
      <c r="BB255" s="66"/>
      <c r="BC255" s="66"/>
    </row>
    <row r="256" ht="14.2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6"/>
      <c r="AQ256" s="66"/>
      <c r="AR256" s="66"/>
      <c r="AS256" s="66"/>
      <c r="AT256" s="66"/>
      <c r="AU256" s="66"/>
      <c r="AV256" s="66"/>
      <c r="AW256" s="66"/>
      <c r="AX256" s="66"/>
      <c r="AY256" s="66"/>
      <c r="AZ256" s="66"/>
      <c r="BA256" s="66"/>
      <c r="BB256" s="66"/>
      <c r="BC256" s="66"/>
    </row>
    <row r="257" ht="14.2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6"/>
      <c r="AQ257" s="66"/>
      <c r="AR257" s="66"/>
      <c r="AS257" s="66"/>
      <c r="AT257" s="66"/>
      <c r="AU257" s="66"/>
      <c r="AV257" s="66"/>
      <c r="AW257" s="66"/>
      <c r="AX257" s="66"/>
      <c r="AY257" s="66"/>
      <c r="AZ257" s="66"/>
      <c r="BA257" s="66"/>
      <c r="BB257" s="66"/>
      <c r="BC257" s="66"/>
    </row>
    <row r="258" ht="14.2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6"/>
      <c r="AQ258" s="66"/>
      <c r="AR258" s="66"/>
      <c r="AS258" s="66"/>
      <c r="AT258" s="66"/>
      <c r="AU258" s="66"/>
      <c r="AV258" s="66"/>
      <c r="AW258" s="66"/>
      <c r="AX258" s="66"/>
      <c r="AY258" s="66"/>
      <c r="AZ258" s="66"/>
      <c r="BA258" s="66"/>
      <c r="BB258" s="66"/>
      <c r="BC258" s="66"/>
    </row>
    <row r="259" ht="14.2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6"/>
      <c r="AQ259" s="66"/>
      <c r="AR259" s="66"/>
      <c r="AS259" s="66"/>
      <c r="AT259" s="66"/>
      <c r="AU259" s="66"/>
      <c r="AV259" s="66"/>
      <c r="AW259" s="66"/>
      <c r="AX259" s="66"/>
      <c r="AY259" s="66"/>
      <c r="AZ259" s="66"/>
      <c r="BA259" s="66"/>
      <c r="BB259" s="66"/>
      <c r="BC259" s="66"/>
    </row>
    <row r="260" ht="14.2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6"/>
      <c r="AQ260" s="66"/>
      <c r="AR260" s="66"/>
      <c r="AS260" s="66"/>
      <c r="AT260" s="66"/>
      <c r="AU260" s="66"/>
      <c r="AV260" s="66"/>
      <c r="AW260" s="66"/>
      <c r="AX260" s="66"/>
      <c r="AY260" s="66"/>
      <c r="AZ260" s="66"/>
      <c r="BA260" s="66"/>
      <c r="BB260" s="66"/>
      <c r="BC260" s="66"/>
    </row>
    <row r="261" ht="14.2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6"/>
      <c r="AQ261" s="66"/>
      <c r="AR261" s="66"/>
      <c r="AS261" s="66"/>
      <c r="AT261" s="66"/>
      <c r="AU261" s="66"/>
      <c r="AV261" s="66"/>
      <c r="AW261" s="66"/>
      <c r="AX261" s="66"/>
      <c r="AY261" s="66"/>
      <c r="AZ261" s="66"/>
      <c r="BA261" s="66"/>
      <c r="BB261" s="66"/>
      <c r="BC261" s="66"/>
    </row>
    <row r="262" ht="14.2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6"/>
      <c r="AQ262" s="66"/>
      <c r="AR262" s="66"/>
      <c r="AS262" s="66"/>
      <c r="AT262" s="66"/>
      <c r="AU262" s="66"/>
      <c r="AV262" s="66"/>
      <c r="AW262" s="66"/>
      <c r="AX262" s="66"/>
      <c r="AY262" s="66"/>
      <c r="AZ262" s="66"/>
      <c r="BA262" s="66"/>
      <c r="BB262" s="66"/>
      <c r="BC262" s="66"/>
    </row>
    <row r="263" ht="14.2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</row>
    <row r="264" ht="14.2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6"/>
      <c r="AQ264" s="66"/>
      <c r="AR264" s="66"/>
      <c r="AS264" s="66"/>
      <c r="AT264" s="66"/>
      <c r="AU264" s="66"/>
      <c r="AV264" s="66"/>
      <c r="AW264" s="66"/>
      <c r="AX264" s="66"/>
      <c r="AY264" s="66"/>
      <c r="AZ264" s="66"/>
      <c r="BA264" s="66"/>
      <c r="BB264" s="66"/>
      <c r="BC264" s="66"/>
    </row>
    <row r="265" ht="14.2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6"/>
      <c r="AQ265" s="66"/>
      <c r="AR265" s="66"/>
      <c r="AS265" s="66"/>
      <c r="AT265" s="66"/>
      <c r="AU265" s="66"/>
      <c r="AV265" s="66"/>
      <c r="AW265" s="66"/>
      <c r="AX265" s="66"/>
      <c r="AY265" s="66"/>
      <c r="AZ265" s="66"/>
      <c r="BA265" s="66"/>
      <c r="BB265" s="66"/>
      <c r="BC265" s="66"/>
    </row>
    <row r="266" ht="14.2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6"/>
      <c r="AQ266" s="66"/>
      <c r="AR266" s="66"/>
      <c r="AS266" s="66"/>
      <c r="AT266" s="66"/>
      <c r="AU266" s="66"/>
      <c r="AV266" s="66"/>
      <c r="AW266" s="66"/>
      <c r="AX266" s="66"/>
      <c r="AY266" s="66"/>
      <c r="AZ266" s="66"/>
      <c r="BA266" s="66"/>
      <c r="BB266" s="66"/>
      <c r="BC266" s="66"/>
    </row>
    <row r="267" ht="14.2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6"/>
      <c r="AQ267" s="66"/>
      <c r="AR267" s="66"/>
      <c r="AS267" s="66"/>
      <c r="AT267" s="66"/>
      <c r="AU267" s="66"/>
      <c r="AV267" s="66"/>
      <c r="AW267" s="66"/>
      <c r="AX267" s="66"/>
      <c r="AY267" s="66"/>
      <c r="AZ267" s="66"/>
      <c r="BA267" s="66"/>
      <c r="BB267" s="66"/>
      <c r="BC267" s="66"/>
    </row>
    <row r="268" ht="14.2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6"/>
      <c r="AQ268" s="66"/>
      <c r="AR268" s="66"/>
      <c r="AS268" s="66"/>
      <c r="AT268" s="66"/>
      <c r="AU268" s="66"/>
      <c r="AV268" s="66"/>
      <c r="AW268" s="66"/>
      <c r="AX268" s="66"/>
      <c r="AY268" s="66"/>
      <c r="AZ268" s="66"/>
      <c r="BA268" s="66"/>
      <c r="BB268" s="66"/>
      <c r="BC268" s="66"/>
    </row>
    <row r="269" ht="14.2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6"/>
      <c r="AQ269" s="66"/>
      <c r="AR269" s="66"/>
      <c r="AS269" s="66"/>
      <c r="AT269" s="66"/>
      <c r="AU269" s="66"/>
      <c r="AV269" s="66"/>
      <c r="AW269" s="66"/>
      <c r="AX269" s="66"/>
      <c r="AY269" s="66"/>
      <c r="AZ269" s="66"/>
      <c r="BA269" s="66"/>
      <c r="BB269" s="66"/>
      <c r="BC269" s="66"/>
    </row>
    <row r="270" ht="14.2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6"/>
      <c r="AQ270" s="66"/>
      <c r="AR270" s="66"/>
      <c r="AS270" s="66"/>
      <c r="AT270" s="66"/>
      <c r="AU270" s="66"/>
      <c r="AV270" s="66"/>
      <c r="AW270" s="66"/>
      <c r="AX270" s="66"/>
      <c r="AY270" s="66"/>
      <c r="AZ270" s="66"/>
      <c r="BA270" s="66"/>
      <c r="BB270" s="66"/>
      <c r="BC270" s="66"/>
    </row>
    <row r="271" ht="14.2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6"/>
      <c r="AQ271" s="66"/>
      <c r="AR271" s="66"/>
      <c r="AS271" s="66"/>
      <c r="AT271" s="66"/>
      <c r="AU271" s="66"/>
      <c r="AV271" s="66"/>
      <c r="AW271" s="66"/>
      <c r="AX271" s="66"/>
      <c r="AY271" s="66"/>
      <c r="AZ271" s="66"/>
      <c r="BA271" s="66"/>
      <c r="BB271" s="66"/>
      <c r="BC271" s="66"/>
    </row>
    <row r="272" ht="14.2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6"/>
      <c r="AQ272" s="66"/>
      <c r="AR272" s="66"/>
      <c r="AS272" s="66"/>
      <c r="AT272" s="66"/>
      <c r="AU272" s="66"/>
      <c r="AV272" s="66"/>
      <c r="AW272" s="66"/>
      <c r="AX272" s="66"/>
      <c r="AY272" s="66"/>
      <c r="AZ272" s="66"/>
      <c r="BA272" s="66"/>
      <c r="BB272" s="66"/>
      <c r="BC272" s="66"/>
    </row>
    <row r="273" ht="14.2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6"/>
      <c r="AQ273" s="66"/>
      <c r="AR273" s="66"/>
      <c r="AS273" s="66"/>
      <c r="AT273" s="66"/>
      <c r="AU273" s="66"/>
      <c r="AV273" s="66"/>
      <c r="AW273" s="66"/>
      <c r="AX273" s="66"/>
      <c r="AY273" s="66"/>
      <c r="AZ273" s="66"/>
      <c r="BA273" s="66"/>
      <c r="BB273" s="66"/>
      <c r="BC273" s="66"/>
    </row>
    <row r="274" ht="14.2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6"/>
      <c r="AQ274" s="66"/>
      <c r="AR274" s="66"/>
      <c r="AS274" s="66"/>
      <c r="AT274" s="66"/>
      <c r="AU274" s="66"/>
      <c r="AV274" s="66"/>
      <c r="AW274" s="66"/>
      <c r="AX274" s="66"/>
      <c r="AY274" s="66"/>
      <c r="AZ274" s="66"/>
      <c r="BA274" s="66"/>
      <c r="BB274" s="66"/>
      <c r="BC274" s="66"/>
    </row>
    <row r="275" ht="14.2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6"/>
      <c r="AQ275" s="66"/>
      <c r="AR275" s="66"/>
      <c r="AS275" s="66"/>
      <c r="AT275" s="66"/>
      <c r="AU275" s="66"/>
      <c r="AV275" s="66"/>
      <c r="AW275" s="66"/>
      <c r="AX275" s="66"/>
      <c r="AY275" s="66"/>
      <c r="AZ275" s="66"/>
      <c r="BA275" s="66"/>
      <c r="BB275" s="66"/>
      <c r="BC275" s="66"/>
    </row>
    <row r="276" ht="14.2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6"/>
      <c r="AQ276" s="66"/>
      <c r="AR276" s="66"/>
      <c r="AS276" s="66"/>
      <c r="AT276" s="66"/>
      <c r="AU276" s="66"/>
      <c r="AV276" s="66"/>
      <c r="AW276" s="66"/>
      <c r="AX276" s="66"/>
      <c r="AY276" s="66"/>
      <c r="AZ276" s="66"/>
      <c r="BA276" s="66"/>
      <c r="BB276" s="66"/>
      <c r="BC276" s="66"/>
    </row>
    <row r="277" ht="14.2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6"/>
      <c r="AQ277" s="66"/>
      <c r="AR277" s="66"/>
      <c r="AS277" s="66"/>
      <c r="AT277" s="66"/>
      <c r="AU277" s="66"/>
      <c r="AV277" s="66"/>
      <c r="AW277" s="66"/>
      <c r="AX277" s="66"/>
      <c r="AY277" s="66"/>
      <c r="AZ277" s="66"/>
      <c r="BA277" s="66"/>
      <c r="BB277" s="66"/>
      <c r="BC277" s="66"/>
    </row>
    <row r="278" ht="14.2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6"/>
      <c r="AQ278" s="66"/>
      <c r="AR278" s="66"/>
      <c r="AS278" s="66"/>
      <c r="AT278" s="66"/>
      <c r="AU278" s="66"/>
      <c r="AV278" s="66"/>
      <c r="AW278" s="66"/>
      <c r="AX278" s="66"/>
      <c r="AY278" s="66"/>
      <c r="AZ278" s="66"/>
      <c r="BA278" s="66"/>
      <c r="BB278" s="66"/>
      <c r="BC278" s="66"/>
    </row>
    <row r="279" ht="14.2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6"/>
      <c r="AQ279" s="66"/>
      <c r="AR279" s="66"/>
      <c r="AS279" s="66"/>
      <c r="AT279" s="66"/>
      <c r="AU279" s="66"/>
      <c r="AV279" s="66"/>
      <c r="AW279" s="66"/>
      <c r="AX279" s="66"/>
      <c r="AY279" s="66"/>
      <c r="AZ279" s="66"/>
      <c r="BA279" s="66"/>
      <c r="BB279" s="66"/>
      <c r="BC279" s="66"/>
    </row>
    <row r="280" ht="14.2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6"/>
      <c r="AQ280" s="66"/>
      <c r="AR280" s="66"/>
      <c r="AS280" s="66"/>
      <c r="AT280" s="66"/>
      <c r="AU280" s="66"/>
      <c r="AV280" s="66"/>
      <c r="AW280" s="66"/>
      <c r="AX280" s="66"/>
      <c r="AY280" s="66"/>
      <c r="AZ280" s="66"/>
      <c r="BA280" s="66"/>
      <c r="BB280" s="66"/>
      <c r="BC280" s="66"/>
    </row>
    <row r="281" ht="14.2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6"/>
      <c r="AQ281" s="66"/>
      <c r="AR281" s="66"/>
      <c r="AS281" s="66"/>
      <c r="AT281" s="66"/>
      <c r="AU281" s="66"/>
      <c r="AV281" s="66"/>
      <c r="AW281" s="66"/>
      <c r="AX281" s="66"/>
      <c r="AY281" s="66"/>
      <c r="AZ281" s="66"/>
      <c r="BA281" s="66"/>
      <c r="BB281" s="66"/>
      <c r="BC281" s="66"/>
    </row>
    <row r="282" ht="14.2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6"/>
      <c r="AQ282" s="66"/>
      <c r="AR282" s="66"/>
      <c r="AS282" s="66"/>
      <c r="AT282" s="66"/>
      <c r="AU282" s="66"/>
      <c r="AV282" s="66"/>
      <c r="AW282" s="66"/>
      <c r="AX282" s="66"/>
      <c r="AY282" s="66"/>
      <c r="AZ282" s="66"/>
      <c r="BA282" s="66"/>
      <c r="BB282" s="66"/>
      <c r="BC282" s="66"/>
    </row>
    <row r="283" ht="14.2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6"/>
      <c r="AQ283" s="66"/>
      <c r="AR283" s="66"/>
      <c r="AS283" s="66"/>
      <c r="AT283" s="66"/>
      <c r="AU283" s="66"/>
      <c r="AV283" s="66"/>
      <c r="AW283" s="66"/>
      <c r="AX283" s="66"/>
      <c r="AY283" s="66"/>
      <c r="AZ283" s="66"/>
      <c r="BA283" s="66"/>
      <c r="BB283" s="66"/>
      <c r="BC283" s="66"/>
    </row>
    <row r="284" ht="14.2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6"/>
      <c r="AQ284" s="66"/>
      <c r="AR284" s="66"/>
      <c r="AS284" s="66"/>
      <c r="AT284" s="66"/>
      <c r="AU284" s="66"/>
      <c r="AV284" s="66"/>
      <c r="AW284" s="66"/>
      <c r="AX284" s="66"/>
      <c r="AY284" s="66"/>
      <c r="AZ284" s="66"/>
      <c r="BA284" s="66"/>
      <c r="BB284" s="66"/>
      <c r="BC284" s="66"/>
    </row>
    <row r="285" ht="14.2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6"/>
      <c r="AQ285" s="66"/>
      <c r="AR285" s="66"/>
      <c r="AS285" s="66"/>
      <c r="AT285" s="66"/>
      <c r="AU285" s="66"/>
      <c r="AV285" s="66"/>
      <c r="AW285" s="66"/>
      <c r="AX285" s="66"/>
      <c r="AY285" s="66"/>
      <c r="AZ285" s="66"/>
      <c r="BA285" s="66"/>
      <c r="BB285" s="66"/>
      <c r="BC285" s="66"/>
    </row>
    <row r="286" ht="14.2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6"/>
      <c r="AQ286" s="66"/>
      <c r="AR286" s="66"/>
      <c r="AS286" s="66"/>
      <c r="AT286" s="66"/>
      <c r="AU286" s="66"/>
      <c r="AV286" s="66"/>
      <c r="AW286" s="66"/>
      <c r="AX286" s="66"/>
      <c r="AY286" s="66"/>
      <c r="AZ286" s="66"/>
      <c r="BA286" s="66"/>
      <c r="BB286" s="66"/>
      <c r="BC286" s="66"/>
    </row>
    <row r="287" ht="14.2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6"/>
      <c r="AQ287" s="66"/>
      <c r="AR287" s="66"/>
      <c r="AS287" s="66"/>
      <c r="AT287" s="66"/>
      <c r="AU287" s="66"/>
      <c r="AV287" s="66"/>
      <c r="AW287" s="66"/>
      <c r="AX287" s="66"/>
      <c r="AY287" s="66"/>
      <c r="AZ287" s="66"/>
      <c r="BA287" s="66"/>
      <c r="BB287" s="66"/>
      <c r="BC287" s="66"/>
    </row>
    <row r="288" ht="14.2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6"/>
      <c r="AQ288" s="66"/>
      <c r="AR288" s="66"/>
      <c r="AS288" s="66"/>
      <c r="AT288" s="66"/>
      <c r="AU288" s="66"/>
      <c r="AV288" s="66"/>
      <c r="AW288" s="66"/>
      <c r="AX288" s="66"/>
      <c r="AY288" s="66"/>
      <c r="AZ288" s="66"/>
      <c r="BA288" s="66"/>
      <c r="BB288" s="66"/>
      <c r="BC288" s="66"/>
    </row>
    <row r="289" ht="14.2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  <c r="AF289" s="66"/>
      <c r="AG289" s="66"/>
      <c r="AH289" s="66"/>
      <c r="AI289" s="66"/>
      <c r="AJ289" s="66"/>
      <c r="AK289" s="66"/>
      <c r="AL289" s="66"/>
      <c r="AM289" s="66"/>
      <c r="AN289" s="66"/>
      <c r="AO289" s="66"/>
      <c r="AP289" s="66"/>
      <c r="AQ289" s="66"/>
      <c r="AR289" s="66"/>
      <c r="AS289" s="66"/>
      <c r="AT289" s="66"/>
      <c r="AU289" s="66"/>
      <c r="AV289" s="66"/>
      <c r="AW289" s="66"/>
      <c r="AX289" s="66"/>
      <c r="AY289" s="66"/>
      <c r="AZ289" s="66"/>
      <c r="BA289" s="66"/>
      <c r="BB289" s="66"/>
      <c r="BC289" s="66"/>
    </row>
    <row r="290" ht="14.2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  <c r="AE290" s="66"/>
      <c r="AF290" s="66"/>
      <c r="AG290" s="66"/>
      <c r="AH290" s="66"/>
      <c r="AI290" s="66"/>
      <c r="AJ290" s="66"/>
      <c r="AK290" s="66"/>
      <c r="AL290" s="66"/>
      <c r="AM290" s="66"/>
      <c r="AN290" s="66"/>
      <c r="AO290" s="66"/>
      <c r="AP290" s="66"/>
      <c r="AQ290" s="66"/>
      <c r="AR290" s="66"/>
      <c r="AS290" s="66"/>
      <c r="AT290" s="66"/>
      <c r="AU290" s="66"/>
      <c r="AV290" s="66"/>
      <c r="AW290" s="66"/>
      <c r="AX290" s="66"/>
      <c r="AY290" s="66"/>
      <c r="AZ290" s="66"/>
      <c r="BA290" s="66"/>
      <c r="BB290" s="66"/>
      <c r="BC290" s="66"/>
    </row>
    <row r="291" ht="14.2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  <c r="AE291" s="66"/>
      <c r="AF291" s="66"/>
      <c r="AG291" s="66"/>
      <c r="AH291" s="66"/>
      <c r="AI291" s="66"/>
      <c r="AJ291" s="66"/>
      <c r="AK291" s="66"/>
      <c r="AL291" s="66"/>
      <c r="AM291" s="66"/>
      <c r="AN291" s="66"/>
      <c r="AO291" s="66"/>
      <c r="AP291" s="66"/>
      <c r="AQ291" s="66"/>
      <c r="AR291" s="66"/>
      <c r="AS291" s="66"/>
      <c r="AT291" s="66"/>
      <c r="AU291" s="66"/>
      <c r="AV291" s="66"/>
      <c r="AW291" s="66"/>
      <c r="AX291" s="66"/>
      <c r="AY291" s="66"/>
      <c r="AZ291" s="66"/>
      <c r="BA291" s="66"/>
      <c r="BB291" s="66"/>
      <c r="BC291" s="66"/>
    </row>
    <row r="292" ht="14.2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  <c r="AF292" s="66"/>
      <c r="AG292" s="66"/>
      <c r="AH292" s="66"/>
      <c r="AI292" s="66"/>
      <c r="AJ292" s="66"/>
      <c r="AK292" s="66"/>
      <c r="AL292" s="66"/>
      <c r="AM292" s="66"/>
      <c r="AN292" s="66"/>
      <c r="AO292" s="66"/>
      <c r="AP292" s="66"/>
      <c r="AQ292" s="66"/>
      <c r="AR292" s="66"/>
      <c r="AS292" s="66"/>
      <c r="AT292" s="66"/>
      <c r="AU292" s="66"/>
      <c r="AV292" s="66"/>
      <c r="AW292" s="66"/>
      <c r="AX292" s="66"/>
      <c r="AY292" s="66"/>
      <c r="AZ292" s="66"/>
      <c r="BA292" s="66"/>
      <c r="BB292" s="66"/>
      <c r="BC292" s="66"/>
    </row>
    <row r="293" ht="14.2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  <c r="AF293" s="66"/>
      <c r="AG293" s="66"/>
      <c r="AH293" s="66"/>
      <c r="AI293" s="66"/>
      <c r="AJ293" s="66"/>
      <c r="AK293" s="66"/>
      <c r="AL293" s="66"/>
      <c r="AM293" s="66"/>
      <c r="AN293" s="66"/>
      <c r="AO293" s="66"/>
      <c r="AP293" s="66"/>
      <c r="AQ293" s="66"/>
      <c r="AR293" s="66"/>
      <c r="AS293" s="66"/>
      <c r="AT293" s="66"/>
      <c r="AU293" s="66"/>
      <c r="AV293" s="66"/>
      <c r="AW293" s="66"/>
      <c r="AX293" s="66"/>
      <c r="AY293" s="66"/>
      <c r="AZ293" s="66"/>
      <c r="BA293" s="66"/>
      <c r="BB293" s="66"/>
      <c r="BC293" s="66"/>
    </row>
    <row r="294" ht="14.2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  <c r="AE294" s="66"/>
      <c r="AF294" s="66"/>
      <c r="AG294" s="66"/>
      <c r="AH294" s="66"/>
      <c r="AI294" s="66"/>
      <c r="AJ294" s="66"/>
      <c r="AK294" s="66"/>
      <c r="AL294" s="66"/>
      <c r="AM294" s="66"/>
      <c r="AN294" s="66"/>
      <c r="AO294" s="66"/>
      <c r="AP294" s="66"/>
      <c r="AQ294" s="66"/>
      <c r="AR294" s="66"/>
      <c r="AS294" s="66"/>
      <c r="AT294" s="66"/>
      <c r="AU294" s="66"/>
      <c r="AV294" s="66"/>
      <c r="AW294" s="66"/>
      <c r="AX294" s="66"/>
      <c r="AY294" s="66"/>
      <c r="AZ294" s="66"/>
      <c r="BA294" s="66"/>
      <c r="BB294" s="66"/>
      <c r="BC294" s="66"/>
    </row>
    <row r="295" ht="14.2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  <c r="AE295" s="66"/>
      <c r="AF295" s="66"/>
      <c r="AG295" s="66"/>
      <c r="AH295" s="66"/>
      <c r="AI295" s="66"/>
      <c r="AJ295" s="66"/>
      <c r="AK295" s="66"/>
      <c r="AL295" s="66"/>
      <c r="AM295" s="66"/>
      <c r="AN295" s="66"/>
      <c r="AO295" s="66"/>
      <c r="AP295" s="66"/>
      <c r="AQ295" s="66"/>
      <c r="AR295" s="66"/>
      <c r="AS295" s="66"/>
      <c r="AT295" s="66"/>
      <c r="AU295" s="66"/>
      <c r="AV295" s="66"/>
      <c r="AW295" s="66"/>
      <c r="AX295" s="66"/>
      <c r="AY295" s="66"/>
      <c r="AZ295" s="66"/>
      <c r="BA295" s="66"/>
      <c r="BB295" s="66"/>
      <c r="BC295" s="66"/>
    </row>
    <row r="296" ht="14.2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  <c r="AF296" s="66"/>
      <c r="AG296" s="66"/>
      <c r="AH296" s="66"/>
      <c r="AI296" s="66"/>
      <c r="AJ296" s="66"/>
      <c r="AK296" s="66"/>
      <c r="AL296" s="66"/>
      <c r="AM296" s="66"/>
      <c r="AN296" s="66"/>
      <c r="AO296" s="66"/>
      <c r="AP296" s="66"/>
      <c r="AQ296" s="66"/>
      <c r="AR296" s="66"/>
      <c r="AS296" s="66"/>
      <c r="AT296" s="66"/>
      <c r="AU296" s="66"/>
      <c r="AV296" s="66"/>
      <c r="AW296" s="66"/>
      <c r="AX296" s="66"/>
      <c r="AY296" s="66"/>
      <c r="AZ296" s="66"/>
      <c r="BA296" s="66"/>
      <c r="BB296" s="66"/>
      <c r="BC296" s="66"/>
    </row>
    <row r="297" ht="14.2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  <c r="AE297" s="66"/>
      <c r="AF297" s="66"/>
      <c r="AG297" s="66"/>
      <c r="AH297" s="66"/>
      <c r="AI297" s="66"/>
      <c r="AJ297" s="66"/>
      <c r="AK297" s="66"/>
      <c r="AL297" s="66"/>
      <c r="AM297" s="66"/>
      <c r="AN297" s="66"/>
      <c r="AO297" s="66"/>
      <c r="AP297" s="66"/>
      <c r="AQ297" s="66"/>
      <c r="AR297" s="66"/>
      <c r="AS297" s="66"/>
      <c r="AT297" s="66"/>
      <c r="AU297" s="66"/>
      <c r="AV297" s="66"/>
      <c r="AW297" s="66"/>
      <c r="AX297" s="66"/>
      <c r="AY297" s="66"/>
      <c r="AZ297" s="66"/>
      <c r="BA297" s="66"/>
      <c r="BB297" s="66"/>
      <c r="BC297" s="66"/>
    </row>
    <row r="298" ht="14.2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  <c r="AE298" s="66"/>
      <c r="AF298" s="66"/>
      <c r="AG298" s="66"/>
      <c r="AH298" s="66"/>
      <c r="AI298" s="66"/>
      <c r="AJ298" s="66"/>
      <c r="AK298" s="66"/>
      <c r="AL298" s="66"/>
      <c r="AM298" s="66"/>
      <c r="AN298" s="66"/>
      <c r="AO298" s="66"/>
      <c r="AP298" s="66"/>
      <c r="AQ298" s="66"/>
      <c r="AR298" s="66"/>
      <c r="AS298" s="66"/>
      <c r="AT298" s="66"/>
      <c r="AU298" s="66"/>
      <c r="AV298" s="66"/>
      <c r="AW298" s="66"/>
      <c r="AX298" s="66"/>
      <c r="AY298" s="66"/>
      <c r="AZ298" s="66"/>
      <c r="BA298" s="66"/>
      <c r="BB298" s="66"/>
      <c r="BC298" s="66"/>
    </row>
    <row r="299" ht="14.2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  <c r="AE299" s="66"/>
      <c r="AF299" s="66"/>
      <c r="AG299" s="66"/>
      <c r="AH299" s="66"/>
      <c r="AI299" s="66"/>
      <c r="AJ299" s="66"/>
      <c r="AK299" s="66"/>
      <c r="AL299" s="66"/>
      <c r="AM299" s="66"/>
      <c r="AN299" s="66"/>
      <c r="AO299" s="66"/>
      <c r="AP299" s="66"/>
      <c r="AQ299" s="66"/>
      <c r="AR299" s="66"/>
      <c r="AS299" s="66"/>
      <c r="AT299" s="66"/>
      <c r="AU299" s="66"/>
      <c r="AV299" s="66"/>
      <c r="AW299" s="66"/>
      <c r="AX299" s="66"/>
      <c r="AY299" s="66"/>
      <c r="AZ299" s="66"/>
      <c r="BA299" s="66"/>
      <c r="BB299" s="66"/>
      <c r="BC299" s="66"/>
    </row>
    <row r="300" ht="14.2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  <c r="AE300" s="66"/>
      <c r="AF300" s="66"/>
      <c r="AG300" s="66"/>
      <c r="AH300" s="66"/>
      <c r="AI300" s="66"/>
      <c r="AJ300" s="66"/>
      <c r="AK300" s="66"/>
      <c r="AL300" s="66"/>
      <c r="AM300" s="66"/>
      <c r="AN300" s="66"/>
      <c r="AO300" s="66"/>
      <c r="AP300" s="66"/>
      <c r="AQ300" s="66"/>
      <c r="AR300" s="66"/>
      <c r="AS300" s="66"/>
      <c r="AT300" s="66"/>
      <c r="AU300" s="66"/>
      <c r="AV300" s="66"/>
      <c r="AW300" s="66"/>
      <c r="AX300" s="66"/>
      <c r="AY300" s="66"/>
      <c r="AZ300" s="66"/>
      <c r="BA300" s="66"/>
      <c r="BB300" s="66"/>
      <c r="BC300" s="66"/>
    </row>
    <row r="301" ht="14.2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  <c r="AE301" s="66"/>
      <c r="AF301" s="66"/>
      <c r="AG301" s="66"/>
      <c r="AH301" s="66"/>
      <c r="AI301" s="66"/>
      <c r="AJ301" s="66"/>
      <c r="AK301" s="66"/>
      <c r="AL301" s="66"/>
      <c r="AM301" s="66"/>
      <c r="AN301" s="66"/>
      <c r="AO301" s="66"/>
      <c r="AP301" s="66"/>
      <c r="AQ301" s="66"/>
      <c r="AR301" s="66"/>
      <c r="AS301" s="66"/>
      <c r="AT301" s="66"/>
      <c r="AU301" s="66"/>
      <c r="AV301" s="66"/>
      <c r="AW301" s="66"/>
      <c r="AX301" s="66"/>
      <c r="AY301" s="66"/>
      <c r="AZ301" s="66"/>
      <c r="BA301" s="66"/>
      <c r="BB301" s="66"/>
      <c r="BC301" s="66"/>
    </row>
    <row r="302" ht="14.2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  <c r="AE302" s="66"/>
      <c r="AF302" s="66"/>
      <c r="AG302" s="66"/>
      <c r="AH302" s="66"/>
      <c r="AI302" s="66"/>
      <c r="AJ302" s="66"/>
      <c r="AK302" s="66"/>
      <c r="AL302" s="66"/>
      <c r="AM302" s="66"/>
      <c r="AN302" s="66"/>
      <c r="AO302" s="66"/>
      <c r="AP302" s="66"/>
      <c r="AQ302" s="66"/>
      <c r="AR302" s="66"/>
      <c r="AS302" s="66"/>
      <c r="AT302" s="66"/>
      <c r="AU302" s="66"/>
      <c r="AV302" s="66"/>
      <c r="AW302" s="66"/>
      <c r="AX302" s="66"/>
      <c r="AY302" s="66"/>
      <c r="AZ302" s="66"/>
      <c r="BA302" s="66"/>
      <c r="BB302" s="66"/>
      <c r="BC302" s="66"/>
    </row>
    <row r="303" ht="14.2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  <c r="AE303" s="66"/>
      <c r="AF303" s="66"/>
      <c r="AG303" s="66"/>
      <c r="AH303" s="66"/>
      <c r="AI303" s="66"/>
      <c r="AJ303" s="66"/>
      <c r="AK303" s="66"/>
      <c r="AL303" s="66"/>
      <c r="AM303" s="66"/>
      <c r="AN303" s="66"/>
      <c r="AO303" s="66"/>
      <c r="AP303" s="66"/>
      <c r="AQ303" s="66"/>
      <c r="AR303" s="66"/>
      <c r="AS303" s="66"/>
      <c r="AT303" s="66"/>
      <c r="AU303" s="66"/>
      <c r="AV303" s="66"/>
      <c r="AW303" s="66"/>
      <c r="AX303" s="66"/>
      <c r="AY303" s="66"/>
      <c r="AZ303" s="66"/>
      <c r="BA303" s="66"/>
      <c r="BB303" s="66"/>
      <c r="BC303" s="66"/>
    </row>
    <row r="304" ht="14.2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  <c r="AE304" s="66"/>
      <c r="AF304" s="66"/>
      <c r="AG304" s="66"/>
      <c r="AH304" s="66"/>
      <c r="AI304" s="66"/>
      <c r="AJ304" s="66"/>
      <c r="AK304" s="66"/>
      <c r="AL304" s="66"/>
      <c r="AM304" s="66"/>
      <c r="AN304" s="66"/>
      <c r="AO304" s="66"/>
      <c r="AP304" s="66"/>
      <c r="AQ304" s="66"/>
      <c r="AR304" s="66"/>
      <c r="AS304" s="66"/>
      <c r="AT304" s="66"/>
      <c r="AU304" s="66"/>
      <c r="AV304" s="66"/>
      <c r="AW304" s="66"/>
      <c r="AX304" s="66"/>
      <c r="AY304" s="66"/>
      <c r="AZ304" s="66"/>
      <c r="BA304" s="66"/>
      <c r="BB304" s="66"/>
      <c r="BC304" s="66"/>
    </row>
    <row r="305" ht="14.2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  <c r="AE305" s="66"/>
      <c r="AF305" s="66"/>
      <c r="AG305" s="66"/>
      <c r="AH305" s="66"/>
      <c r="AI305" s="66"/>
      <c r="AJ305" s="66"/>
      <c r="AK305" s="66"/>
      <c r="AL305" s="66"/>
      <c r="AM305" s="66"/>
      <c r="AN305" s="66"/>
      <c r="AO305" s="66"/>
      <c r="AP305" s="66"/>
      <c r="AQ305" s="66"/>
      <c r="AR305" s="66"/>
      <c r="AS305" s="66"/>
      <c r="AT305" s="66"/>
      <c r="AU305" s="66"/>
      <c r="AV305" s="66"/>
      <c r="AW305" s="66"/>
      <c r="AX305" s="66"/>
      <c r="AY305" s="66"/>
      <c r="AZ305" s="66"/>
      <c r="BA305" s="66"/>
      <c r="BB305" s="66"/>
      <c r="BC305" s="66"/>
    </row>
    <row r="306" ht="14.2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  <c r="AE306" s="66"/>
      <c r="AF306" s="66"/>
      <c r="AG306" s="66"/>
      <c r="AH306" s="66"/>
      <c r="AI306" s="66"/>
      <c r="AJ306" s="66"/>
      <c r="AK306" s="66"/>
      <c r="AL306" s="66"/>
      <c r="AM306" s="66"/>
      <c r="AN306" s="66"/>
      <c r="AO306" s="66"/>
      <c r="AP306" s="66"/>
      <c r="AQ306" s="66"/>
      <c r="AR306" s="66"/>
      <c r="AS306" s="66"/>
      <c r="AT306" s="66"/>
      <c r="AU306" s="66"/>
      <c r="AV306" s="66"/>
      <c r="AW306" s="66"/>
      <c r="AX306" s="66"/>
      <c r="AY306" s="66"/>
      <c r="AZ306" s="66"/>
      <c r="BA306" s="66"/>
      <c r="BB306" s="66"/>
      <c r="BC306" s="66"/>
    </row>
    <row r="307" ht="14.2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  <c r="AF307" s="66"/>
      <c r="AG307" s="66"/>
      <c r="AH307" s="66"/>
      <c r="AI307" s="66"/>
      <c r="AJ307" s="66"/>
      <c r="AK307" s="66"/>
      <c r="AL307" s="66"/>
      <c r="AM307" s="66"/>
      <c r="AN307" s="66"/>
      <c r="AO307" s="66"/>
      <c r="AP307" s="66"/>
      <c r="AQ307" s="66"/>
      <c r="AR307" s="66"/>
      <c r="AS307" s="66"/>
      <c r="AT307" s="66"/>
      <c r="AU307" s="66"/>
      <c r="AV307" s="66"/>
      <c r="AW307" s="66"/>
      <c r="AX307" s="66"/>
      <c r="AY307" s="66"/>
      <c r="AZ307" s="66"/>
      <c r="BA307" s="66"/>
      <c r="BB307" s="66"/>
      <c r="BC307" s="66"/>
    </row>
    <row r="308" ht="14.2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  <c r="AF308" s="66"/>
      <c r="AG308" s="66"/>
      <c r="AH308" s="66"/>
      <c r="AI308" s="66"/>
      <c r="AJ308" s="66"/>
      <c r="AK308" s="66"/>
      <c r="AL308" s="66"/>
      <c r="AM308" s="66"/>
      <c r="AN308" s="66"/>
      <c r="AO308" s="66"/>
      <c r="AP308" s="66"/>
      <c r="AQ308" s="66"/>
      <c r="AR308" s="66"/>
      <c r="AS308" s="66"/>
      <c r="AT308" s="66"/>
      <c r="AU308" s="66"/>
      <c r="AV308" s="66"/>
      <c r="AW308" s="66"/>
      <c r="AX308" s="66"/>
      <c r="AY308" s="66"/>
      <c r="AZ308" s="66"/>
      <c r="BA308" s="66"/>
      <c r="BB308" s="66"/>
      <c r="BC308" s="66"/>
    </row>
    <row r="309" ht="14.2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66"/>
      <c r="AI309" s="66"/>
      <c r="AJ309" s="66"/>
      <c r="AK309" s="66"/>
      <c r="AL309" s="66"/>
      <c r="AM309" s="66"/>
      <c r="AN309" s="66"/>
      <c r="AO309" s="66"/>
      <c r="AP309" s="66"/>
      <c r="AQ309" s="66"/>
      <c r="AR309" s="66"/>
      <c r="AS309" s="66"/>
      <c r="AT309" s="66"/>
      <c r="AU309" s="66"/>
      <c r="AV309" s="66"/>
      <c r="AW309" s="66"/>
      <c r="AX309" s="66"/>
      <c r="AY309" s="66"/>
      <c r="AZ309" s="66"/>
      <c r="BA309" s="66"/>
      <c r="BB309" s="66"/>
      <c r="BC309" s="66"/>
    </row>
    <row r="310" ht="14.2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66"/>
      <c r="AI310" s="66"/>
      <c r="AJ310" s="66"/>
      <c r="AK310" s="66"/>
      <c r="AL310" s="66"/>
      <c r="AM310" s="66"/>
      <c r="AN310" s="66"/>
      <c r="AO310" s="66"/>
      <c r="AP310" s="66"/>
      <c r="AQ310" s="66"/>
      <c r="AR310" s="66"/>
      <c r="AS310" s="66"/>
      <c r="AT310" s="66"/>
      <c r="AU310" s="66"/>
      <c r="AV310" s="66"/>
      <c r="AW310" s="66"/>
      <c r="AX310" s="66"/>
      <c r="AY310" s="66"/>
      <c r="AZ310" s="66"/>
      <c r="BA310" s="66"/>
      <c r="BB310" s="66"/>
      <c r="BC310" s="66"/>
    </row>
    <row r="311" ht="14.2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66"/>
      <c r="AI311" s="66"/>
      <c r="AJ311" s="66"/>
      <c r="AK311" s="66"/>
      <c r="AL311" s="66"/>
      <c r="AM311" s="66"/>
      <c r="AN311" s="66"/>
      <c r="AO311" s="66"/>
      <c r="AP311" s="66"/>
      <c r="AQ311" s="66"/>
      <c r="AR311" s="66"/>
      <c r="AS311" s="66"/>
      <c r="AT311" s="66"/>
      <c r="AU311" s="66"/>
      <c r="AV311" s="66"/>
      <c r="AW311" s="66"/>
      <c r="AX311" s="66"/>
      <c r="AY311" s="66"/>
      <c r="AZ311" s="66"/>
      <c r="BA311" s="66"/>
      <c r="BB311" s="66"/>
      <c r="BC311" s="66"/>
    </row>
    <row r="312" ht="14.2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  <c r="AE312" s="66"/>
      <c r="AF312" s="66"/>
      <c r="AG312" s="66"/>
      <c r="AH312" s="66"/>
      <c r="AI312" s="66"/>
      <c r="AJ312" s="66"/>
      <c r="AK312" s="66"/>
      <c r="AL312" s="66"/>
      <c r="AM312" s="66"/>
      <c r="AN312" s="66"/>
      <c r="AO312" s="66"/>
      <c r="AP312" s="66"/>
      <c r="AQ312" s="66"/>
      <c r="AR312" s="66"/>
      <c r="AS312" s="66"/>
      <c r="AT312" s="66"/>
      <c r="AU312" s="66"/>
      <c r="AV312" s="66"/>
      <c r="AW312" s="66"/>
      <c r="AX312" s="66"/>
      <c r="AY312" s="66"/>
      <c r="AZ312" s="66"/>
      <c r="BA312" s="66"/>
      <c r="BB312" s="66"/>
      <c r="BC312" s="66"/>
    </row>
    <row r="313" ht="14.2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  <c r="AE313" s="66"/>
      <c r="AF313" s="66"/>
      <c r="AG313" s="66"/>
      <c r="AH313" s="66"/>
      <c r="AI313" s="66"/>
      <c r="AJ313" s="66"/>
      <c r="AK313" s="66"/>
      <c r="AL313" s="66"/>
      <c r="AM313" s="66"/>
      <c r="AN313" s="66"/>
      <c r="AO313" s="66"/>
      <c r="AP313" s="66"/>
      <c r="AQ313" s="66"/>
      <c r="AR313" s="66"/>
      <c r="AS313" s="66"/>
      <c r="AT313" s="66"/>
      <c r="AU313" s="66"/>
      <c r="AV313" s="66"/>
      <c r="AW313" s="66"/>
      <c r="AX313" s="66"/>
      <c r="AY313" s="66"/>
      <c r="AZ313" s="66"/>
      <c r="BA313" s="66"/>
      <c r="BB313" s="66"/>
      <c r="BC313" s="66"/>
    </row>
    <row r="314" ht="14.2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  <c r="AF314" s="66"/>
      <c r="AG314" s="66"/>
      <c r="AH314" s="66"/>
      <c r="AI314" s="66"/>
      <c r="AJ314" s="66"/>
      <c r="AK314" s="66"/>
      <c r="AL314" s="66"/>
      <c r="AM314" s="66"/>
      <c r="AN314" s="66"/>
      <c r="AO314" s="66"/>
      <c r="AP314" s="66"/>
      <c r="AQ314" s="66"/>
      <c r="AR314" s="66"/>
      <c r="AS314" s="66"/>
      <c r="AT314" s="66"/>
      <c r="AU314" s="66"/>
      <c r="AV314" s="66"/>
      <c r="AW314" s="66"/>
      <c r="AX314" s="66"/>
      <c r="AY314" s="66"/>
      <c r="AZ314" s="66"/>
      <c r="BA314" s="66"/>
      <c r="BB314" s="66"/>
      <c r="BC314" s="66"/>
    </row>
    <row r="315" ht="14.2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  <c r="AE315" s="66"/>
      <c r="AF315" s="66"/>
      <c r="AG315" s="66"/>
      <c r="AH315" s="66"/>
      <c r="AI315" s="66"/>
      <c r="AJ315" s="66"/>
      <c r="AK315" s="66"/>
      <c r="AL315" s="66"/>
      <c r="AM315" s="66"/>
      <c r="AN315" s="66"/>
      <c r="AO315" s="66"/>
      <c r="AP315" s="66"/>
      <c r="AQ315" s="66"/>
      <c r="AR315" s="66"/>
      <c r="AS315" s="66"/>
      <c r="AT315" s="66"/>
      <c r="AU315" s="66"/>
      <c r="AV315" s="66"/>
      <c r="AW315" s="66"/>
      <c r="AX315" s="66"/>
      <c r="AY315" s="66"/>
      <c r="AZ315" s="66"/>
      <c r="BA315" s="66"/>
      <c r="BB315" s="66"/>
      <c r="BC315" s="66"/>
    </row>
    <row r="316" ht="14.2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  <c r="AE316" s="66"/>
      <c r="AF316" s="66"/>
      <c r="AG316" s="66"/>
      <c r="AH316" s="66"/>
      <c r="AI316" s="66"/>
      <c r="AJ316" s="66"/>
      <c r="AK316" s="66"/>
      <c r="AL316" s="66"/>
      <c r="AM316" s="66"/>
      <c r="AN316" s="66"/>
      <c r="AO316" s="66"/>
      <c r="AP316" s="66"/>
      <c r="AQ316" s="66"/>
      <c r="AR316" s="66"/>
      <c r="AS316" s="66"/>
      <c r="AT316" s="66"/>
      <c r="AU316" s="66"/>
      <c r="AV316" s="66"/>
      <c r="AW316" s="66"/>
      <c r="AX316" s="66"/>
      <c r="AY316" s="66"/>
      <c r="AZ316" s="66"/>
      <c r="BA316" s="66"/>
      <c r="BB316" s="66"/>
      <c r="BC316" s="66"/>
    </row>
    <row r="317" ht="14.2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  <c r="AE317" s="66"/>
      <c r="AF317" s="66"/>
      <c r="AG317" s="66"/>
      <c r="AH317" s="66"/>
      <c r="AI317" s="66"/>
      <c r="AJ317" s="66"/>
      <c r="AK317" s="66"/>
      <c r="AL317" s="66"/>
      <c r="AM317" s="66"/>
      <c r="AN317" s="66"/>
      <c r="AO317" s="66"/>
      <c r="AP317" s="66"/>
      <c r="AQ317" s="66"/>
      <c r="AR317" s="66"/>
      <c r="AS317" s="66"/>
      <c r="AT317" s="66"/>
      <c r="AU317" s="66"/>
      <c r="AV317" s="66"/>
      <c r="AW317" s="66"/>
      <c r="AX317" s="66"/>
      <c r="AY317" s="66"/>
      <c r="AZ317" s="66"/>
      <c r="BA317" s="66"/>
      <c r="BB317" s="66"/>
      <c r="BC317" s="66"/>
    </row>
    <row r="318" ht="14.2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  <c r="AE318" s="66"/>
      <c r="AF318" s="66"/>
      <c r="AG318" s="66"/>
      <c r="AH318" s="66"/>
      <c r="AI318" s="66"/>
      <c r="AJ318" s="66"/>
      <c r="AK318" s="66"/>
      <c r="AL318" s="66"/>
      <c r="AM318" s="66"/>
      <c r="AN318" s="66"/>
      <c r="AO318" s="66"/>
      <c r="AP318" s="66"/>
      <c r="AQ318" s="66"/>
      <c r="AR318" s="66"/>
      <c r="AS318" s="66"/>
      <c r="AT318" s="66"/>
      <c r="AU318" s="66"/>
      <c r="AV318" s="66"/>
      <c r="AW318" s="66"/>
      <c r="AX318" s="66"/>
      <c r="AY318" s="66"/>
      <c r="AZ318" s="66"/>
      <c r="BA318" s="66"/>
      <c r="BB318" s="66"/>
      <c r="BC318" s="66"/>
    </row>
    <row r="319" ht="14.2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  <c r="AE319" s="66"/>
      <c r="AF319" s="66"/>
      <c r="AG319" s="66"/>
      <c r="AH319" s="66"/>
      <c r="AI319" s="66"/>
      <c r="AJ319" s="66"/>
      <c r="AK319" s="66"/>
      <c r="AL319" s="66"/>
      <c r="AM319" s="66"/>
      <c r="AN319" s="66"/>
      <c r="AO319" s="66"/>
      <c r="AP319" s="66"/>
      <c r="AQ319" s="66"/>
      <c r="AR319" s="66"/>
      <c r="AS319" s="66"/>
      <c r="AT319" s="66"/>
      <c r="AU319" s="66"/>
      <c r="AV319" s="66"/>
      <c r="AW319" s="66"/>
      <c r="AX319" s="66"/>
      <c r="AY319" s="66"/>
      <c r="AZ319" s="66"/>
      <c r="BA319" s="66"/>
      <c r="BB319" s="66"/>
      <c r="BC319" s="66"/>
    </row>
    <row r="320" ht="14.2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  <c r="AE320" s="66"/>
      <c r="AF320" s="66"/>
      <c r="AG320" s="66"/>
      <c r="AH320" s="66"/>
      <c r="AI320" s="66"/>
      <c r="AJ320" s="66"/>
      <c r="AK320" s="66"/>
      <c r="AL320" s="66"/>
      <c r="AM320" s="66"/>
      <c r="AN320" s="66"/>
      <c r="AO320" s="66"/>
      <c r="AP320" s="66"/>
      <c r="AQ320" s="66"/>
      <c r="AR320" s="66"/>
      <c r="AS320" s="66"/>
      <c r="AT320" s="66"/>
      <c r="AU320" s="66"/>
      <c r="AV320" s="66"/>
      <c r="AW320" s="66"/>
      <c r="AX320" s="66"/>
      <c r="AY320" s="66"/>
      <c r="AZ320" s="66"/>
      <c r="BA320" s="66"/>
      <c r="BB320" s="66"/>
      <c r="BC320" s="66"/>
    </row>
    <row r="321" ht="14.2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  <c r="AE321" s="66"/>
      <c r="AF321" s="66"/>
      <c r="AG321" s="66"/>
      <c r="AH321" s="66"/>
      <c r="AI321" s="66"/>
      <c r="AJ321" s="66"/>
      <c r="AK321" s="66"/>
      <c r="AL321" s="66"/>
      <c r="AM321" s="66"/>
      <c r="AN321" s="66"/>
      <c r="AO321" s="66"/>
      <c r="AP321" s="66"/>
      <c r="AQ321" s="66"/>
      <c r="AR321" s="66"/>
      <c r="AS321" s="66"/>
      <c r="AT321" s="66"/>
      <c r="AU321" s="66"/>
      <c r="AV321" s="66"/>
      <c r="AW321" s="66"/>
      <c r="AX321" s="66"/>
      <c r="AY321" s="66"/>
      <c r="AZ321" s="66"/>
      <c r="BA321" s="66"/>
      <c r="BB321" s="66"/>
      <c r="BC321" s="66"/>
    </row>
    <row r="322" ht="14.2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  <c r="AE322" s="66"/>
      <c r="AF322" s="66"/>
      <c r="AG322" s="66"/>
      <c r="AH322" s="66"/>
      <c r="AI322" s="66"/>
      <c r="AJ322" s="66"/>
      <c r="AK322" s="66"/>
      <c r="AL322" s="66"/>
      <c r="AM322" s="66"/>
      <c r="AN322" s="66"/>
      <c r="AO322" s="66"/>
      <c r="AP322" s="66"/>
      <c r="AQ322" s="66"/>
      <c r="AR322" s="66"/>
      <c r="AS322" s="66"/>
      <c r="AT322" s="66"/>
      <c r="AU322" s="66"/>
      <c r="AV322" s="66"/>
      <c r="AW322" s="66"/>
      <c r="AX322" s="66"/>
      <c r="AY322" s="66"/>
      <c r="AZ322" s="66"/>
      <c r="BA322" s="66"/>
      <c r="BB322" s="66"/>
      <c r="BC322" s="66"/>
    </row>
    <row r="323" ht="14.2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  <c r="AE323" s="66"/>
      <c r="AF323" s="66"/>
      <c r="AG323" s="66"/>
      <c r="AH323" s="66"/>
      <c r="AI323" s="66"/>
      <c r="AJ323" s="66"/>
      <c r="AK323" s="66"/>
      <c r="AL323" s="66"/>
      <c r="AM323" s="66"/>
      <c r="AN323" s="66"/>
      <c r="AO323" s="66"/>
      <c r="AP323" s="66"/>
      <c r="AQ323" s="66"/>
      <c r="AR323" s="66"/>
      <c r="AS323" s="66"/>
      <c r="AT323" s="66"/>
      <c r="AU323" s="66"/>
      <c r="AV323" s="66"/>
      <c r="AW323" s="66"/>
      <c r="AX323" s="66"/>
      <c r="AY323" s="66"/>
      <c r="AZ323" s="66"/>
      <c r="BA323" s="66"/>
      <c r="BB323" s="66"/>
      <c r="BC323" s="66"/>
    </row>
    <row r="324" ht="14.2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  <c r="AE324" s="66"/>
      <c r="AF324" s="66"/>
      <c r="AG324" s="66"/>
      <c r="AH324" s="66"/>
      <c r="AI324" s="66"/>
      <c r="AJ324" s="66"/>
      <c r="AK324" s="66"/>
      <c r="AL324" s="66"/>
      <c r="AM324" s="66"/>
      <c r="AN324" s="66"/>
      <c r="AO324" s="66"/>
      <c r="AP324" s="66"/>
      <c r="AQ324" s="66"/>
      <c r="AR324" s="66"/>
      <c r="AS324" s="66"/>
      <c r="AT324" s="66"/>
      <c r="AU324" s="66"/>
      <c r="AV324" s="66"/>
      <c r="AW324" s="66"/>
      <c r="AX324" s="66"/>
      <c r="AY324" s="66"/>
      <c r="AZ324" s="66"/>
      <c r="BA324" s="66"/>
      <c r="BB324" s="66"/>
      <c r="BC324" s="66"/>
    </row>
    <row r="325" ht="14.2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  <c r="AE325" s="66"/>
      <c r="AF325" s="66"/>
      <c r="AG325" s="66"/>
      <c r="AH325" s="66"/>
      <c r="AI325" s="66"/>
      <c r="AJ325" s="66"/>
      <c r="AK325" s="66"/>
      <c r="AL325" s="66"/>
      <c r="AM325" s="66"/>
      <c r="AN325" s="66"/>
      <c r="AO325" s="66"/>
      <c r="AP325" s="66"/>
      <c r="AQ325" s="66"/>
      <c r="AR325" s="66"/>
      <c r="AS325" s="66"/>
      <c r="AT325" s="66"/>
      <c r="AU325" s="66"/>
      <c r="AV325" s="66"/>
      <c r="AW325" s="66"/>
      <c r="AX325" s="66"/>
      <c r="AY325" s="66"/>
      <c r="AZ325" s="66"/>
      <c r="BA325" s="66"/>
      <c r="BB325" s="66"/>
      <c r="BC325" s="66"/>
    </row>
    <row r="326" ht="14.2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  <c r="AE326" s="66"/>
      <c r="AF326" s="66"/>
      <c r="AG326" s="66"/>
      <c r="AH326" s="66"/>
      <c r="AI326" s="66"/>
      <c r="AJ326" s="66"/>
      <c r="AK326" s="66"/>
      <c r="AL326" s="66"/>
      <c r="AM326" s="66"/>
      <c r="AN326" s="66"/>
      <c r="AO326" s="66"/>
      <c r="AP326" s="66"/>
      <c r="AQ326" s="66"/>
      <c r="AR326" s="66"/>
      <c r="AS326" s="66"/>
      <c r="AT326" s="66"/>
      <c r="AU326" s="66"/>
      <c r="AV326" s="66"/>
      <c r="AW326" s="66"/>
      <c r="AX326" s="66"/>
      <c r="AY326" s="66"/>
      <c r="AZ326" s="66"/>
      <c r="BA326" s="66"/>
      <c r="BB326" s="66"/>
      <c r="BC326" s="66"/>
    </row>
    <row r="327" ht="14.2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  <c r="AE327" s="66"/>
      <c r="AF327" s="66"/>
      <c r="AG327" s="66"/>
      <c r="AH327" s="66"/>
      <c r="AI327" s="66"/>
      <c r="AJ327" s="66"/>
      <c r="AK327" s="66"/>
      <c r="AL327" s="66"/>
      <c r="AM327" s="66"/>
      <c r="AN327" s="66"/>
      <c r="AO327" s="66"/>
      <c r="AP327" s="66"/>
      <c r="AQ327" s="66"/>
      <c r="AR327" s="66"/>
      <c r="AS327" s="66"/>
      <c r="AT327" s="66"/>
      <c r="AU327" s="66"/>
      <c r="AV327" s="66"/>
      <c r="AW327" s="66"/>
      <c r="AX327" s="66"/>
      <c r="AY327" s="66"/>
      <c r="AZ327" s="66"/>
      <c r="BA327" s="66"/>
      <c r="BB327" s="66"/>
      <c r="BC327" s="66"/>
    </row>
    <row r="328" ht="14.2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  <c r="AE328" s="66"/>
      <c r="AF328" s="66"/>
      <c r="AG328" s="66"/>
      <c r="AH328" s="66"/>
      <c r="AI328" s="66"/>
      <c r="AJ328" s="66"/>
      <c r="AK328" s="66"/>
      <c r="AL328" s="66"/>
      <c r="AM328" s="66"/>
      <c r="AN328" s="66"/>
      <c r="AO328" s="66"/>
      <c r="AP328" s="66"/>
      <c r="AQ328" s="66"/>
      <c r="AR328" s="66"/>
      <c r="AS328" s="66"/>
      <c r="AT328" s="66"/>
      <c r="AU328" s="66"/>
      <c r="AV328" s="66"/>
      <c r="AW328" s="66"/>
      <c r="AX328" s="66"/>
      <c r="AY328" s="66"/>
      <c r="AZ328" s="66"/>
      <c r="BA328" s="66"/>
      <c r="BB328" s="66"/>
      <c r="BC328" s="66"/>
    </row>
    <row r="329" ht="14.2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  <c r="AE329" s="66"/>
      <c r="AF329" s="66"/>
      <c r="AG329" s="66"/>
      <c r="AH329" s="66"/>
      <c r="AI329" s="66"/>
      <c r="AJ329" s="66"/>
      <c r="AK329" s="66"/>
      <c r="AL329" s="66"/>
      <c r="AM329" s="66"/>
      <c r="AN329" s="66"/>
      <c r="AO329" s="66"/>
      <c r="AP329" s="66"/>
      <c r="AQ329" s="66"/>
      <c r="AR329" s="66"/>
      <c r="AS329" s="66"/>
      <c r="AT329" s="66"/>
      <c r="AU329" s="66"/>
      <c r="AV329" s="66"/>
      <c r="AW329" s="66"/>
      <c r="AX329" s="66"/>
      <c r="AY329" s="66"/>
      <c r="AZ329" s="66"/>
      <c r="BA329" s="66"/>
      <c r="BB329" s="66"/>
      <c r="BC329" s="66"/>
    </row>
    <row r="330" ht="14.2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  <c r="AE330" s="66"/>
      <c r="AF330" s="66"/>
      <c r="AG330" s="66"/>
      <c r="AH330" s="66"/>
      <c r="AI330" s="66"/>
      <c r="AJ330" s="66"/>
      <c r="AK330" s="66"/>
      <c r="AL330" s="66"/>
      <c r="AM330" s="66"/>
      <c r="AN330" s="66"/>
      <c r="AO330" s="66"/>
      <c r="AP330" s="66"/>
      <c r="AQ330" s="66"/>
      <c r="AR330" s="66"/>
      <c r="AS330" s="66"/>
      <c r="AT330" s="66"/>
      <c r="AU330" s="66"/>
      <c r="AV330" s="66"/>
      <c r="AW330" s="66"/>
      <c r="AX330" s="66"/>
      <c r="AY330" s="66"/>
      <c r="AZ330" s="66"/>
      <c r="BA330" s="66"/>
      <c r="BB330" s="66"/>
      <c r="BC330" s="66"/>
    </row>
    <row r="331" ht="14.2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  <c r="AE331" s="66"/>
      <c r="AF331" s="66"/>
      <c r="AG331" s="66"/>
      <c r="AH331" s="66"/>
      <c r="AI331" s="66"/>
      <c r="AJ331" s="66"/>
      <c r="AK331" s="66"/>
      <c r="AL331" s="66"/>
      <c r="AM331" s="66"/>
      <c r="AN331" s="66"/>
      <c r="AO331" s="66"/>
      <c r="AP331" s="66"/>
      <c r="AQ331" s="66"/>
      <c r="AR331" s="66"/>
      <c r="AS331" s="66"/>
      <c r="AT331" s="66"/>
      <c r="AU331" s="66"/>
      <c r="AV331" s="66"/>
      <c r="AW331" s="66"/>
      <c r="AX331" s="66"/>
      <c r="AY331" s="66"/>
      <c r="AZ331" s="66"/>
      <c r="BA331" s="66"/>
      <c r="BB331" s="66"/>
      <c r="BC331" s="66"/>
    </row>
    <row r="332" ht="14.2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  <c r="AE332" s="66"/>
      <c r="AF332" s="66"/>
      <c r="AG332" s="66"/>
      <c r="AH332" s="66"/>
      <c r="AI332" s="66"/>
      <c r="AJ332" s="66"/>
      <c r="AK332" s="66"/>
      <c r="AL332" s="66"/>
      <c r="AM332" s="66"/>
      <c r="AN332" s="66"/>
      <c r="AO332" s="66"/>
      <c r="AP332" s="66"/>
      <c r="AQ332" s="66"/>
      <c r="AR332" s="66"/>
      <c r="AS332" s="66"/>
      <c r="AT332" s="66"/>
      <c r="AU332" s="66"/>
      <c r="AV332" s="66"/>
      <c r="AW332" s="66"/>
      <c r="AX332" s="66"/>
      <c r="AY332" s="66"/>
      <c r="AZ332" s="66"/>
      <c r="BA332" s="66"/>
      <c r="BB332" s="66"/>
      <c r="BC332" s="66"/>
    </row>
    <row r="333" ht="14.2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  <c r="AE333" s="66"/>
      <c r="AF333" s="66"/>
      <c r="AG333" s="66"/>
      <c r="AH333" s="66"/>
      <c r="AI333" s="66"/>
      <c r="AJ333" s="66"/>
      <c r="AK333" s="66"/>
      <c r="AL333" s="66"/>
      <c r="AM333" s="66"/>
      <c r="AN333" s="66"/>
      <c r="AO333" s="66"/>
      <c r="AP333" s="66"/>
      <c r="AQ333" s="66"/>
      <c r="AR333" s="66"/>
      <c r="AS333" s="66"/>
      <c r="AT333" s="66"/>
      <c r="AU333" s="66"/>
      <c r="AV333" s="66"/>
      <c r="AW333" s="66"/>
      <c r="AX333" s="66"/>
      <c r="AY333" s="66"/>
      <c r="AZ333" s="66"/>
      <c r="BA333" s="66"/>
      <c r="BB333" s="66"/>
      <c r="BC333" s="66"/>
    </row>
    <row r="334" ht="14.2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  <c r="AE334" s="66"/>
      <c r="AF334" s="66"/>
      <c r="AG334" s="66"/>
      <c r="AH334" s="66"/>
      <c r="AI334" s="66"/>
      <c r="AJ334" s="66"/>
      <c r="AK334" s="66"/>
      <c r="AL334" s="66"/>
      <c r="AM334" s="66"/>
      <c r="AN334" s="66"/>
      <c r="AO334" s="66"/>
      <c r="AP334" s="66"/>
      <c r="AQ334" s="66"/>
      <c r="AR334" s="66"/>
      <c r="AS334" s="66"/>
      <c r="AT334" s="66"/>
      <c r="AU334" s="66"/>
      <c r="AV334" s="66"/>
      <c r="AW334" s="66"/>
      <c r="AX334" s="66"/>
      <c r="AY334" s="66"/>
      <c r="AZ334" s="66"/>
      <c r="BA334" s="66"/>
      <c r="BB334" s="66"/>
      <c r="BC334" s="66"/>
    </row>
    <row r="335" ht="14.2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  <c r="AE335" s="66"/>
      <c r="AF335" s="66"/>
      <c r="AG335" s="66"/>
      <c r="AH335" s="66"/>
      <c r="AI335" s="66"/>
      <c r="AJ335" s="66"/>
      <c r="AK335" s="66"/>
      <c r="AL335" s="66"/>
      <c r="AM335" s="66"/>
      <c r="AN335" s="66"/>
      <c r="AO335" s="66"/>
      <c r="AP335" s="66"/>
      <c r="AQ335" s="66"/>
      <c r="AR335" s="66"/>
      <c r="AS335" s="66"/>
      <c r="AT335" s="66"/>
      <c r="AU335" s="66"/>
      <c r="AV335" s="66"/>
      <c r="AW335" s="66"/>
      <c r="AX335" s="66"/>
      <c r="AY335" s="66"/>
      <c r="AZ335" s="66"/>
      <c r="BA335" s="66"/>
      <c r="BB335" s="66"/>
      <c r="BC335" s="66"/>
    </row>
    <row r="336" ht="14.2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  <c r="AE336" s="66"/>
      <c r="AF336" s="66"/>
      <c r="AG336" s="66"/>
      <c r="AH336" s="66"/>
      <c r="AI336" s="66"/>
      <c r="AJ336" s="66"/>
      <c r="AK336" s="66"/>
      <c r="AL336" s="66"/>
      <c r="AM336" s="66"/>
      <c r="AN336" s="66"/>
      <c r="AO336" s="66"/>
      <c r="AP336" s="66"/>
      <c r="AQ336" s="66"/>
      <c r="AR336" s="66"/>
      <c r="AS336" s="66"/>
      <c r="AT336" s="66"/>
      <c r="AU336" s="66"/>
      <c r="AV336" s="66"/>
      <c r="AW336" s="66"/>
      <c r="AX336" s="66"/>
      <c r="AY336" s="66"/>
      <c r="AZ336" s="66"/>
      <c r="BA336" s="66"/>
      <c r="BB336" s="66"/>
      <c r="BC336" s="66"/>
    </row>
    <row r="337" ht="14.2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  <c r="AE337" s="66"/>
      <c r="AF337" s="66"/>
      <c r="AG337" s="66"/>
      <c r="AH337" s="66"/>
      <c r="AI337" s="66"/>
      <c r="AJ337" s="66"/>
      <c r="AK337" s="66"/>
      <c r="AL337" s="66"/>
      <c r="AM337" s="66"/>
      <c r="AN337" s="66"/>
      <c r="AO337" s="66"/>
      <c r="AP337" s="66"/>
      <c r="AQ337" s="66"/>
      <c r="AR337" s="66"/>
      <c r="AS337" s="66"/>
      <c r="AT337" s="66"/>
      <c r="AU337" s="66"/>
      <c r="AV337" s="66"/>
      <c r="AW337" s="66"/>
      <c r="AX337" s="66"/>
      <c r="AY337" s="66"/>
      <c r="AZ337" s="66"/>
      <c r="BA337" s="66"/>
      <c r="BB337" s="66"/>
      <c r="BC337" s="66"/>
    </row>
    <row r="338" ht="14.2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  <c r="AE338" s="66"/>
      <c r="AF338" s="66"/>
      <c r="AG338" s="66"/>
      <c r="AH338" s="66"/>
      <c r="AI338" s="66"/>
      <c r="AJ338" s="66"/>
      <c r="AK338" s="66"/>
      <c r="AL338" s="66"/>
      <c r="AM338" s="66"/>
      <c r="AN338" s="66"/>
      <c r="AO338" s="66"/>
      <c r="AP338" s="66"/>
      <c r="AQ338" s="66"/>
      <c r="AR338" s="66"/>
      <c r="AS338" s="66"/>
      <c r="AT338" s="66"/>
      <c r="AU338" s="66"/>
      <c r="AV338" s="66"/>
      <c r="AW338" s="66"/>
      <c r="AX338" s="66"/>
      <c r="AY338" s="66"/>
      <c r="AZ338" s="66"/>
      <c r="BA338" s="66"/>
      <c r="BB338" s="66"/>
      <c r="BC338" s="66"/>
    </row>
    <row r="339" ht="14.2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  <c r="AE339" s="66"/>
      <c r="AF339" s="66"/>
      <c r="AG339" s="66"/>
      <c r="AH339" s="66"/>
      <c r="AI339" s="66"/>
      <c r="AJ339" s="66"/>
      <c r="AK339" s="66"/>
      <c r="AL339" s="66"/>
      <c r="AM339" s="66"/>
      <c r="AN339" s="66"/>
      <c r="AO339" s="66"/>
      <c r="AP339" s="66"/>
      <c r="AQ339" s="66"/>
      <c r="AR339" s="66"/>
      <c r="AS339" s="66"/>
      <c r="AT339" s="66"/>
      <c r="AU339" s="66"/>
      <c r="AV339" s="66"/>
      <c r="AW339" s="66"/>
      <c r="AX339" s="66"/>
      <c r="AY339" s="66"/>
      <c r="AZ339" s="66"/>
      <c r="BA339" s="66"/>
      <c r="BB339" s="66"/>
      <c r="BC339" s="66"/>
    </row>
    <row r="340" ht="14.2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  <c r="AE340" s="66"/>
      <c r="AF340" s="66"/>
      <c r="AG340" s="66"/>
      <c r="AH340" s="66"/>
      <c r="AI340" s="66"/>
      <c r="AJ340" s="66"/>
      <c r="AK340" s="66"/>
      <c r="AL340" s="66"/>
      <c r="AM340" s="66"/>
      <c r="AN340" s="66"/>
      <c r="AO340" s="66"/>
      <c r="AP340" s="66"/>
      <c r="AQ340" s="66"/>
      <c r="AR340" s="66"/>
      <c r="AS340" s="66"/>
      <c r="AT340" s="66"/>
      <c r="AU340" s="66"/>
      <c r="AV340" s="66"/>
      <c r="AW340" s="66"/>
      <c r="AX340" s="66"/>
      <c r="AY340" s="66"/>
      <c r="AZ340" s="66"/>
      <c r="BA340" s="66"/>
      <c r="BB340" s="66"/>
      <c r="BC340" s="66"/>
    </row>
    <row r="341" ht="14.2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  <c r="AE341" s="66"/>
      <c r="AF341" s="66"/>
      <c r="AG341" s="66"/>
      <c r="AH341" s="66"/>
      <c r="AI341" s="66"/>
      <c r="AJ341" s="66"/>
      <c r="AK341" s="66"/>
      <c r="AL341" s="66"/>
      <c r="AM341" s="66"/>
      <c r="AN341" s="66"/>
      <c r="AO341" s="66"/>
      <c r="AP341" s="66"/>
      <c r="AQ341" s="66"/>
      <c r="AR341" s="66"/>
      <c r="AS341" s="66"/>
      <c r="AT341" s="66"/>
      <c r="AU341" s="66"/>
      <c r="AV341" s="66"/>
      <c r="AW341" s="66"/>
      <c r="AX341" s="66"/>
      <c r="AY341" s="66"/>
      <c r="AZ341" s="66"/>
      <c r="BA341" s="66"/>
      <c r="BB341" s="66"/>
      <c r="BC341" s="66"/>
    </row>
    <row r="342" ht="14.2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  <c r="AE342" s="66"/>
      <c r="AF342" s="66"/>
      <c r="AG342" s="66"/>
      <c r="AH342" s="66"/>
      <c r="AI342" s="66"/>
      <c r="AJ342" s="66"/>
      <c r="AK342" s="66"/>
      <c r="AL342" s="66"/>
      <c r="AM342" s="66"/>
      <c r="AN342" s="66"/>
      <c r="AO342" s="66"/>
      <c r="AP342" s="66"/>
      <c r="AQ342" s="66"/>
      <c r="AR342" s="66"/>
      <c r="AS342" s="66"/>
      <c r="AT342" s="66"/>
      <c r="AU342" s="66"/>
      <c r="AV342" s="66"/>
      <c r="AW342" s="66"/>
      <c r="AX342" s="66"/>
      <c r="AY342" s="66"/>
      <c r="AZ342" s="66"/>
      <c r="BA342" s="66"/>
      <c r="BB342" s="66"/>
      <c r="BC342" s="66"/>
    </row>
    <row r="343" ht="14.2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  <c r="AE343" s="66"/>
      <c r="AF343" s="66"/>
      <c r="AG343" s="66"/>
      <c r="AH343" s="66"/>
      <c r="AI343" s="66"/>
      <c r="AJ343" s="66"/>
      <c r="AK343" s="66"/>
      <c r="AL343" s="66"/>
      <c r="AM343" s="66"/>
      <c r="AN343" s="66"/>
      <c r="AO343" s="66"/>
      <c r="AP343" s="66"/>
      <c r="AQ343" s="66"/>
      <c r="AR343" s="66"/>
      <c r="AS343" s="66"/>
      <c r="AT343" s="66"/>
      <c r="AU343" s="66"/>
      <c r="AV343" s="66"/>
      <c r="AW343" s="66"/>
      <c r="AX343" s="66"/>
      <c r="AY343" s="66"/>
      <c r="AZ343" s="66"/>
      <c r="BA343" s="66"/>
      <c r="BB343" s="66"/>
      <c r="BC343" s="66"/>
    </row>
    <row r="344" ht="14.2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  <c r="AE344" s="66"/>
      <c r="AF344" s="66"/>
      <c r="AG344" s="66"/>
      <c r="AH344" s="66"/>
      <c r="AI344" s="66"/>
      <c r="AJ344" s="66"/>
      <c r="AK344" s="66"/>
      <c r="AL344" s="66"/>
      <c r="AM344" s="66"/>
      <c r="AN344" s="66"/>
      <c r="AO344" s="66"/>
      <c r="AP344" s="66"/>
      <c r="AQ344" s="66"/>
      <c r="AR344" s="66"/>
      <c r="AS344" s="66"/>
      <c r="AT344" s="66"/>
      <c r="AU344" s="66"/>
      <c r="AV344" s="66"/>
      <c r="AW344" s="66"/>
      <c r="AX344" s="66"/>
      <c r="AY344" s="66"/>
      <c r="AZ344" s="66"/>
      <c r="BA344" s="66"/>
      <c r="BB344" s="66"/>
      <c r="BC344" s="66"/>
    </row>
    <row r="345" ht="14.2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  <c r="AE345" s="66"/>
      <c r="AF345" s="66"/>
      <c r="AG345" s="66"/>
      <c r="AH345" s="66"/>
      <c r="AI345" s="66"/>
      <c r="AJ345" s="66"/>
      <c r="AK345" s="66"/>
      <c r="AL345" s="66"/>
      <c r="AM345" s="66"/>
      <c r="AN345" s="66"/>
      <c r="AO345" s="66"/>
      <c r="AP345" s="66"/>
      <c r="AQ345" s="66"/>
      <c r="AR345" s="66"/>
      <c r="AS345" s="66"/>
      <c r="AT345" s="66"/>
      <c r="AU345" s="66"/>
      <c r="AV345" s="66"/>
      <c r="AW345" s="66"/>
      <c r="AX345" s="66"/>
      <c r="AY345" s="66"/>
      <c r="AZ345" s="66"/>
      <c r="BA345" s="66"/>
      <c r="BB345" s="66"/>
      <c r="BC345" s="66"/>
    </row>
    <row r="346" ht="14.2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  <c r="AE346" s="66"/>
      <c r="AF346" s="66"/>
      <c r="AG346" s="66"/>
      <c r="AH346" s="66"/>
      <c r="AI346" s="66"/>
      <c r="AJ346" s="66"/>
      <c r="AK346" s="66"/>
      <c r="AL346" s="66"/>
      <c r="AM346" s="66"/>
      <c r="AN346" s="66"/>
      <c r="AO346" s="66"/>
      <c r="AP346" s="66"/>
      <c r="AQ346" s="66"/>
      <c r="AR346" s="66"/>
      <c r="AS346" s="66"/>
      <c r="AT346" s="66"/>
      <c r="AU346" s="66"/>
      <c r="AV346" s="66"/>
      <c r="AW346" s="66"/>
      <c r="AX346" s="66"/>
      <c r="AY346" s="66"/>
      <c r="AZ346" s="66"/>
      <c r="BA346" s="66"/>
      <c r="BB346" s="66"/>
      <c r="BC346" s="66"/>
    </row>
    <row r="347" ht="14.2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  <c r="AE347" s="66"/>
      <c r="AF347" s="66"/>
      <c r="AG347" s="66"/>
      <c r="AH347" s="66"/>
      <c r="AI347" s="66"/>
      <c r="AJ347" s="66"/>
      <c r="AK347" s="66"/>
      <c r="AL347" s="66"/>
      <c r="AM347" s="66"/>
      <c r="AN347" s="66"/>
      <c r="AO347" s="66"/>
      <c r="AP347" s="66"/>
      <c r="AQ347" s="66"/>
      <c r="AR347" s="66"/>
      <c r="AS347" s="66"/>
      <c r="AT347" s="66"/>
      <c r="AU347" s="66"/>
      <c r="AV347" s="66"/>
      <c r="AW347" s="66"/>
      <c r="AX347" s="66"/>
      <c r="AY347" s="66"/>
      <c r="AZ347" s="66"/>
      <c r="BA347" s="66"/>
      <c r="BB347" s="66"/>
      <c r="BC347" s="66"/>
    </row>
    <row r="348" ht="14.2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  <c r="AE348" s="66"/>
      <c r="AF348" s="66"/>
      <c r="AG348" s="66"/>
      <c r="AH348" s="66"/>
      <c r="AI348" s="66"/>
      <c r="AJ348" s="66"/>
      <c r="AK348" s="66"/>
      <c r="AL348" s="66"/>
      <c r="AM348" s="66"/>
      <c r="AN348" s="66"/>
      <c r="AO348" s="66"/>
      <c r="AP348" s="66"/>
      <c r="AQ348" s="66"/>
      <c r="AR348" s="66"/>
      <c r="AS348" s="66"/>
      <c r="AT348" s="66"/>
      <c r="AU348" s="66"/>
      <c r="AV348" s="66"/>
      <c r="AW348" s="66"/>
      <c r="AX348" s="66"/>
      <c r="AY348" s="66"/>
      <c r="AZ348" s="66"/>
      <c r="BA348" s="66"/>
      <c r="BB348" s="66"/>
      <c r="BC348" s="66"/>
    </row>
    <row r="349" ht="14.2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  <c r="AE349" s="66"/>
      <c r="AF349" s="66"/>
      <c r="AG349" s="66"/>
      <c r="AH349" s="66"/>
      <c r="AI349" s="66"/>
      <c r="AJ349" s="66"/>
      <c r="AK349" s="66"/>
      <c r="AL349" s="66"/>
      <c r="AM349" s="66"/>
      <c r="AN349" s="66"/>
      <c r="AO349" s="66"/>
      <c r="AP349" s="66"/>
      <c r="AQ349" s="66"/>
      <c r="AR349" s="66"/>
      <c r="AS349" s="66"/>
      <c r="AT349" s="66"/>
      <c r="AU349" s="66"/>
      <c r="AV349" s="66"/>
      <c r="AW349" s="66"/>
      <c r="AX349" s="66"/>
      <c r="AY349" s="66"/>
      <c r="AZ349" s="66"/>
      <c r="BA349" s="66"/>
      <c r="BB349" s="66"/>
      <c r="BC349" s="66"/>
    </row>
    <row r="350" ht="14.2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  <c r="AE350" s="66"/>
      <c r="AF350" s="66"/>
      <c r="AG350" s="66"/>
      <c r="AH350" s="66"/>
      <c r="AI350" s="66"/>
      <c r="AJ350" s="66"/>
      <c r="AK350" s="66"/>
      <c r="AL350" s="66"/>
      <c r="AM350" s="66"/>
      <c r="AN350" s="66"/>
      <c r="AO350" s="66"/>
      <c r="AP350" s="66"/>
      <c r="AQ350" s="66"/>
      <c r="AR350" s="66"/>
      <c r="AS350" s="66"/>
      <c r="AT350" s="66"/>
      <c r="AU350" s="66"/>
      <c r="AV350" s="66"/>
      <c r="AW350" s="66"/>
      <c r="AX350" s="66"/>
      <c r="AY350" s="66"/>
      <c r="AZ350" s="66"/>
      <c r="BA350" s="66"/>
      <c r="BB350" s="66"/>
      <c r="BC350" s="66"/>
    </row>
    <row r="351" ht="14.2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  <c r="AE351" s="66"/>
      <c r="AF351" s="66"/>
      <c r="AG351" s="66"/>
      <c r="AH351" s="66"/>
      <c r="AI351" s="66"/>
      <c r="AJ351" s="66"/>
      <c r="AK351" s="66"/>
      <c r="AL351" s="66"/>
      <c r="AM351" s="66"/>
      <c r="AN351" s="66"/>
      <c r="AO351" s="66"/>
      <c r="AP351" s="66"/>
      <c r="AQ351" s="66"/>
      <c r="AR351" s="66"/>
      <c r="AS351" s="66"/>
      <c r="AT351" s="66"/>
      <c r="AU351" s="66"/>
      <c r="AV351" s="66"/>
      <c r="AW351" s="66"/>
      <c r="AX351" s="66"/>
      <c r="AY351" s="66"/>
      <c r="AZ351" s="66"/>
      <c r="BA351" s="66"/>
      <c r="BB351" s="66"/>
      <c r="BC351" s="66"/>
    </row>
    <row r="352" ht="14.2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  <c r="AE352" s="66"/>
      <c r="AF352" s="66"/>
      <c r="AG352" s="66"/>
      <c r="AH352" s="66"/>
      <c r="AI352" s="66"/>
      <c r="AJ352" s="66"/>
      <c r="AK352" s="66"/>
      <c r="AL352" s="66"/>
      <c r="AM352" s="66"/>
      <c r="AN352" s="66"/>
      <c r="AO352" s="66"/>
      <c r="AP352" s="66"/>
      <c r="AQ352" s="66"/>
      <c r="AR352" s="66"/>
      <c r="AS352" s="66"/>
      <c r="AT352" s="66"/>
      <c r="AU352" s="66"/>
      <c r="AV352" s="66"/>
      <c r="AW352" s="66"/>
      <c r="AX352" s="66"/>
      <c r="AY352" s="66"/>
      <c r="AZ352" s="66"/>
      <c r="BA352" s="66"/>
      <c r="BB352" s="66"/>
      <c r="BC352" s="66"/>
    </row>
    <row r="353" ht="14.2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  <c r="AE353" s="66"/>
      <c r="AF353" s="66"/>
      <c r="AG353" s="66"/>
      <c r="AH353" s="66"/>
      <c r="AI353" s="66"/>
      <c r="AJ353" s="66"/>
      <c r="AK353" s="66"/>
      <c r="AL353" s="66"/>
      <c r="AM353" s="66"/>
      <c r="AN353" s="66"/>
      <c r="AO353" s="66"/>
      <c r="AP353" s="66"/>
      <c r="AQ353" s="66"/>
      <c r="AR353" s="66"/>
      <c r="AS353" s="66"/>
      <c r="AT353" s="66"/>
      <c r="AU353" s="66"/>
      <c r="AV353" s="66"/>
      <c r="AW353" s="66"/>
      <c r="AX353" s="66"/>
      <c r="AY353" s="66"/>
      <c r="AZ353" s="66"/>
      <c r="BA353" s="66"/>
      <c r="BB353" s="66"/>
      <c r="BC353" s="66"/>
    </row>
    <row r="354" ht="14.2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  <c r="AE354" s="66"/>
      <c r="AF354" s="66"/>
      <c r="AG354" s="66"/>
      <c r="AH354" s="66"/>
      <c r="AI354" s="66"/>
      <c r="AJ354" s="66"/>
      <c r="AK354" s="66"/>
      <c r="AL354" s="66"/>
      <c r="AM354" s="66"/>
      <c r="AN354" s="66"/>
      <c r="AO354" s="66"/>
      <c r="AP354" s="66"/>
      <c r="AQ354" s="66"/>
      <c r="AR354" s="66"/>
      <c r="AS354" s="66"/>
      <c r="AT354" s="66"/>
      <c r="AU354" s="66"/>
      <c r="AV354" s="66"/>
      <c r="AW354" s="66"/>
      <c r="AX354" s="66"/>
      <c r="AY354" s="66"/>
      <c r="AZ354" s="66"/>
      <c r="BA354" s="66"/>
      <c r="BB354" s="66"/>
      <c r="BC354" s="66"/>
    </row>
    <row r="355" ht="14.2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  <c r="AE355" s="66"/>
      <c r="AF355" s="66"/>
      <c r="AG355" s="66"/>
      <c r="AH355" s="66"/>
      <c r="AI355" s="66"/>
      <c r="AJ355" s="66"/>
      <c r="AK355" s="66"/>
      <c r="AL355" s="66"/>
      <c r="AM355" s="66"/>
      <c r="AN355" s="66"/>
      <c r="AO355" s="66"/>
      <c r="AP355" s="66"/>
      <c r="AQ355" s="66"/>
      <c r="AR355" s="66"/>
      <c r="AS355" s="66"/>
      <c r="AT355" s="66"/>
      <c r="AU355" s="66"/>
      <c r="AV355" s="66"/>
      <c r="AW355" s="66"/>
      <c r="AX355" s="66"/>
      <c r="AY355" s="66"/>
      <c r="AZ355" s="66"/>
      <c r="BA355" s="66"/>
      <c r="BB355" s="66"/>
      <c r="BC355" s="66"/>
    </row>
    <row r="356" ht="14.2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  <c r="AE356" s="66"/>
      <c r="AF356" s="66"/>
      <c r="AG356" s="66"/>
      <c r="AH356" s="66"/>
      <c r="AI356" s="66"/>
      <c r="AJ356" s="66"/>
      <c r="AK356" s="66"/>
      <c r="AL356" s="66"/>
      <c r="AM356" s="66"/>
      <c r="AN356" s="66"/>
      <c r="AO356" s="66"/>
      <c r="AP356" s="66"/>
      <c r="AQ356" s="66"/>
      <c r="AR356" s="66"/>
      <c r="AS356" s="66"/>
      <c r="AT356" s="66"/>
      <c r="AU356" s="66"/>
      <c r="AV356" s="66"/>
      <c r="AW356" s="66"/>
      <c r="AX356" s="66"/>
      <c r="AY356" s="66"/>
      <c r="AZ356" s="66"/>
      <c r="BA356" s="66"/>
      <c r="BB356" s="66"/>
      <c r="BC356" s="66"/>
    </row>
    <row r="357" ht="14.2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  <c r="AE357" s="66"/>
      <c r="AF357" s="66"/>
      <c r="AG357" s="66"/>
      <c r="AH357" s="66"/>
      <c r="AI357" s="66"/>
      <c r="AJ357" s="66"/>
      <c r="AK357" s="66"/>
      <c r="AL357" s="66"/>
      <c r="AM357" s="66"/>
      <c r="AN357" s="66"/>
      <c r="AO357" s="66"/>
      <c r="AP357" s="66"/>
      <c r="AQ357" s="66"/>
      <c r="AR357" s="66"/>
      <c r="AS357" s="66"/>
      <c r="AT357" s="66"/>
      <c r="AU357" s="66"/>
      <c r="AV357" s="66"/>
      <c r="AW357" s="66"/>
      <c r="AX357" s="66"/>
      <c r="AY357" s="66"/>
      <c r="AZ357" s="66"/>
      <c r="BA357" s="66"/>
      <c r="BB357" s="66"/>
      <c r="BC357" s="66"/>
    </row>
    <row r="358" ht="14.2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  <c r="AE358" s="66"/>
      <c r="AF358" s="66"/>
      <c r="AG358" s="66"/>
      <c r="AH358" s="66"/>
      <c r="AI358" s="66"/>
      <c r="AJ358" s="66"/>
      <c r="AK358" s="66"/>
      <c r="AL358" s="66"/>
      <c r="AM358" s="66"/>
      <c r="AN358" s="66"/>
      <c r="AO358" s="66"/>
      <c r="AP358" s="66"/>
      <c r="AQ358" s="66"/>
      <c r="AR358" s="66"/>
      <c r="AS358" s="66"/>
      <c r="AT358" s="66"/>
      <c r="AU358" s="66"/>
      <c r="AV358" s="66"/>
      <c r="AW358" s="66"/>
      <c r="AX358" s="66"/>
      <c r="AY358" s="66"/>
      <c r="AZ358" s="66"/>
      <c r="BA358" s="66"/>
      <c r="BB358" s="66"/>
      <c r="BC358" s="66"/>
    </row>
    <row r="359" ht="14.2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  <c r="AE359" s="66"/>
      <c r="AF359" s="66"/>
      <c r="AG359" s="66"/>
      <c r="AH359" s="66"/>
      <c r="AI359" s="66"/>
      <c r="AJ359" s="66"/>
      <c r="AK359" s="66"/>
      <c r="AL359" s="66"/>
      <c r="AM359" s="66"/>
      <c r="AN359" s="66"/>
      <c r="AO359" s="66"/>
      <c r="AP359" s="66"/>
      <c r="AQ359" s="66"/>
      <c r="AR359" s="66"/>
      <c r="AS359" s="66"/>
      <c r="AT359" s="66"/>
      <c r="AU359" s="66"/>
      <c r="AV359" s="66"/>
      <c r="AW359" s="66"/>
      <c r="AX359" s="66"/>
      <c r="AY359" s="66"/>
      <c r="AZ359" s="66"/>
      <c r="BA359" s="66"/>
      <c r="BB359" s="66"/>
      <c r="BC359" s="66"/>
    </row>
    <row r="360" ht="14.2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  <c r="AE360" s="66"/>
      <c r="AF360" s="66"/>
      <c r="AG360" s="66"/>
      <c r="AH360" s="66"/>
      <c r="AI360" s="66"/>
      <c r="AJ360" s="66"/>
      <c r="AK360" s="66"/>
      <c r="AL360" s="66"/>
      <c r="AM360" s="66"/>
      <c r="AN360" s="66"/>
      <c r="AO360" s="66"/>
      <c r="AP360" s="66"/>
      <c r="AQ360" s="66"/>
      <c r="AR360" s="66"/>
      <c r="AS360" s="66"/>
      <c r="AT360" s="66"/>
      <c r="AU360" s="66"/>
      <c r="AV360" s="66"/>
      <c r="AW360" s="66"/>
      <c r="AX360" s="66"/>
      <c r="AY360" s="66"/>
      <c r="AZ360" s="66"/>
      <c r="BA360" s="66"/>
      <c r="BB360" s="66"/>
      <c r="BC360" s="66"/>
    </row>
    <row r="361" ht="14.2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  <c r="AE361" s="66"/>
      <c r="AF361" s="66"/>
      <c r="AG361" s="66"/>
      <c r="AH361" s="66"/>
      <c r="AI361" s="66"/>
      <c r="AJ361" s="66"/>
      <c r="AK361" s="66"/>
      <c r="AL361" s="66"/>
      <c r="AM361" s="66"/>
      <c r="AN361" s="66"/>
      <c r="AO361" s="66"/>
      <c r="AP361" s="66"/>
      <c r="AQ361" s="66"/>
      <c r="AR361" s="66"/>
      <c r="AS361" s="66"/>
      <c r="AT361" s="66"/>
      <c r="AU361" s="66"/>
      <c r="AV361" s="66"/>
      <c r="AW361" s="66"/>
      <c r="AX361" s="66"/>
      <c r="AY361" s="66"/>
      <c r="AZ361" s="66"/>
      <c r="BA361" s="66"/>
      <c r="BB361" s="66"/>
      <c r="BC361" s="66"/>
    </row>
    <row r="362" ht="14.2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66"/>
      <c r="AI362" s="66"/>
      <c r="AJ362" s="66"/>
      <c r="AK362" s="66"/>
      <c r="AL362" s="66"/>
      <c r="AM362" s="66"/>
      <c r="AN362" s="66"/>
      <c r="AO362" s="66"/>
      <c r="AP362" s="66"/>
      <c r="AQ362" s="66"/>
      <c r="AR362" s="66"/>
      <c r="AS362" s="66"/>
      <c r="AT362" s="66"/>
      <c r="AU362" s="66"/>
      <c r="AV362" s="66"/>
      <c r="AW362" s="66"/>
      <c r="AX362" s="66"/>
      <c r="AY362" s="66"/>
      <c r="AZ362" s="66"/>
      <c r="BA362" s="66"/>
      <c r="BB362" s="66"/>
      <c r="BC362" s="66"/>
    </row>
    <row r="363" ht="14.2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66"/>
      <c r="AI363" s="66"/>
      <c r="AJ363" s="66"/>
      <c r="AK363" s="66"/>
      <c r="AL363" s="66"/>
      <c r="AM363" s="66"/>
      <c r="AN363" s="66"/>
      <c r="AO363" s="66"/>
      <c r="AP363" s="66"/>
      <c r="AQ363" s="66"/>
      <c r="AR363" s="66"/>
      <c r="AS363" s="66"/>
      <c r="AT363" s="66"/>
      <c r="AU363" s="66"/>
      <c r="AV363" s="66"/>
      <c r="AW363" s="66"/>
      <c r="AX363" s="66"/>
      <c r="AY363" s="66"/>
      <c r="AZ363" s="66"/>
      <c r="BA363" s="66"/>
      <c r="BB363" s="66"/>
      <c r="BC363" s="66"/>
    </row>
    <row r="364" ht="14.2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66"/>
      <c r="AI364" s="66"/>
      <c r="AJ364" s="66"/>
      <c r="AK364" s="66"/>
      <c r="AL364" s="66"/>
      <c r="AM364" s="66"/>
      <c r="AN364" s="66"/>
      <c r="AO364" s="66"/>
      <c r="AP364" s="66"/>
      <c r="AQ364" s="66"/>
      <c r="AR364" s="66"/>
      <c r="AS364" s="66"/>
      <c r="AT364" s="66"/>
      <c r="AU364" s="66"/>
      <c r="AV364" s="66"/>
      <c r="AW364" s="66"/>
      <c r="AX364" s="66"/>
      <c r="AY364" s="66"/>
      <c r="AZ364" s="66"/>
      <c r="BA364" s="66"/>
      <c r="BB364" s="66"/>
      <c r="BC364" s="66"/>
    </row>
    <row r="365" ht="14.2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  <c r="AE365" s="66"/>
      <c r="AF365" s="66"/>
      <c r="AG365" s="66"/>
      <c r="AH365" s="66"/>
      <c r="AI365" s="66"/>
      <c r="AJ365" s="66"/>
      <c r="AK365" s="66"/>
      <c r="AL365" s="66"/>
      <c r="AM365" s="66"/>
      <c r="AN365" s="66"/>
      <c r="AO365" s="66"/>
      <c r="AP365" s="66"/>
      <c r="AQ365" s="66"/>
      <c r="AR365" s="66"/>
      <c r="AS365" s="66"/>
      <c r="AT365" s="66"/>
      <c r="AU365" s="66"/>
      <c r="AV365" s="66"/>
      <c r="AW365" s="66"/>
      <c r="AX365" s="66"/>
      <c r="AY365" s="66"/>
      <c r="AZ365" s="66"/>
      <c r="BA365" s="66"/>
      <c r="BB365" s="66"/>
      <c r="BC365" s="66"/>
    </row>
    <row r="366" ht="14.2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  <c r="AE366" s="66"/>
      <c r="AF366" s="66"/>
      <c r="AG366" s="66"/>
      <c r="AH366" s="66"/>
      <c r="AI366" s="66"/>
      <c r="AJ366" s="66"/>
      <c r="AK366" s="66"/>
      <c r="AL366" s="66"/>
      <c r="AM366" s="66"/>
      <c r="AN366" s="66"/>
      <c r="AO366" s="66"/>
      <c r="AP366" s="66"/>
      <c r="AQ366" s="66"/>
      <c r="AR366" s="66"/>
      <c r="AS366" s="66"/>
      <c r="AT366" s="66"/>
      <c r="AU366" s="66"/>
      <c r="AV366" s="66"/>
      <c r="AW366" s="66"/>
      <c r="AX366" s="66"/>
      <c r="AY366" s="66"/>
      <c r="AZ366" s="66"/>
      <c r="BA366" s="66"/>
      <c r="BB366" s="66"/>
      <c r="BC366" s="66"/>
    </row>
    <row r="367" ht="14.2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  <c r="AE367" s="66"/>
      <c r="AF367" s="66"/>
      <c r="AG367" s="66"/>
      <c r="AH367" s="66"/>
      <c r="AI367" s="66"/>
      <c r="AJ367" s="66"/>
      <c r="AK367" s="66"/>
      <c r="AL367" s="66"/>
      <c r="AM367" s="66"/>
      <c r="AN367" s="66"/>
      <c r="AO367" s="66"/>
      <c r="AP367" s="66"/>
      <c r="AQ367" s="66"/>
      <c r="AR367" s="66"/>
      <c r="AS367" s="66"/>
      <c r="AT367" s="66"/>
      <c r="AU367" s="66"/>
      <c r="AV367" s="66"/>
      <c r="AW367" s="66"/>
      <c r="AX367" s="66"/>
      <c r="AY367" s="66"/>
      <c r="AZ367" s="66"/>
      <c r="BA367" s="66"/>
      <c r="BB367" s="66"/>
      <c r="BC367" s="66"/>
    </row>
    <row r="368" ht="14.2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  <c r="AE368" s="66"/>
      <c r="AF368" s="66"/>
      <c r="AG368" s="66"/>
      <c r="AH368" s="66"/>
      <c r="AI368" s="66"/>
      <c r="AJ368" s="66"/>
      <c r="AK368" s="66"/>
      <c r="AL368" s="66"/>
      <c r="AM368" s="66"/>
      <c r="AN368" s="66"/>
      <c r="AO368" s="66"/>
      <c r="AP368" s="66"/>
      <c r="AQ368" s="66"/>
      <c r="AR368" s="66"/>
      <c r="AS368" s="66"/>
      <c r="AT368" s="66"/>
      <c r="AU368" s="66"/>
      <c r="AV368" s="66"/>
      <c r="AW368" s="66"/>
      <c r="AX368" s="66"/>
      <c r="AY368" s="66"/>
      <c r="AZ368" s="66"/>
      <c r="BA368" s="66"/>
      <c r="BB368" s="66"/>
      <c r="BC368" s="66"/>
    </row>
    <row r="369" ht="14.2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  <c r="AE369" s="66"/>
      <c r="AF369" s="66"/>
      <c r="AG369" s="66"/>
      <c r="AH369" s="66"/>
      <c r="AI369" s="66"/>
      <c r="AJ369" s="66"/>
      <c r="AK369" s="66"/>
      <c r="AL369" s="66"/>
      <c r="AM369" s="66"/>
      <c r="AN369" s="66"/>
      <c r="AO369" s="66"/>
      <c r="AP369" s="66"/>
      <c r="AQ369" s="66"/>
      <c r="AR369" s="66"/>
      <c r="AS369" s="66"/>
      <c r="AT369" s="66"/>
      <c r="AU369" s="66"/>
      <c r="AV369" s="66"/>
      <c r="AW369" s="66"/>
      <c r="AX369" s="66"/>
      <c r="AY369" s="66"/>
      <c r="AZ369" s="66"/>
      <c r="BA369" s="66"/>
      <c r="BB369" s="66"/>
      <c r="BC369" s="66"/>
    </row>
    <row r="370" ht="14.2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  <c r="AE370" s="66"/>
      <c r="AF370" s="66"/>
      <c r="AG370" s="66"/>
      <c r="AH370" s="66"/>
      <c r="AI370" s="66"/>
      <c r="AJ370" s="66"/>
      <c r="AK370" s="66"/>
      <c r="AL370" s="66"/>
      <c r="AM370" s="66"/>
      <c r="AN370" s="66"/>
      <c r="AO370" s="66"/>
      <c r="AP370" s="66"/>
      <c r="AQ370" s="66"/>
      <c r="AR370" s="66"/>
      <c r="AS370" s="66"/>
      <c r="AT370" s="66"/>
      <c r="AU370" s="66"/>
      <c r="AV370" s="66"/>
      <c r="AW370" s="66"/>
      <c r="AX370" s="66"/>
      <c r="AY370" s="66"/>
      <c r="AZ370" s="66"/>
      <c r="BA370" s="66"/>
      <c r="BB370" s="66"/>
      <c r="BC370" s="66"/>
    </row>
    <row r="371" ht="14.2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  <c r="AE371" s="66"/>
      <c r="AF371" s="66"/>
      <c r="AG371" s="66"/>
      <c r="AH371" s="66"/>
      <c r="AI371" s="66"/>
      <c r="AJ371" s="66"/>
      <c r="AK371" s="66"/>
      <c r="AL371" s="66"/>
      <c r="AM371" s="66"/>
      <c r="AN371" s="66"/>
      <c r="AO371" s="66"/>
      <c r="AP371" s="66"/>
      <c r="AQ371" s="66"/>
      <c r="AR371" s="66"/>
      <c r="AS371" s="66"/>
      <c r="AT371" s="66"/>
      <c r="AU371" s="66"/>
      <c r="AV371" s="66"/>
      <c r="AW371" s="66"/>
      <c r="AX371" s="66"/>
      <c r="AY371" s="66"/>
      <c r="AZ371" s="66"/>
      <c r="BA371" s="66"/>
      <c r="BB371" s="66"/>
      <c r="BC371" s="66"/>
    </row>
    <row r="372" ht="14.2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  <c r="AE372" s="66"/>
      <c r="AF372" s="66"/>
      <c r="AG372" s="66"/>
      <c r="AH372" s="66"/>
      <c r="AI372" s="66"/>
      <c r="AJ372" s="66"/>
      <c r="AK372" s="66"/>
      <c r="AL372" s="66"/>
      <c r="AM372" s="66"/>
      <c r="AN372" s="66"/>
      <c r="AO372" s="66"/>
      <c r="AP372" s="66"/>
      <c r="AQ372" s="66"/>
      <c r="AR372" s="66"/>
      <c r="AS372" s="66"/>
      <c r="AT372" s="66"/>
      <c r="AU372" s="66"/>
      <c r="AV372" s="66"/>
      <c r="AW372" s="66"/>
      <c r="AX372" s="66"/>
      <c r="AY372" s="66"/>
      <c r="AZ372" s="66"/>
      <c r="BA372" s="66"/>
      <c r="BB372" s="66"/>
      <c r="BC372" s="66"/>
    </row>
    <row r="373" ht="14.2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  <c r="AE373" s="66"/>
      <c r="AF373" s="66"/>
      <c r="AG373" s="66"/>
      <c r="AH373" s="66"/>
      <c r="AI373" s="66"/>
      <c r="AJ373" s="66"/>
      <c r="AK373" s="66"/>
      <c r="AL373" s="66"/>
      <c r="AM373" s="66"/>
      <c r="AN373" s="66"/>
      <c r="AO373" s="66"/>
      <c r="AP373" s="66"/>
      <c r="AQ373" s="66"/>
      <c r="AR373" s="66"/>
      <c r="AS373" s="66"/>
      <c r="AT373" s="66"/>
      <c r="AU373" s="66"/>
      <c r="AV373" s="66"/>
      <c r="AW373" s="66"/>
      <c r="AX373" s="66"/>
      <c r="AY373" s="66"/>
      <c r="AZ373" s="66"/>
      <c r="BA373" s="66"/>
      <c r="BB373" s="66"/>
      <c r="BC373" s="66"/>
    </row>
    <row r="374" ht="14.2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  <c r="AE374" s="66"/>
      <c r="AF374" s="66"/>
      <c r="AG374" s="66"/>
      <c r="AH374" s="66"/>
      <c r="AI374" s="66"/>
      <c r="AJ374" s="66"/>
      <c r="AK374" s="66"/>
      <c r="AL374" s="66"/>
      <c r="AM374" s="66"/>
      <c r="AN374" s="66"/>
      <c r="AO374" s="66"/>
      <c r="AP374" s="66"/>
      <c r="AQ374" s="66"/>
      <c r="AR374" s="66"/>
      <c r="AS374" s="66"/>
      <c r="AT374" s="66"/>
      <c r="AU374" s="66"/>
      <c r="AV374" s="66"/>
      <c r="AW374" s="66"/>
      <c r="AX374" s="66"/>
      <c r="AY374" s="66"/>
      <c r="AZ374" s="66"/>
      <c r="BA374" s="66"/>
      <c r="BB374" s="66"/>
      <c r="BC374" s="66"/>
    </row>
    <row r="375" ht="14.2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  <c r="AE375" s="66"/>
      <c r="AF375" s="66"/>
      <c r="AG375" s="66"/>
      <c r="AH375" s="66"/>
      <c r="AI375" s="66"/>
      <c r="AJ375" s="66"/>
      <c r="AK375" s="66"/>
      <c r="AL375" s="66"/>
      <c r="AM375" s="66"/>
      <c r="AN375" s="66"/>
      <c r="AO375" s="66"/>
      <c r="AP375" s="66"/>
      <c r="AQ375" s="66"/>
      <c r="AR375" s="66"/>
      <c r="AS375" s="66"/>
      <c r="AT375" s="66"/>
      <c r="AU375" s="66"/>
      <c r="AV375" s="66"/>
      <c r="AW375" s="66"/>
      <c r="AX375" s="66"/>
      <c r="AY375" s="66"/>
      <c r="AZ375" s="66"/>
      <c r="BA375" s="66"/>
      <c r="BB375" s="66"/>
      <c r="BC375" s="66"/>
    </row>
    <row r="376" ht="14.2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  <c r="AE376" s="66"/>
      <c r="AF376" s="66"/>
      <c r="AG376" s="66"/>
      <c r="AH376" s="66"/>
      <c r="AI376" s="66"/>
      <c r="AJ376" s="66"/>
      <c r="AK376" s="66"/>
      <c r="AL376" s="66"/>
      <c r="AM376" s="66"/>
      <c r="AN376" s="66"/>
      <c r="AO376" s="66"/>
      <c r="AP376" s="66"/>
      <c r="AQ376" s="66"/>
      <c r="AR376" s="66"/>
      <c r="AS376" s="66"/>
      <c r="AT376" s="66"/>
      <c r="AU376" s="66"/>
      <c r="AV376" s="66"/>
      <c r="AW376" s="66"/>
      <c r="AX376" s="66"/>
      <c r="AY376" s="66"/>
      <c r="AZ376" s="66"/>
      <c r="BA376" s="66"/>
      <c r="BB376" s="66"/>
      <c r="BC376" s="66"/>
    </row>
    <row r="377" ht="14.2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  <c r="AE377" s="66"/>
      <c r="AF377" s="66"/>
      <c r="AG377" s="66"/>
      <c r="AH377" s="66"/>
      <c r="AI377" s="66"/>
      <c r="AJ377" s="66"/>
      <c r="AK377" s="66"/>
      <c r="AL377" s="66"/>
      <c r="AM377" s="66"/>
      <c r="AN377" s="66"/>
      <c r="AO377" s="66"/>
      <c r="AP377" s="66"/>
      <c r="AQ377" s="66"/>
      <c r="AR377" s="66"/>
      <c r="AS377" s="66"/>
      <c r="AT377" s="66"/>
      <c r="AU377" s="66"/>
      <c r="AV377" s="66"/>
      <c r="AW377" s="66"/>
      <c r="AX377" s="66"/>
      <c r="AY377" s="66"/>
      <c r="AZ377" s="66"/>
      <c r="BA377" s="66"/>
      <c r="BB377" s="66"/>
      <c r="BC377" s="66"/>
    </row>
    <row r="378" ht="14.2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  <c r="AE378" s="66"/>
      <c r="AF378" s="66"/>
      <c r="AG378" s="66"/>
      <c r="AH378" s="66"/>
      <c r="AI378" s="66"/>
      <c r="AJ378" s="66"/>
      <c r="AK378" s="66"/>
      <c r="AL378" s="66"/>
      <c r="AM378" s="66"/>
      <c r="AN378" s="66"/>
      <c r="AO378" s="66"/>
      <c r="AP378" s="66"/>
      <c r="AQ378" s="66"/>
      <c r="AR378" s="66"/>
      <c r="AS378" s="66"/>
      <c r="AT378" s="66"/>
      <c r="AU378" s="66"/>
      <c r="AV378" s="66"/>
      <c r="AW378" s="66"/>
      <c r="AX378" s="66"/>
      <c r="AY378" s="66"/>
      <c r="AZ378" s="66"/>
      <c r="BA378" s="66"/>
      <c r="BB378" s="66"/>
      <c r="BC378" s="66"/>
    </row>
    <row r="379" ht="14.2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  <c r="AE379" s="66"/>
      <c r="AF379" s="66"/>
      <c r="AG379" s="66"/>
      <c r="AH379" s="66"/>
      <c r="AI379" s="66"/>
      <c r="AJ379" s="66"/>
      <c r="AK379" s="66"/>
      <c r="AL379" s="66"/>
      <c r="AM379" s="66"/>
      <c r="AN379" s="66"/>
      <c r="AO379" s="66"/>
      <c r="AP379" s="66"/>
      <c r="AQ379" s="66"/>
      <c r="AR379" s="66"/>
      <c r="AS379" s="66"/>
      <c r="AT379" s="66"/>
      <c r="AU379" s="66"/>
      <c r="AV379" s="66"/>
      <c r="AW379" s="66"/>
      <c r="AX379" s="66"/>
      <c r="AY379" s="66"/>
      <c r="AZ379" s="66"/>
      <c r="BA379" s="66"/>
      <c r="BB379" s="66"/>
      <c r="BC379" s="66"/>
    </row>
    <row r="380" ht="14.2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  <c r="AE380" s="66"/>
      <c r="AF380" s="66"/>
      <c r="AG380" s="66"/>
      <c r="AH380" s="66"/>
      <c r="AI380" s="66"/>
      <c r="AJ380" s="66"/>
      <c r="AK380" s="66"/>
      <c r="AL380" s="66"/>
      <c r="AM380" s="66"/>
      <c r="AN380" s="66"/>
      <c r="AO380" s="66"/>
      <c r="AP380" s="66"/>
      <c r="AQ380" s="66"/>
      <c r="AR380" s="66"/>
      <c r="AS380" s="66"/>
      <c r="AT380" s="66"/>
      <c r="AU380" s="66"/>
      <c r="AV380" s="66"/>
      <c r="AW380" s="66"/>
      <c r="AX380" s="66"/>
      <c r="AY380" s="66"/>
      <c r="AZ380" s="66"/>
      <c r="BA380" s="66"/>
      <c r="BB380" s="66"/>
      <c r="BC380" s="66"/>
    </row>
    <row r="381" ht="14.2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  <c r="AE381" s="66"/>
      <c r="AF381" s="66"/>
      <c r="AG381" s="66"/>
      <c r="AH381" s="66"/>
      <c r="AI381" s="66"/>
      <c r="AJ381" s="66"/>
      <c r="AK381" s="66"/>
      <c r="AL381" s="66"/>
      <c r="AM381" s="66"/>
      <c r="AN381" s="66"/>
      <c r="AO381" s="66"/>
      <c r="AP381" s="66"/>
      <c r="AQ381" s="66"/>
      <c r="AR381" s="66"/>
      <c r="AS381" s="66"/>
      <c r="AT381" s="66"/>
      <c r="AU381" s="66"/>
      <c r="AV381" s="66"/>
      <c r="AW381" s="66"/>
      <c r="AX381" s="66"/>
      <c r="AY381" s="66"/>
      <c r="AZ381" s="66"/>
      <c r="BA381" s="66"/>
      <c r="BB381" s="66"/>
      <c r="BC381" s="66"/>
    </row>
    <row r="382" ht="14.2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  <c r="AE382" s="66"/>
      <c r="AF382" s="66"/>
      <c r="AG382" s="66"/>
      <c r="AH382" s="66"/>
      <c r="AI382" s="66"/>
      <c r="AJ382" s="66"/>
      <c r="AK382" s="66"/>
      <c r="AL382" s="66"/>
      <c r="AM382" s="66"/>
      <c r="AN382" s="66"/>
      <c r="AO382" s="66"/>
      <c r="AP382" s="66"/>
      <c r="AQ382" s="66"/>
      <c r="AR382" s="66"/>
      <c r="AS382" s="66"/>
      <c r="AT382" s="66"/>
      <c r="AU382" s="66"/>
      <c r="AV382" s="66"/>
      <c r="AW382" s="66"/>
      <c r="AX382" s="66"/>
      <c r="AY382" s="66"/>
      <c r="AZ382" s="66"/>
      <c r="BA382" s="66"/>
      <c r="BB382" s="66"/>
      <c r="BC382" s="66"/>
    </row>
    <row r="383" ht="14.2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  <c r="AE383" s="66"/>
      <c r="AF383" s="66"/>
      <c r="AG383" s="66"/>
      <c r="AH383" s="66"/>
      <c r="AI383" s="66"/>
      <c r="AJ383" s="66"/>
      <c r="AK383" s="66"/>
      <c r="AL383" s="66"/>
      <c r="AM383" s="66"/>
      <c r="AN383" s="66"/>
      <c r="AO383" s="66"/>
      <c r="AP383" s="66"/>
      <c r="AQ383" s="66"/>
      <c r="AR383" s="66"/>
      <c r="AS383" s="66"/>
      <c r="AT383" s="66"/>
      <c r="AU383" s="66"/>
      <c r="AV383" s="66"/>
      <c r="AW383" s="66"/>
      <c r="AX383" s="66"/>
      <c r="AY383" s="66"/>
      <c r="AZ383" s="66"/>
      <c r="BA383" s="66"/>
      <c r="BB383" s="66"/>
      <c r="BC383" s="66"/>
    </row>
    <row r="384" ht="14.2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  <c r="AE384" s="66"/>
      <c r="AF384" s="66"/>
      <c r="AG384" s="66"/>
      <c r="AH384" s="66"/>
      <c r="AI384" s="66"/>
      <c r="AJ384" s="66"/>
      <c r="AK384" s="66"/>
      <c r="AL384" s="66"/>
      <c r="AM384" s="66"/>
      <c r="AN384" s="66"/>
      <c r="AO384" s="66"/>
      <c r="AP384" s="66"/>
      <c r="AQ384" s="66"/>
      <c r="AR384" s="66"/>
      <c r="AS384" s="66"/>
      <c r="AT384" s="66"/>
      <c r="AU384" s="66"/>
      <c r="AV384" s="66"/>
      <c r="AW384" s="66"/>
      <c r="AX384" s="66"/>
      <c r="AY384" s="66"/>
      <c r="AZ384" s="66"/>
      <c r="BA384" s="66"/>
      <c r="BB384" s="66"/>
      <c r="BC384" s="66"/>
    </row>
    <row r="385" ht="14.2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  <c r="AE385" s="66"/>
      <c r="AF385" s="66"/>
      <c r="AG385" s="66"/>
      <c r="AH385" s="66"/>
      <c r="AI385" s="66"/>
      <c r="AJ385" s="66"/>
      <c r="AK385" s="66"/>
      <c r="AL385" s="66"/>
      <c r="AM385" s="66"/>
      <c r="AN385" s="66"/>
      <c r="AO385" s="66"/>
      <c r="AP385" s="66"/>
      <c r="AQ385" s="66"/>
      <c r="AR385" s="66"/>
      <c r="AS385" s="66"/>
      <c r="AT385" s="66"/>
      <c r="AU385" s="66"/>
      <c r="AV385" s="66"/>
      <c r="AW385" s="66"/>
      <c r="AX385" s="66"/>
      <c r="AY385" s="66"/>
      <c r="AZ385" s="66"/>
      <c r="BA385" s="66"/>
      <c r="BB385" s="66"/>
      <c r="BC385" s="66"/>
    </row>
    <row r="386" ht="14.2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  <c r="AE386" s="66"/>
      <c r="AF386" s="66"/>
      <c r="AG386" s="66"/>
      <c r="AH386" s="66"/>
      <c r="AI386" s="66"/>
      <c r="AJ386" s="66"/>
      <c r="AK386" s="66"/>
      <c r="AL386" s="66"/>
      <c r="AM386" s="66"/>
      <c r="AN386" s="66"/>
      <c r="AO386" s="66"/>
      <c r="AP386" s="66"/>
      <c r="AQ386" s="66"/>
      <c r="AR386" s="66"/>
      <c r="AS386" s="66"/>
      <c r="AT386" s="66"/>
      <c r="AU386" s="66"/>
      <c r="AV386" s="66"/>
      <c r="AW386" s="66"/>
      <c r="AX386" s="66"/>
      <c r="AY386" s="66"/>
      <c r="AZ386" s="66"/>
      <c r="BA386" s="66"/>
      <c r="BB386" s="66"/>
      <c r="BC386" s="66"/>
    </row>
    <row r="387" ht="14.2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  <c r="AE387" s="66"/>
      <c r="AF387" s="66"/>
      <c r="AG387" s="66"/>
      <c r="AH387" s="66"/>
      <c r="AI387" s="66"/>
      <c r="AJ387" s="66"/>
      <c r="AK387" s="66"/>
      <c r="AL387" s="66"/>
      <c r="AM387" s="66"/>
      <c r="AN387" s="66"/>
      <c r="AO387" s="66"/>
      <c r="AP387" s="66"/>
      <c r="AQ387" s="66"/>
      <c r="AR387" s="66"/>
      <c r="AS387" s="66"/>
      <c r="AT387" s="66"/>
      <c r="AU387" s="66"/>
      <c r="AV387" s="66"/>
      <c r="AW387" s="66"/>
      <c r="AX387" s="66"/>
      <c r="AY387" s="66"/>
      <c r="AZ387" s="66"/>
      <c r="BA387" s="66"/>
      <c r="BB387" s="66"/>
      <c r="BC387" s="66"/>
    </row>
    <row r="388" ht="14.2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  <c r="AE388" s="66"/>
      <c r="AF388" s="66"/>
      <c r="AG388" s="66"/>
      <c r="AH388" s="66"/>
      <c r="AI388" s="66"/>
      <c r="AJ388" s="66"/>
      <c r="AK388" s="66"/>
      <c r="AL388" s="66"/>
      <c r="AM388" s="66"/>
      <c r="AN388" s="66"/>
      <c r="AO388" s="66"/>
      <c r="AP388" s="66"/>
      <c r="AQ388" s="66"/>
      <c r="AR388" s="66"/>
      <c r="AS388" s="66"/>
      <c r="AT388" s="66"/>
      <c r="AU388" s="66"/>
      <c r="AV388" s="66"/>
      <c r="AW388" s="66"/>
      <c r="AX388" s="66"/>
      <c r="AY388" s="66"/>
      <c r="AZ388" s="66"/>
      <c r="BA388" s="66"/>
      <c r="BB388" s="66"/>
      <c r="BC388" s="66"/>
    </row>
    <row r="389" ht="14.2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  <c r="AE389" s="66"/>
      <c r="AF389" s="66"/>
      <c r="AG389" s="66"/>
      <c r="AH389" s="66"/>
      <c r="AI389" s="66"/>
      <c r="AJ389" s="66"/>
      <c r="AK389" s="66"/>
      <c r="AL389" s="66"/>
      <c r="AM389" s="66"/>
      <c r="AN389" s="66"/>
      <c r="AO389" s="66"/>
      <c r="AP389" s="66"/>
      <c r="AQ389" s="66"/>
      <c r="AR389" s="66"/>
      <c r="AS389" s="66"/>
      <c r="AT389" s="66"/>
      <c r="AU389" s="66"/>
      <c r="AV389" s="66"/>
      <c r="AW389" s="66"/>
      <c r="AX389" s="66"/>
      <c r="AY389" s="66"/>
      <c r="AZ389" s="66"/>
      <c r="BA389" s="66"/>
      <c r="BB389" s="66"/>
      <c r="BC389" s="66"/>
    </row>
    <row r="390" ht="14.2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  <c r="AE390" s="66"/>
      <c r="AF390" s="66"/>
      <c r="AG390" s="66"/>
      <c r="AH390" s="66"/>
      <c r="AI390" s="66"/>
      <c r="AJ390" s="66"/>
      <c r="AK390" s="66"/>
      <c r="AL390" s="66"/>
      <c r="AM390" s="66"/>
      <c r="AN390" s="66"/>
      <c r="AO390" s="66"/>
      <c r="AP390" s="66"/>
      <c r="AQ390" s="66"/>
      <c r="AR390" s="66"/>
      <c r="AS390" s="66"/>
      <c r="AT390" s="66"/>
      <c r="AU390" s="66"/>
      <c r="AV390" s="66"/>
      <c r="AW390" s="66"/>
      <c r="AX390" s="66"/>
      <c r="AY390" s="66"/>
      <c r="AZ390" s="66"/>
      <c r="BA390" s="66"/>
      <c r="BB390" s="66"/>
      <c r="BC390" s="66"/>
    </row>
    <row r="391" ht="14.2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  <c r="AE391" s="66"/>
      <c r="AF391" s="66"/>
      <c r="AG391" s="66"/>
      <c r="AH391" s="66"/>
      <c r="AI391" s="66"/>
      <c r="AJ391" s="66"/>
      <c r="AK391" s="66"/>
      <c r="AL391" s="66"/>
      <c r="AM391" s="66"/>
      <c r="AN391" s="66"/>
      <c r="AO391" s="66"/>
      <c r="AP391" s="66"/>
      <c r="AQ391" s="66"/>
      <c r="AR391" s="66"/>
      <c r="AS391" s="66"/>
      <c r="AT391" s="66"/>
      <c r="AU391" s="66"/>
      <c r="AV391" s="66"/>
      <c r="AW391" s="66"/>
      <c r="AX391" s="66"/>
      <c r="AY391" s="66"/>
      <c r="AZ391" s="66"/>
      <c r="BA391" s="66"/>
      <c r="BB391" s="66"/>
      <c r="BC391" s="66"/>
    </row>
    <row r="392" ht="14.2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  <c r="AE392" s="66"/>
      <c r="AF392" s="66"/>
      <c r="AG392" s="66"/>
      <c r="AH392" s="66"/>
      <c r="AI392" s="66"/>
      <c r="AJ392" s="66"/>
      <c r="AK392" s="66"/>
      <c r="AL392" s="66"/>
      <c r="AM392" s="66"/>
      <c r="AN392" s="66"/>
      <c r="AO392" s="66"/>
      <c r="AP392" s="66"/>
      <c r="AQ392" s="66"/>
      <c r="AR392" s="66"/>
      <c r="AS392" s="66"/>
      <c r="AT392" s="66"/>
      <c r="AU392" s="66"/>
      <c r="AV392" s="66"/>
      <c r="AW392" s="66"/>
      <c r="AX392" s="66"/>
      <c r="AY392" s="66"/>
      <c r="AZ392" s="66"/>
      <c r="BA392" s="66"/>
      <c r="BB392" s="66"/>
      <c r="BC392" s="66"/>
    </row>
    <row r="393" ht="14.2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  <c r="AE393" s="66"/>
      <c r="AF393" s="66"/>
      <c r="AG393" s="66"/>
      <c r="AH393" s="66"/>
      <c r="AI393" s="66"/>
      <c r="AJ393" s="66"/>
      <c r="AK393" s="66"/>
      <c r="AL393" s="66"/>
      <c r="AM393" s="66"/>
      <c r="AN393" s="66"/>
      <c r="AO393" s="66"/>
      <c r="AP393" s="66"/>
      <c r="AQ393" s="66"/>
      <c r="AR393" s="66"/>
      <c r="AS393" s="66"/>
      <c r="AT393" s="66"/>
      <c r="AU393" s="66"/>
      <c r="AV393" s="66"/>
      <c r="AW393" s="66"/>
      <c r="AX393" s="66"/>
      <c r="AY393" s="66"/>
      <c r="AZ393" s="66"/>
      <c r="BA393" s="66"/>
      <c r="BB393" s="66"/>
      <c r="BC393" s="66"/>
    </row>
    <row r="394" ht="14.2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  <c r="AE394" s="66"/>
      <c r="AF394" s="66"/>
      <c r="AG394" s="66"/>
      <c r="AH394" s="66"/>
      <c r="AI394" s="66"/>
      <c r="AJ394" s="66"/>
      <c r="AK394" s="66"/>
      <c r="AL394" s="66"/>
      <c r="AM394" s="66"/>
      <c r="AN394" s="66"/>
      <c r="AO394" s="66"/>
      <c r="AP394" s="66"/>
      <c r="AQ394" s="66"/>
      <c r="AR394" s="66"/>
      <c r="AS394" s="66"/>
      <c r="AT394" s="66"/>
      <c r="AU394" s="66"/>
      <c r="AV394" s="66"/>
      <c r="AW394" s="66"/>
      <c r="AX394" s="66"/>
      <c r="AY394" s="66"/>
      <c r="AZ394" s="66"/>
      <c r="BA394" s="66"/>
      <c r="BB394" s="66"/>
      <c r="BC394" s="66"/>
    </row>
    <row r="395" ht="14.2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  <c r="AE395" s="66"/>
      <c r="AF395" s="66"/>
      <c r="AG395" s="66"/>
      <c r="AH395" s="66"/>
      <c r="AI395" s="66"/>
      <c r="AJ395" s="66"/>
      <c r="AK395" s="66"/>
      <c r="AL395" s="66"/>
      <c r="AM395" s="66"/>
      <c r="AN395" s="66"/>
      <c r="AO395" s="66"/>
      <c r="AP395" s="66"/>
      <c r="AQ395" s="66"/>
      <c r="AR395" s="66"/>
      <c r="AS395" s="66"/>
      <c r="AT395" s="66"/>
      <c r="AU395" s="66"/>
      <c r="AV395" s="66"/>
      <c r="AW395" s="66"/>
      <c r="AX395" s="66"/>
      <c r="AY395" s="66"/>
      <c r="AZ395" s="66"/>
      <c r="BA395" s="66"/>
      <c r="BB395" s="66"/>
      <c r="BC395" s="66"/>
    </row>
    <row r="396" ht="14.2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  <c r="AE396" s="66"/>
      <c r="AF396" s="66"/>
      <c r="AG396" s="66"/>
      <c r="AH396" s="66"/>
      <c r="AI396" s="66"/>
      <c r="AJ396" s="66"/>
      <c r="AK396" s="66"/>
      <c r="AL396" s="66"/>
      <c r="AM396" s="66"/>
      <c r="AN396" s="66"/>
      <c r="AO396" s="66"/>
      <c r="AP396" s="66"/>
      <c r="AQ396" s="66"/>
      <c r="AR396" s="66"/>
      <c r="AS396" s="66"/>
      <c r="AT396" s="66"/>
      <c r="AU396" s="66"/>
      <c r="AV396" s="66"/>
      <c r="AW396" s="66"/>
      <c r="AX396" s="66"/>
      <c r="AY396" s="66"/>
      <c r="AZ396" s="66"/>
      <c r="BA396" s="66"/>
      <c r="BB396" s="66"/>
      <c r="BC396" s="66"/>
    </row>
    <row r="397" ht="14.2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  <c r="AE397" s="66"/>
      <c r="AF397" s="66"/>
      <c r="AG397" s="66"/>
      <c r="AH397" s="66"/>
      <c r="AI397" s="66"/>
      <c r="AJ397" s="66"/>
      <c r="AK397" s="66"/>
      <c r="AL397" s="66"/>
      <c r="AM397" s="66"/>
      <c r="AN397" s="66"/>
      <c r="AO397" s="66"/>
      <c r="AP397" s="66"/>
      <c r="AQ397" s="66"/>
      <c r="AR397" s="66"/>
      <c r="AS397" s="66"/>
      <c r="AT397" s="66"/>
      <c r="AU397" s="66"/>
      <c r="AV397" s="66"/>
      <c r="AW397" s="66"/>
      <c r="AX397" s="66"/>
      <c r="AY397" s="66"/>
      <c r="AZ397" s="66"/>
      <c r="BA397" s="66"/>
      <c r="BB397" s="66"/>
      <c r="BC397" s="66"/>
    </row>
    <row r="398" ht="14.2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  <c r="AE398" s="66"/>
      <c r="AF398" s="66"/>
      <c r="AG398" s="66"/>
      <c r="AH398" s="66"/>
      <c r="AI398" s="66"/>
      <c r="AJ398" s="66"/>
      <c r="AK398" s="66"/>
      <c r="AL398" s="66"/>
      <c r="AM398" s="66"/>
      <c r="AN398" s="66"/>
      <c r="AO398" s="66"/>
      <c r="AP398" s="66"/>
      <c r="AQ398" s="66"/>
      <c r="AR398" s="66"/>
      <c r="AS398" s="66"/>
      <c r="AT398" s="66"/>
      <c r="AU398" s="66"/>
      <c r="AV398" s="66"/>
      <c r="AW398" s="66"/>
      <c r="AX398" s="66"/>
      <c r="AY398" s="66"/>
      <c r="AZ398" s="66"/>
      <c r="BA398" s="66"/>
      <c r="BB398" s="66"/>
      <c r="BC398" s="66"/>
    </row>
    <row r="399" ht="14.2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  <c r="AG399" s="66"/>
      <c r="AH399" s="66"/>
      <c r="AI399" s="66"/>
      <c r="AJ399" s="66"/>
      <c r="AK399" s="66"/>
      <c r="AL399" s="66"/>
      <c r="AM399" s="66"/>
      <c r="AN399" s="66"/>
      <c r="AO399" s="66"/>
      <c r="AP399" s="66"/>
      <c r="AQ399" s="66"/>
      <c r="AR399" s="66"/>
      <c r="AS399" s="66"/>
      <c r="AT399" s="66"/>
      <c r="AU399" s="66"/>
      <c r="AV399" s="66"/>
      <c r="AW399" s="66"/>
      <c r="AX399" s="66"/>
      <c r="AY399" s="66"/>
      <c r="AZ399" s="66"/>
      <c r="BA399" s="66"/>
      <c r="BB399" s="66"/>
      <c r="BC399" s="66"/>
    </row>
    <row r="400" ht="14.2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  <c r="AE400" s="66"/>
      <c r="AF400" s="66"/>
      <c r="AG400" s="66"/>
      <c r="AH400" s="66"/>
      <c r="AI400" s="66"/>
      <c r="AJ400" s="66"/>
      <c r="AK400" s="66"/>
      <c r="AL400" s="66"/>
      <c r="AM400" s="66"/>
      <c r="AN400" s="66"/>
      <c r="AO400" s="66"/>
      <c r="AP400" s="66"/>
      <c r="AQ400" s="66"/>
      <c r="AR400" s="66"/>
      <c r="AS400" s="66"/>
      <c r="AT400" s="66"/>
      <c r="AU400" s="66"/>
      <c r="AV400" s="66"/>
      <c r="AW400" s="66"/>
      <c r="AX400" s="66"/>
      <c r="AY400" s="66"/>
      <c r="AZ400" s="66"/>
      <c r="BA400" s="66"/>
      <c r="BB400" s="66"/>
      <c r="BC400" s="66"/>
    </row>
    <row r="401" ht="14.2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  <c r="AE401" s="66"/>
      <c r="AF401" s="66"/>
      <c r="AG401" s="66"/>
      <c r="AH401" s="66"/>
      <c r="AI401" s="66"/>
      <c r="AJ401" s="66"/>
      <c r="AK401" s="66"/>
      <c r="AL401" s="66"/>
      <c r="AM401" s="66"/>
      <c r="AN401" s="66"/>
      <c r="AO401" s="66"/>
      <c r="AP401" s="66"/>
      <c r="AQ401" s="66"/>
      <c r="AR401" s="66"/>
      <c r="AS401" s="66"/>
      <c r="AT401" s="66"/>
      <c r="AU401" s="66"/>
      <c r="AV401" s="66"/>
      <c r="AW401" s="66"/>
      <c r="AX401" s="66"/>
      <c r="AY401" s="66"/>
      <c r="AZ401" s="66"/>
      <c r="BA401" s="66"/>
      <c r="BB401" s="66"/>
      <c r="BC401" s="66"/>
    </row>
    <row r="402" ht="14.2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  <c r="AE402" s="66"/>
      <c r="AF402" s="66"/>
      <c r="AG402" s="66"/>
      <c r="AH402" s="66"/>
      <c r="AI402" s="66"/>
      <c r="AJ402" s="66"/>
      <c r="AK402" s="66"/>
      <c r="AL402" s="66"/>
      <c r="AM402" s="66"/>
      <c r="AN402" s="66"/>
      <c r="AO402" s="66"/>
      <c r="AP402" s="66"/>
      <c r="AQ402" s="66"/>
      <c r="AR402" s="66"/>
      <c r="AS402" s="66"/>
      <c r="AT402" s="66"/>
      <c r="AU402" s="66"/>
      <c r="AV402" s="66"/>
      <c r="AW402" s="66"/>
      <c r="AX402" s="66"/>
      <c r="AY402" s="66"/>
      <c r="AZ402" s="66"/>
      <c r="BA402" s="66"/>
      <c r="BB402" s="66"/>
      <c r="BC402" s="66"/>
    </row>
    <row r="403" ht="14.2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  <c r="AE403" s="66"/>
      <c r="AF403" s="66"/>
      <c r="AG403" s="66"/>
      <c r="AH403" s="66"/>
      <c r="AI403" s="66"/>
      <c r="AJ403" s="66"/>
      <c r="AK403" s="66"/>
      <c r="AL403" s="66"/>
      <c r="AM403" s="66"/>
      <c r="AN403" s="66"/>
      <c r="AO403" s="66"/>
      <c r="AP403" s="66"/>
      <c r="AQ403" s="66"/>
      <c r="AR403" s="66"/>
      <c r="AS403" s="66"/>
      <c r="AT403" s="66"/>
      <c r="AU403" s="66"/>
      <c r="AV403" s="66"/>
      <c r="AW403" s="66"/>
      <c r="AX403" s="66"/>
      <c r="AY403" s="66"/>
      <c r="AZ403" s="66"/>
      <c r="BA403" s="66"/>
      <c r="BB403" s="66"/>
      <c r="BC403" s="66"/>
    </row>
    <row r="404" ht="14.2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  <c r="AE404" s="66"/>
      <c r="AF404" s="66"/>
      <c r="AG404" s="66"/>
      <c r="AH404" s="66"/>
      <c r="AI404" s="66"/>
      <c r="AJ404" s="66"/>
      <c r="AK404" s="66"/>
      <c r="AL404" s="66"/>
      <c r="AM404" s="66"/>
      <c r="AN404" s="66"/>
      <c r="AO404" s="66"/>
      <c r="AP404" s="66"/>
      <c r="AQ404" s="66"/>
      <c r="AR404" s="66"/>
      <c r="AS404" s="66"/>
      <c r="AT404" s="66"/>
      <c r="AU404" s="66"/>
      <c r="AV404" s="66"/>
      <c r="AW404" s="66"/>
      <c r="AX404" s="66"/>
      <c r="AY404" s="66"/>
      <c r="AZ404" s="66"/>
      <c r="BA404" s="66"/>
      <c r="BB404" s="66"/>
      <c r="BC404" s="66"/>
    </row>
    <row r="405" ht="14.2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  <c r="AE405" s="66"/>
      <c r="AF405" s="66"/>
      <c r="AG405" s="66"/>
      <c r="AH405" s="66"/>
      <c r="AI405" s="66"/>
      <c r="AJ405" s="66"/>
      <c r="AK405" s="66"/>
      <c r="AL405" s="66"/>
      <c r="AM405" s="66"/>
      <c r="AN405" s="66"/>
      <c r="AO405" s="66"/>
      <c r="AP405" s="66"/>
      <c r="AQ405" s="66"/>
      <c r="AR405" s="66"/>
      <c r="AS405" s="66"/>
      <c r="AT405" s="66"/>
      <c r="AU405" s="66"/>
      <c r="AV405" s="66"/>
      <c r="AW405" s="66"/>
      <c r="AX405" s="66"/>
      <c r="AY405" s="66"/>
      <c r="AZ405" s="66"/>
      <c r="BA405" s="66"/>
      <c r="BB405" s="66"/>
      <c r="BC405" s="66"/>
    </row>
    <row r="406" ht="14.2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  <c r="AE406" s="66"/>
      <c r="AF406" s="66"/>
      <c r="AG406" s="66"/>
      <c r="AH406" s="66"/>
      <c r="AI406" s="66"/>
      <c r="AJ406" s="66"/>
      <c r="AK406" s="66"/>
      <c r="AL406" s="66"/>
      <c r="AM406" s="66"/>
      <c r="AN406" s="66"/>
      <c r="AO406" s="66"/>
      <c r="AP406" s="66"/>
      <c r="AQ406" s="66"/>
      <c r="AR406" s="66"/>
      <c r="AS406" s="66"/>
      <c r="AT406" s="66"/>
      <c r="AU406" s="66"/>
      <c r="AV406" s="66"/>
      <c r="AW406" s="66"/>
      <c r="AX406" s="66"/>
      <c r="AY406" s="66"/>
      <c r="AZ406" s="66"/>
      <c r="BA406" s="66"/>
      <c r="BB406" s="66"/>
      <c r="BC406" s="66"/>
    </row>
    <row r="407" ht="14.2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  <c r="AE407" s="66"/>
      <c r="AF407" s="66"/>
      <c r="AG407" s="66"/>
      <c r="AH407" s="66"/>
      <c r="AI407" s="66"/>
      <c r="AJ407" s="66"/>
      <c r="AK407" s="66"/>
      <c r="AL407" s="66"/>
      <c r="AM407" s="66"/>
      <c r="AN407" s="66"/>
      <c r="AO407" s="66"/>
      <c r="AP407" s="66"/>
      <c r="AQ407" s="66"/>
      <c r="AR407" s="66"/>
      <c r="AS407" s="66"/>
      <c r="AT407" s="66"/>
      <c r="AU407" s="66"/>
      <c r="AV407" s="66"/>
      <c r="AW407" s="66"/>
      <c r="AX407" s="66"/>
      <c r="AY407" s="66"/>
      <c r="AZ407" s="66"/>
      <c r="BA407" s="66"/>
      <c r="BB407" s="66"/>
      <c r="BC407" s="66"/>
    </row>
    <row r="408" ht="14.2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  <c r="AE408" s="66"/>
      <c r="AF408" s="66"/>
      <c r="AG408" s="66"/>
      <c r="AH408" s="66"/>
      <c r="AI408" s="66"/>
      <c r="AJ408" s="66"/>
      <c r="AK408" s="66"/>
      <c r="AL408" s="66"/>
      <c r="AM408" s="66"/>
      <c r="AN408" s="66"/>
      <c r="AO408" s="66"/>
      <c r="AP408" s="66"/>
      <c r="AQ408" s="66"/>
      <c r="AR408" s="66"/>
      <c r="AS408" s="66"/>
      <c r="AT408" s="66"/>
      <c r="AU408" s="66"/>
      <c r="AV408" s="66"/>
      <c r="AW408" s="66"/>
      <c r="AX408" s="66"/>
      <c r="AY408" s="66"/>
      <c r="AZ408" s="66"/>
      <c r="BA408" s="66"/>
      <c r="BB408" s="66"/>
      <c r="BC408" s="66"/>
    </row>
    <row r="409" ht="14.2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  <c r="AE409" s="66"/>
      <c r="AF409" s="66"/>
      <c r="AG409" s="66"/>
      <c r="AH409" s="66"/>
      <c r="AI409" s="66"/>
      <c r="AJ409" s="66"/>
      <c r="AK409" s="66"/>
      <c r="AL409" s="66"/>
      <c r="AM409" s="66"/>
      <c r="AN409" s="66"/>
      <c r="AO409" s="66"/>
      <c r="AP409" s="66"/>
      <c r="AQ409" s="66"/>
      <c r="AR409" s="66"/>
      <c r="AS409" s="66"/>
      <c r="AT409" s="66"/>
      <c r="AU409" s="66"/>
      <c r="AV409" s="66"/>
      <c r="AW409" s="66"/>
      <c r="AX409" s="66"/>
      <c r="AY409" s="66"/>
      <c r="AZ409" s="66"/>
      <c r="BA409" s="66"/>
      <c r="BB409" s="66"/>
      <c r="BC409" s="66"/>
    </row>
    <row r="410" ht="14.2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  <c r="AE410" s="66"/>
      <c r="AF410" s="66"/>
      <c r="AG410" s="66"/>
      <c r="AH410" s="66"/>
      <c r="AI410" s="66"/>
      <c r="AJ410" s="66"/>
      <c r="AK410" s="66"/>
      <c r="AL410" s="66"/>
      <c r="AM410" s="66"/>
      <c r="AN410" s="66"/>
      <c r="AO410" s="66"/>
      <c r="AP410" s="66"/>
      <c r="AQ410" s="66"/>
      <c r="AR410" s="66"/>
      <c r="AS410" s="66"/>
      <c r="AT410" s="66"/>
      <c r="AU410" s="66"/>
      <c r="AV410" s="66"/>
      <c r="AW410" s="66"/>
      <c r="AX410" s="66"/>
      <c r="AY410" s="66"/>
      <c r="AZ410" s="66"/>
      <c r="BA410" s="66"/>
      <c r="BB410" s="66"/>
      <c r="BC410" s="66"/>
    </row>
    <row r="411" ht="14.2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  <c r="AE411" s="66"/>
      <c r="AF411" s="66"/>
      <c r="AG411" s="66"/>
      <c r="AH411" s="66"/>
      <c r="AI411" s="66"/>
      <c r="AJ411" s="66"/>
      <c r="AK411" s="66"/>
      <c r="AL411" s="66"/>
      <c r="AM411" s="66"/>
      <c r="AN411" s="66"/>
      <c r="AO411" s="66"/>
      <c r="AP411" s="66"/>
      <c r="AQ411" s="66"/>
      <c r="AR411" s="66"/>
      <c r="AS411" s="66"/>
      <c r="AT411" s="66"/>
      <c r="AU411" s="66"/>
      <c r="AV411" s="66"/>
      <c r="AW411" s="66"/>
      <c r="AX411" s="66"/>
      <c r="AY411" s="66"/>
      <c r="AZ411" s="66"/>
      <c r="BA411" s="66"/>
      <c r="BB411" s="66"/>
      <c r="BC411" s="66"/>
    </row>
    <row r="412" ht="14.2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  <c r="AE412" s="66"/>
      <c r="AF412" s="66"/>
      <c r="AG412" s="66"/>
      <c r="AH412" s="66"/>
      <c r="AI412" s="66"/>
      <c r="AJ412" s="66"/>
      <c r="AK412" s="66"/>
      <c r="AL412" s="66"/>
      <c r="AM412" s="66"/>
      <c r="AN412" s="66"/>
      <c r="AO412" s="66"/>
      <c r="AP412" s="66"/>
      <c r="AQ412" s="66"/>
      <c r="AR412" s="66"/>
      <c r="AS412" s="66"/>
      <c r="AT412" s="66"/>
      <c r="AU412" s="66"/>
      <c r="AV412" s="66"/>
      <c r="AW412" s="66"/>
      <c r="AX412" s="66"/>
      <c r="AY412" s="66"/>
      <c r="AZ412" s="66"/>
      <c r="BA412" s="66"/>
      <c r="BB412" s="66"/>
      <c r="BC412" s="66"/>
    </row>
    <row r="413" ht="14.2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  <c r="AE413" s="66"/>
      <c r="AF413" s="66"/>
      <c r="AG413" s="66"/>
      <c r="AH413" s="66"/>
      <c r="AI413" s="66"/>
      <c r="AJ413" s="66"/>
      <c r="AK413" s="66"/>
      <c r="AL413" s="66"/>
      <c r="AM413" s="66"/>
      <c r="AN413" s="66"/>
      <c r="AO413" s="66"/>
      <c r="AP413" s="66"/>
      <c r="AQ413" s="66"/>
      <c r="AR413" s="66"/>
      <c r="AS413" s="66"/>
      <c r="AT413" s="66"/>
      <c r="AU413" s="66"/>
      <c r="AV413" s="66"/>
      <c r="AW413" s="66"/>
      <c r="AX413" s="66"/>
      <c r="AY413" s="66"/>
      <c r="AZ413" s="66"/>
      <c r="BA413" s="66"/>
      <c r="BB413" s="66"/>
      <c r="BC413" s="66"/>
    </row>
    <row r="414" ht="14.2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  <c r="AE414" s="66"/>
      <c r="AF414" s="66"/>
      <c r="AG414" s="66"/>
      <c r="AH414" s="66"/>
      <c r="AI414" s="66"/>
      <c r="AJ414" s="66"/>
      <c r="AK414" s="66"/>
      <c r="AL414" s="66"/>
      <c r="AM414" s="66"/>
      <c r="AN414" s="66"/>
      <c r="AO414" s="66"/>
      <c r="AP414" s="66"/>
      <c r="AQ414" s="66"/>
      <c r="AR414" s="66"/>
      <c r="AS414" s="66"/>
      <c r="AT414" s="66"/>
      <c r="AU414" s="66"/>
      <c r="AV414" s="66"/>
      <c r="AW414" s="66"/>
      <c r="AX414" s="66"/>
      <c r="AY414" s="66"/>
      <c r="AZ414" s="66"/>
      <c r="BA414" s="66"/>
      <c r="BB414" s="66"/>
      <c r="BC414" s="66"/>
    </row>
    <row r="415" ht="14.2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66"/>
      <c r="AI415" s="66"/>
      <c r="AJ415" s="66"/>
      <c r="AK415" s="66"/>
      <c r="AL415" s="66"/>
      <c r="AM415" s="66"/>
      <c r="AN415" s="66"/>
      <c r="AO415" s="66"/>
      <c r="AP415" s="66"/>
      <c r="AQ415" s="66"/>
      <c r="AR415" s="66"/>
      <c r="AS415" s="66"/>
      <c r="AT415" s="66"/>
      <c r="AU415" s="66"/>
      <c r="AV415" s="66"/>
      <c r="AW415" s="66"/>
      <c r="AX415" s="66"/>
      <c r="AY415" s="66"/>
      <c r="AZ415" s="66"/>
      <c r="BA415" s="66"/>
      <c r="BB415" s="66"/>
      <c r="BC415" s="66"/>
    </row>
    <row r="416" ht="14.2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66"/>
      <c r="AI416" s="66"/>
      <c r="AJ416" s="66"/>
      <c r="AK416" s="66"/>
      <c r="AL416" s="66"/>
      <c r="AM416" s="66"/>
      <c r="AN416" s="66"/>
      <c r="AO416" s="66"/>
      <c r="AP416" s="66"/>
      <c r="AQ416" s="66"/>
      <c r="AR416" s="66"/>
      <c r="AS416" s="66"/>
      <c r="AT416" s="66"/>
      <c r="AU416" s="66"/>
      <c r="AV416" s="66"/>
      <c r="AW416" s="66"/>
      <c r="AX416" s="66"/>
      <c r="AY416" s="66"/>
      <c r="AZ416" s="66"/>
      <c r="BA416" s="66"/>
      <c r="BB416" s="66"/>
      <c r="BC416" s="66"/>
    </row>
    <row r="417" ht="14.2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66"/>
      <c r="AI417" s="66"/>
      <c r="AJ417" s="66"/>
      <c r="AK417" s="66"/>
      <c r="AL417" s="66"/>
      <c r="AM417" s="66"/>
      <c r="AN417" s="66"/>
      <c r="AO417" s="66"/>
      <c r="AP417" s="66"/>
      <c r="AQ417" s="66"/>
      <c r="AR417" s="66"/>
      <c r="AS417" s="66"/>
      <c r="AT417" s="66"/>
      <c r="AU417" s="66"/>
      <c r="AV417" s="66"/>
      <c r="AW417" s="66"/>
      <c r="AX417" s="66"/>
      <c r="AY417" s="66"/>
      <c r="AZ417" s="66"/>
      <c r="BA417" s="66"/>
      <c r="BB417" s="66"/>
      <c r="BC417" s="66"/>
    </row>
    <row r="418" ht="14.2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  <c r="AE418" s="66"/>
      <c r="AF418" s="66"/>
      <c r="AG418" s="66"/>
      <c r="AH418" s="66"/>
      <c r="AI418" s="66"/>
      <c r="AJ418" s="66"/>
      <c r="AK418" s="66"/>
      <c r="AL418" s="66"/>
      <c r="AM418" s="66"/>
      <c r="AN418" s="66"/>
      <c r="AO418" s="66"/>
      <c r="AP418" s="66"/>
      <c r="AQ418" s="66"/>
      <c r="AR418" s="66"/>
      <c r="AS418" s="66"/>
      <c r="AT418" s="66"/>
      <c r="AU418" s="66"/>
      <c r="AV418" s="66"/>
      <c r="AW418" s="66"/>
      <c r="AX418" s="66"/>
      <c r="AY418" s="66"/>
      <c r="AZ418" s="66"/>
      <c r="BA418" s="66"/>
      <c r="BB418" s="66"/>
      <c r="BC418" s="66"/>
    </row>
    <row r="419" ht="14.2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  <c r="AE419" s="66"/>
      <c r="AF419" s="66"/>
      <c r="AG419" s="66"/>
      <c r="AH419" s="66"/>
      <c r="AI419" s="66"/>
      <c r="AJ419" s="66"/>
      <c r="AK419" s="66"/>
      <c r="AL419" s="66"/>
      <c r="AM419" s="66"/>
      <c r="AN419" s="66"/>
      <c r="AO419" s="66"/>
      <c r="AP419" s="66"/>
      <c r="AQ419" s="66"/>
      <c r="AR419" s="66"/>
      <c r="AS419" s="66"/>
      <c r="AT419" s="66"/>
      <c r="AU419" s="66"/>
      <c r="AV419" s="66"/>
      <c r="AW419" s="66"/>
      <c r="AX419" s="66"/>
      <c r="AY419" s="66"/>
      <c r="AZ419" s="66"/>
      <c r="BA419" s="66"/>
      <c r="BB419" s="66"/>
      <c r="BC419" s="66"/>
    </row>
    <row r="420" ht="14.2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  <c r="AE420" s="66"/>
      <c r="AF420" s="66"/>
      <c r="AG420" s="66"/>
      <c r="AH420" s="66"/>
      <c r="AI420" s="66"/>
      <c r="AJ420" s="66"/>
      <c r="AK420" s="66"/>
      <c r="AL420" s="66"/>
      <c r="AM420" s="66"/>
      <c r="AN420" s="66"/>
      <c r="AO420" s="66"/>
      <c r="AP420" s="66"/>
      <c r="AQ420" s="66"/>
      <c r="AR420" s="66"/>
      <c r="AS420" s="66"/>
      <c r="AT420" s="66"/>
      <c r="AU420" s="66"/>
      <c r="AV420" s="66"/>
      <c r="AW420" s="66"/>
      <c r="AX420" s="66"/>
      <c r="AY420" s="66"/>
      <c r="AZ420" s="66"/>
      <c r="BA420" s="66"/>
      <c r="BB420" s="66"/>
      <c r="BC420" s="66"/>
    </row>
    <row r="421" ht="14.2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  <c r="AE421" s="66"/>
      <c r="AF421" s="66"/>
      <c r="AG421" s="66"/>
      <c r="AH421" s="66"/>
      <c r="AI421" s="66"/>
      <c r="AJ421" s="66"/>
      <c r="AK421" s="66"/>
      <c r="AL421" s="66"/>
      <c r="AM421" s="66"/>
      <c r="AN421" s="66"/>
      <c r="AO421" s="66"/>
      <c r="AP421" s="66"/>
      <c r="AQ421" s="66"/>
      <c r="AR421" s="66"/>
      <c r="AS421" s="66"/>
      <c r="AT421" s="66"/>
      <c r="AU421" s="66"/>
      <c r="AV421" s="66"/>
      <c r="AW421" s="66"/>
      <c r="AX421" s="66"/>
      <c r="AY421" s="66"/>
      <c r="AZ421" s="66"/>
      <c r="BA421" s="66"/>
      <c r="BB421" s="66"/>
      <c r="BC421" s="66"/>
    </row>
    <row r="422" ht="14.2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  <c r="AE422" s="66"/>
      <c r="AF422" s="66"/>
      <c r="AG422" s="66"/>
      <c r="AH422" s="66"/>
      <c r="AI422" s="66"/>
      <c r="AJ422" s="66"/>
      <c r="AK422" s="66"/>
      <c r="AL422" s="66"/>
      <c r="AM422" s="66"/>
      <c r="AN422" s="66"/>
      <c r="AO422" s="66"/>
      <c r="AP422" s="66"/>
      <c r="AQ422" s="66"/>
      <c r="AR422" s="66"/>
      <c r="AS422" s="66"/>
      <c r="AT422" s="66"/>
      <c r="AU422" s="66"/>
      <c r="AV422" s="66"/>
      <c r="AW422" s="66"/>
      <c r="AX422" s="66"/>
      <c r="AY422" s="66"/>
      <c r="AZ422" s="66"/>
      <c r="BA422" s="66"/>
      <c r="BB422" s="66"/>
      <c r="BC422" s="66"/>
    </row>
    <row r="423" ht="14.2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  <c r="AE423" s="66"/>
      <c r="AF423" s="66"/>
      <c r="AG423" s="66"/>
      <c r="AH423" s="66"/>
      <c r="AI423" s="66"/>
      <c r="AJ423" s="66"/>
      <c r="AK423" s="66"/>
      <c r="AL423" s="66"/>
      <c r="AM423" s="66"/>
      <c r="AN423" s="66"/>
      <c r="AO423" s="66"/>
      <c r="AP423" s="66"/>
      <c r="AQ423" s="66"/>
      <c r="AR423" s="66"/>
      <c r="AS423" s="66"/>
      <c r="AT423" s="66"/>
      <c r="AU423" s="66"/>
      <c r="AV423" s="66"/>
      <c r="AW423" s="66"/>
      <c r="AX423" s="66"/>
      <c r="AY423" s="66"/>
      <c r="AZ423" s="66"/>
      <c r="BA423" s="66"/>
      <c r="BB423" s="66"/>
      <c r="BC423" s="66"/>
    </row>
    <row r="424" ht="14.2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  <c r="AE424" s="66"/>
      <c r="AF424" s="66"/>
      <c r="AG424" s="66"/>
      <c r="AH424" s="66"/>
      <c r="AI424" s="66"/>
      <c r="AJ424" s="66"/>
      <c r="AK424" s="66"/>
      <c r="AL424" s="66"/>
      <c r="AM424" s="66"/>
      <c r="AN424" s="66"/>
      <c r="AO424" s="66"/>
      <c r="AP424" s="66"/>
      <c r="AQ424" s="66"/>
      <c r="AR424" s="66"/>
      <c r="AS424" s="66"/>
      <c r="AT424" s="66"/>
      <c r="AU424" s="66"/>
      <c r="AV424" s="66"/>
      <c r="AW424" s="66"/>
      <c r="AX424" s="66"/>
      <c r="AY424" s="66"/>
      <c r="AZ424" s="66"/>
      <c r="BA424" s="66"/>
      <c r="BB424" s="66"/>
      <c r="BC424" s="66"/>
    </row>
    <row r="425" ht="14.2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  <c r="AE425" s="66"/>
      <c r="AF425" s="66"/>
      <c r="AG425" s="66"/>
      <c r="AH425" s="66"/>
      <c r="AI425" s="66"/>
      <c r="AJ425" s="66"/>
      <c r="AK425" s="66"/>
      <c r="AL425" s="66"/>
      <c r="AM425" s="66"/>
      <c r="AN425" s="66"/>
      <c r="AO425" s="66"/>
      <c r="AP425" s="66"/>
      <c r="AQ425" s="66"/>
      <c r="AR425" s="66"/>
      <c r="AS425" s="66"/>
      <c r="AT425" s="66"/>
      <c r="AU425" s="66"/>
      <c r="AV425" s="66"/>
      <c r="AW425" s="66"/>
      <c r="AX425" s="66"/>
      <c r="AY425" s="66"/>
      <c r="AZ425" s="66"/>
      <c r="BA425" s="66"/>
      <c r="BB425" s="66"/>
      <c r="BC425" s="66"/>
    </row>
    <row r="426" ht="14.2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  <c r="AE426" s="66"/>
      <c r="AF426" s="66"/>
      <c r="AG426" s="66"/>
      <c r="AH426" s="66"/>
      <c r="AI426" s="66"/>
      <c r="AJ426" s="66"/>
      <c r="AK426" s="66"/>
      <c r="AL426" s="66"/>
      <c r="AM426" s="66"/>
      <c r="AN426" s="66"/>
      <c r="AO426" s="66"/>
      <c r="AP426" s="66"/>
      <c r="AQ426" s="66"/>
      <c r="AR426" s="66"/>
      <c r="AS426" s="66"/>
      <c r="AT426" s="66"/>
      <c r="AU426" s="66"/>
      <c r="AV426" s="66"/>
      <c r="AW426" s="66"/>
      <c r="AX426" s="66"/>
      <c r="AY426" s="66"/>
      <c r="AZ426" s="66"/>
      <c r="BA426" s="66"/>
      <c r="BB426" s="66"/>
      <c r="BC426" s="66"/>
    </row>
    <row r="427" ht="14.2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  <c r="AE427" s="66"/>
      <c r="AF427" s="66"/>
      <c r="AG427" s="66"/>
      <c r="AH427" s="66"/>
      <c r="AI427" s="66"/>
      <c r="AJ427" s="66"/>
      <c r="AK427" s="66"/>
      <c r="AL427" s="66"/>
      <c r="AM427" s="66"/>
      <c r="AN427" s="66"/>
      <c r="AO427" s="66"/>
      <c r="AP427" s="66"/>
      <c r="AQ427" s="66"/>
      <c r="AR427" s="66"/>
      <c r="AS427" s="66"/>
      <c r="AT427" s="66"/>
      <c r="AU427" s="66"/>
      <c r="AV427" s="66"/>
      <c r="AW427" s="66"/>
      <c r="AX427" s="66"/>
      <c r="AY427" s="66"/>
      <c r="AZ427" s="66"/>
      <c r="BA427" s="66"/>
      <c r="BB427" s="66"/>
      <c r="BC427" s="66"/>
    </row>
    <row r="428" ht="14.2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  <c r="AE428" s="66"/>
      <c r="AF428" s="66"/>
      <c r="AG428" s="66"/>
      <c r="AH428" s="66"/>
      <c r="AI428" s="66"/>
      <c r="AJ428" s="66"/>
      <c r="AK428" s="66"/>
      <c r="AL428" s="66"/>
      <c r="AM428" s="66"/>
      <c r="AN428" s="66"/>
      <c r="AO428" s="66"/>
      <c r="AP428" s="66"/>
      <c r="AQ428" s="66"/>
      <c r="AR428" s="66"/>
      <c r="AS428" s="66"/>
      <c r="AT428" s="66"/>
      <c r="AU428" s="66"/>
      <c r="AV428" s="66"/>
      <c r="AW428" s="66"/>
      <c r="AX428" s="66"/>
      <c r="AY428" s="66"/>
      <c r="AZ428" s="66"/>
      <c r="BA428" s="66"/>
      <c r="BB428" s="66"/>
      <c r="BC428" s="66"/>
    </row>
    <row r="429" ht="14.2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  <c r="AE429" s="66"/>
      <c r="AF429" s="66"/>
      <c r="AG429" s="66"/>
      <c r="AH429" s="66"/>
      <c r="AI429" s="66"/>
      <c r="AJ429" s="66"/>
      <c r="AK429" s="66"/>
      <c r="AL429" s="66"/>
      <c r="AM429" s="66"/>
      <c r="AN429" s="66"/>
      <c r="AO429" s="66"/>
      <c r="AP429" s="66"/>
      <c r="AQ429" s="66"/>
      <c r="AR429" s="66"/>
      <c r="AS429" s="66"/>
      <c r="AT429" s="66"/>
      <c r="AU429" s="66"/>
      <c r="AV429" s="66"/>
      <c r="AW429" s="66"/>
      <c r="AX429" s="66"/>
      <c r="AY429" s="66"/>
      <c r="AZ429" s="66"/>
      <c r="BA429" s="66"/>
      <c r="BB429" s="66"/>
      <c r="BC429" s="66"/>
    </row>
    <row r="430" ht="14.2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  <c r="AE430" s="66"/>
      <c r="AF430" s="66"/>
      <c r="AG430" s="66"/>
      <c r="AH430" s="66"/>
      <c r="AI430" s="66"/>
      <c r="AJ430" s="66"/>
      <c r="AK430" s="66"/>
      <c r="AL430" s="66"/>
      <c r="AM430" s="66"/>
      <c r="AN430" s="66"/>
      <c r="AO430" s="66"/>
      <c r="AP430" s="66"/>
      <c r="AQ430" s="66"/>
      <c r="AR430" s="66"/>
      <c r="AS430" s="66"/>
      <c r="AT430" s="66"/>
      <c r="AU430" s="66"/>
      <c r="AV430" s="66"/>
      <c r="AW430" s="66"/>
      <c r="AX430" s="66"/>
      <c r="AY430" s="66"/>
      <c r="AZ430" s="66"/>
      <c r="BA430" s="66"/>
      <c r="BB430" s="66"/>
      <c r="BC430" s="66"/>
    </row>
    <row r="431" ht="14.2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  <c r="AE431" s="66"/>
      <c r="AF431" s="66"/>
      <c r="AG431" s="66"/>
      <c r="AH431" s="66"/>
      <c r="AI431" s="66"/>
      <c r="AJ431" s="66"/>
      <c r="AK431" s="66"/>
      <c r="AL431" s="66"/>
      <c r="AM431" s="66"/>
      <c r="AN431" s="66"/>
      <c r="AO431" s="66"/>
      <c r="AP431" s="66"/>
      <c r="AQ431" s="66"/>
      <c r="AR431" s="66"/>
      <c r="AS431" s="66"/>
      <c r="AT431" s="66"/>
      <c r="AU431" s="66"/>
      <c r="AV431" s="66"/>
      <c r="AW431" s="66"/>
      <c r="AX431" s="66"/>
      <c r="AY431" s="66"/>
      <c r="AZ431" s="66"/>
      <c r="BA431" s="66"/>
      <c r="BB431" s="66"/>
      <c r="BC431" s="66"/>
    </row>
    <row r="432" ht="14.2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  <c r="AE432" s="66"/>
      <c r="AF432" s="66"/>
      <c r="AG432" s="66"/>
      <c r="AH432" s="66"/>
      <c r="AI432" s="66"/>
      <c r="AJ432" s="66"/>
      <c r="AK432" s="66"/>
      <c r="AL432" s="66"/>
      <c r="AM432" s="66"/>
      <c r="AN432" s="66"/>
      <c r="AO432" s="66"/>
      <c r="AP432" s="66"/>
      <c r="AQ432" s="66"/>
      <c r="AR432" s="66"/>
      <c r="AS432" s="66"/>
      <c r="AT432" s="66"/>
      <c r="AU432" s="66"/>
      <c r="AV432" s="66"/>
      <c r="AW432" s="66"/>
      <c r="AX432" s="66"/>
      <c r="AY432" s="66"/>
      <c r="AZ432" s="66"/>
      <c r="BA432" s="66"/>
      <c r="BB432" s="66"/>
      <c r="BC432" s="66"/>
    </row>
    <row r="433" ht="14.2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  <c r="AE433" s="66"/>
      <c r="AF433" s="66"/>
      <c r="AG433" s="66"/>
      <c r="AH433" s="66"/>
      <c r="AI433" s="66"/>
      <c r="AJ433" s="66"/>
      <c r="AK433" s="66"/>
      <c r="AL433" s="66"/>
      <c r="AM433" s="66"/>
      <c r="AN433" s="66"/>
      <c r="AO433" s="66"/>
      <c r="AP433" s="66"/>
      <c r="AQ433" s="66"/>
      <c r="AR433" s="66"/>
      <c r="AS433" s="66"/>
      <c r="AT433" s="66"/>
      <c r="AU433" s="66"/>
      <c r="AV433" s="66"/>
      <c r="AW433" s="66"/>
      <c r="AX433" s="66"/>
      <c r="AY433" s="66"/>
      <c r="AZ433" s="66"/>
      <c r="BA433" s="66"/>
      <c r="BB433" s="66"/>
      <c r="BC433" s="66"/>
    </row>
    <row r="434" ht="14.2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  <c r="AE434" s="66"/>
      <c r="AF434" s="66"/>
      <c r="AG434" s="66"/>
      <c r="AH434" s="66"/>
      <c r="AI434" s="66"/>
      <c r="AJ434" s="66"/>
      <c r="AK434" s="66"/>
      <c r="AL434" s="66"/>
      <c r="AM434" s="66"/>
      <c r="AN434" s="66"/>
      <c r="AO434" s="66"/>
      <c r="AP434" s="66"/>
      <c r="AQ434" s="66"/>
      <c r="AR434" s="66"/>
      <c r="AS434" s="66"/>
      <c r="AT434" s="66"/>
      <c r="AU434" s="66"/>
      <c r="AV434" s="66"/>
      <c r="AW434" s="66"/>
      <c r="AX434" s="66"/>
      <c r="AY434" s="66"/>
      <c r="AZ434" s="66"/>
      <c r="BA434" s="66"/>
      <c r="BB434" s="66"/>
      <c r="BC434" s="66"/>
    </row>
    <row r="435" ht="14.2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  <c r="AE435" s="66"/>
      <c r="AF435" s="66"/>
      <c r="AG435" s="66"/>
      <c r="AH435" s="66"/>
      <c r="AI435" s="66"/>
      <c r="AJ435" s="66"/>
      <c r="AK435" s="66"/>
      <c r="AL435" s="66"/>
      <c r="AM435" s="66"/>
      <c r="AN435" s="66"/>
      <c r="AO435" s="66"/>
      <c r="AP435" s="66"/>
      <c r="AQ435" s="66"/>
      <c r="AR435" s="66"/>
      <c r="AS435" s="66"/>
      <c r="AT435" s="66"/>
      <c r="AU435" s="66"/>
      <c r="AV435" s="66"/>
      <c r="AW435" s="66"/>
      <c r="AX435" s="66"/>
      <c r="AY435" s="66"/>
      <c r="AZ435" s="66"/>
      <c r="BA435" s="66"/>
      <c r="BB435" s="66"/>
      <c r="BC435" s="66"/>
    </row>
    <row r="436" ht="14.2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  <c r="AF436" s="66"/>
      <c r="AG436" s="66"/>
      <c r="AH436" s="66"/>
      <c r="AI436" s="66"/>
      <c r="AJ436" s="66"/>
      <c r="AK436" s="66"/>
      <c r="AL436" s="66"/>
      <c r="AM436" s="66"/>
      <c r="AN436" s="66"/>
      <c r="AO436" s="66"/>
      <c r="AP436" s="66"/>
      <c r="AQ436" s="66"/>
      <c r="AR436" s="66"/>
      <c r="AS436" s="66"/>
      <c r="AT436" s="66"/>
      <c r="AU436" s="66"/>
      <c r="AV436" s="66"/>
      <c r="AW436" s="66"/>
      <c r="AX436" s="66"/>
      <c r="AY436" s="66"/>
      <c r="AZ436" s="66"/>
      <c r="BA436" s="66"/>
      <c r="BB436" s="66"/>
      <c r="BC436" s="66"/>
    </row>
    <row r="437" ht="14.2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  <c r="AF437" s="66"/>
      <c r="AG437" s="66"/>
      <c r="AH437" s="66"/>
      <c r="AI437" s="66"/>
      <c r="AJ437" s="66"/>
      <c r="AK437" s="66"/>
      <c r="AL437" s="66"/>
      <c r="AM437" s="66"/>
      <c r="AN437" s="66"/>
      <c r="AO437" s="66"/>
      <c r="AP437" s="66"/>
      <c r="AQ437" s="66"/>
      <c r="AR437" s="66"/>
      <c r="AS437" s="66"/>
      <c r="AT437" s="66"/>
      <c r="AU437" s="66"/>
      <c r="AV437" s="66"/>
      <c r="AW437" s="66"/>
      <c r="AX437" s="66"/>
      <c r="AY437" s="66"/>
      <c r="AZ437" s="66"/>
      <c r="BA437" s="66"/>
      <c r="BB437" s="66"/>
      <c r="BC437" s="66"/>
    </row>
    <row r="438" ht="14.2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  <c r="AF438" s="66"/>
      <c r="AG438" s="66"/>
      <c r="AH438" s="66"/>
      <c r="AI438" s="66"/>
      <c r="AJ438" s="66"/>
      <c r="AK438" s="66"/>
      <c r="AL438" s="66"/>
      <c r="AM438" s="66"/>
      <c r="AN438" s="66"/>
      <c r="AO438" s="66"/>
      <c r="AP438" s="66"/>
      <c r="AQ438" s="66"/>
      <c r="AR438" s="66"/>
      <c r="AS438" s="66"/>
      <c r="AT438" s="66"/>
      <c r="AU438" s="66"/>
      <c r="AV438" s="66"/>
      <c r="AW438" s="66"/>
      <c r="AX438" s="66"/>
      <c r="AY438" s="66"/>
      <c r="AZ438" s="66"/>
      <c r="BA438" s="66"/>
      <c r="BB438" s="66"/>
      <c r="BC438" s="66"/>
    </row>
    <row r="439" ht="14.2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  <c r="AE439" s="66"/>
      <c r="AF439" s="66"/>
      <c r="AG439" s="66"/>
      <c r="AH439" s="66"/>
      <c r="AI439" s="66"/>
      <c r="AJ439" s="66"/>
      <c r="AK439" s="66"/>
      <c r="AL439" s="66"/>
      <c r="AM439" s="66"/>
      <c r="AN439" s="66"/>
      <c r="AO439" s="66"/>
      <c r="AP439" s="66"/>
      <c r="AQ439" s="66"/>
      <c r="AR439" s="66"/>
      <c r="AS439" s="66"/>
      <c r="AT439" s="66"/>
      <c r="AU439" s="66"/>
      <c r="AV439" s="66"/>
      <c r="AW439" s="66"/>
      <c r="AX439" s="66"/>
      <c r="AY439" s="66"/>
      <c r="AZ439" s="66"/>
      <c r="BA439" s="66"/>
      <c r="BB439" s="66"/>
      <c r="BC439" s="66"/>
    </row>
    <row r="440" ht="14.2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  <c r="AE440" s="66"/>
      <c r="AF440" s="66"/>
      <c r="AG440" s="66"/>
      <c r="AH440" s="66"/>
      <c r="AI440" s="66"/>
      <c r="AJ440" s="66"/>
      <c r="AK440" s="66"/>
      <c r="AL440" s="66"/>
      <c r="AM440" s="66"/>
      <c r="AN440" s="66"/>
      <c r="AO440" s="66"/>
      <c r="AP440" s="66"/>
      <c r="AQ440" s="66"/>
      <c r="AR440" s="66"/>
      <c r="AS440" s="66"/>
      <c r="AT440" s="66"/>
      <c r="AU440" s="66"/>
      <c r="AV440" s="66"/>
      <c r="AW440" s="66"/>
      <c r="AX440" s="66"/>
      <c r="AY440" s="66"/>
      <c r="AZ440" s="66"/>
      <c r="BA440" s="66"/>
      <c r="BB440" s="66"/>
      <c r="BC440" s="66"/>
    </row>
    <row r="441" ht="14.2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  <c r="AE441" s="66"/>
      <c r="AF441" s="66"/>
      <c r="AG441" s="66"/>
      <c r="AH441" s="66"/>
      <c r="AI441" s="66"/>
      <c r="AJ441" s="66"/>
      <c r="AK441" s="66"/>
      <c r="AL441" s="66"/>
      <c r="AM441" s="66"/>
      <c r="AN441" s="66"/>
      <c r="AO441" s="66"/>
      <c r="AP441" s="66"/>
      <c r="AQ441" s="66"/>
      <c r="AR441" s="66"/>
      <c r="AS441" s="66"/>
      <c r="AT441" s="66"/>
      <c r="AU441" s="66"/>
      <c r="AV441" s="66"/>
      <c r="AW441" s="66"/>
      <c r="AX441" s="66"/>
      <c r="AY441" s="66"/>
      <c r="AZ441" s="66"/>
      <c r="BA441" s="66"/>
      <c r="BB441" s="66"/>
      <c r="BC441" s="66"/>
    </row>
    <row r="442" ht="14.2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  <c r="AE442" s="66"/>
      <c r="AF442" s="66"/>
      <c r="AG442" s="66"/>
      <c r="AH442" s="66"/>
      <c r="AI442" s="66"/>
      <c r="AJ442" s="66"/>
      <c r="AK442" s="66"/>
      <c r="AL442" s="66"/>
      <c r="AM442" s="66"/>
      <c r="AN442" s="66"/>
      <c r="AO442" s="66"/>
      <c r="AP442" s="66"/>
      <c r="AQ442" s="66"/>
      <c r="AR442" s="66"/>
      <c r="AS442" s="66"/>
      <c r="AT442" s="66"/>
      <c r="AU442" s="66"/>
      <c r="AV442" s="66"/>
      <c r="AW442" s="66"/>
      <c r="AX442" s="66"/>
      <c r="AY442" s="66"/>
      <c r="AZ442" s="66"/>
      <c r="BA442" s="66"/>
      <c r="BB442" s="66"/>
      <c r="BC442" s="66"/>
    </row>
    <row r="443" ht="14.2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  <c r="AE443" s="66"/>
      <c r="AF443" s="66"/>
      <c r="AG443" s="66"/>
      <c r="AH443" s="66"/>
      <c r="AI443" s="66"/>
      <c r="AJ443" s="66"/>
      <c r="AK443" s="66"/>
      <c r="AL443" s="66"/>
      <c r="AM443" s="66"/>
      <c r="AN443" s="66"/>
      <c r="AO443" s="66"/>
      <c r="AP443" s="66"/>
      <c r="AQ443" s="66"/>
      <c r="AR443" s="66"/>
      <c r="AS443" s="66"/>
      <c r="AT443" s="66"/>
      <c r="AU443" s="66"/>
      <c r="AV443" s="66"/>
      <c r="AW443" s="66"/>
      <c r="AX443" s="66"/>
      <c r="AY443" s="66"/>
      <c r="AZ443" s="66"/>
      <c r="BA443" s="66"/>
      <c r="BB443" s="66"/>
      <c r="BC443" s="66"/>
    </row>
    <row r="444" ht="14.2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  <c r="AE444" s="66"/>
      <c r="AF444" s="66"/>
      <c r="AG444" s="66"/>
      <c r="AH444" s="66"/>
      <c r="AI444" s="66"/>
      <c r="AJ444" s="66"/>
      <c r="AK444" s="66"/>
      <c r="AL444" s="66"/>
      <c r="AM444" s="66"/>
      <c r="AN444" s="66"/>
      <c r="AO444" s="66"/>
      <c r="AP444" s="66"/>
      <c r="AQ444" s="66"/>
      <c r="AR444" s="66"/>
      <c r="AS444" s="66"/>
      <c r="AT444" s="66"/>
      <c r="AU444" s="66"/>
      <c r="AV444" s="66"/>
      <c r="AW444" s="66"/>
      <c r="AX444" s="66"/>
      <c r="AY444" s="66"/>
      <c r="AZ444" s="66"/>
      <c r="BA444" s="66"/>
      <c r="BB444" s="66"/>
      <c r="BC444" s="66"/>
    </row>
    <row r="445" ht="14.2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  <c r="AE445" s="66"/>
      <c r="AF445" s="66"/>
      <c r="AG445" s="66"/>
      <c r="AH445" s="66"/>
      <c r="AI445" s="66"/>
      <c r="AJ445" s="66"/>
      <c r="AK445" s="66"/>
      <c r="AL445" s="66"/>
      <c r="AM445" s="66"/>
      <c r="AN445" s="66"/>
      <c r="AO445" s="66"/>
      <c r="AP445" s="66"/>
      <c r="AQ445" s="66"/>
      <c r="AR445" s="66"/>
      <c r="AS445" s="66"/>
      <c r="AT445" s="66"/>
      <c r="AU445" s="66"/>
      <c r="AV445" s="66"/>
      <c r="AW445" s="66"/>
      <c r="AX445" s="66"/>
      <c r="AY445" s="66"/>
      <c r="AZ445" s="66"/>
      <c r="BA445" s="66"/>
      <c r="BB445" s="66"/>
      <c r="BC445" s="66"/>
    </row>
    <row r="446" ht="14.2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  <c r="AE446" s="66"/>
      <c r="AF446" s="66"/>
      <c r="AG446" s="66"/>
      <c r="AH446" s="66"/>
      <c r="AI446" s="66"/>
      <c r="AJ446" s="66"/>
      <c r="AK446" s="66"/>
      <c r="AL446" s="66"/>
      <c r="AM446" s="66"/>
      <c r="AN446" s="66"/>
      <c r="AO446" s="66"/>
      <c r="AP446" s="66"/>
      <c r="AQ446" s="66"/>
      <c r="AR446" s="66"/>
      <c r="AS446" s="66"/>
      <c r="AT446" s="66"/>
      <c r="AU446" s="66"/>
      <c r="AV446" s="66"/>
      <c r="AW446" s="66"/>
      <c r="AX446" s="66"/>
      <c r="AY446" s="66"/>
      <c r="AZ446" s="66"/>
      <c r="BA446" s="66"/>
      <c r="BB446" s="66"/>
      <c r="BC446" s="66"/>
    </row>
    <row r="447" ht="14.2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  <c r="AE447" s="66"/>
      <c r="AF447" s="66"/>
      <c r="AG447" s="66"/>
      <c r="AH447" s="66"/>
      <c r="AI447" s="66"/>
      <c r="AJ447" s="66"/>
      <c r="AK447" s="66"/>
      <c r="AL447" s="66"/>
      <c r="AM447" s="66"/>
      <c r="AN447" s="66"/>
      <c r="AO447" s="66"/>
      <c r="AP447" s="66"/>
      <c r="AQ447" s="66"/>
      <c r="AR447" s="66"/>
      <c r="AS447" s="66"/>
      <c r="AT447" s="66"/>
      <c r="AU447" s="66"/>
      <c r="AV447" s="66"/>
      <c r="AW447" s="66"/>
      <c r="AX447" s="66"/>
      <c r="AY447" s="66"/>
      <c r="AZ447" s="66"/>
      <c r="BA447" s="66"/>
      <c r="BB447" s="66"/>
      <c r="BC447" s="66"/>
    </row>
    <row r="448" ht="14.2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  <c r="AE448" s="66"/>
      <c r="AF448" s="66"/>
      <c r="AG448" s="66"/>
      <c r="AH448" s="66"/>
      <c r="AI448" s="66"/>
      <c r="AJ448" s="66"/>
      <c r="AK448" s="66"/>
      <c r="AL448" s="66"/>
      <c r="AM448" s="66"/>
      <c r="AN448" s="66"/>
      <c r="AO448" s="66"/>
      <c r="AP448" s="66"/>
      <c r="AQ448" s="66"/>
      <c r="AR448" s="66"/>
      <c r="AS448" s="66"/>
      <c r="AT448" s="66"/>
      <c r="AU448" s="66"/>
      <c r="AV448" s="66"/>
      <c r="AW448" s="66"/>
      <c r="AX448" s="66"/>
      <c r="AY448" s="66"/>
      <c r="AZ448" s="66"/>
      <c r="BA448" s="66"/>
      <c r="BB448" s="66"/>
      <c r="BC448" s="66"/>
    </row>
    <row r="449" ht="14.2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  <c r="AE449" s="66"/>
      <c r="AF449" s="66"/>
      <c r="AG449" s="66"/>
      <c r="AH449" s="66"/>
      <c r="AI449" s="66"/>
      <c r="AJ449" s="66"/>
      <c r="AK449" s="66"/>
      <c r="AL449" s="66"/>
      <c r="AM449" s="66"/>
      <c r="AN449" s="66"/>
      <c r="AO449" s="66"/>
      <c r="AP449" s="66"/>
      <c r="AQ449" s="66"/>
      <c r="AR449" s="66"/>
      <c r="AS449" s="66"/>
      <c r="AT449" s="66"/>
      <c r="AU449" s="66"/>
      <c r="AV449" s="66"/>
      <c r="AW449" s="66"/>
      <c r="AX449" s="66"/>
      <c r="AY449" s="66"/>
      <c r="AZ449" s="66"/>
      <c r="BA449" s="66"/>
      <c r="BB449" s="66"/>
      <c r="BC449" s="66"/>
    </row>
    <row r="450" ht="14.2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  <c r="AE450" s="66"/>
      <c r="AF450" s="66"/>
      <c r="AG450" s="66"/>
      <c r="AH450" s="66"/>
      <c r="AI450" s="66"/>
      <c r="AJ450" s="66"/>
      <c r="AK450" s="66"/>
      <c r="AL450" s="66"/>
      <c r="AM450" s="66"/>
      <c r="AN450" s="66"/>
      <c r="AO450" s="66"/>
      <c r="AP450" s="66"/>
      <c r="AQ450" s="66"/>
      <c r="AR450" s="66"/>
      <c r="AS450" s="66"/>
      <c r="AT450" s="66"/>
      <c r="AU450" s="66"/>
      <c r="AV450" s="66"/>
      <c r="AW450" s="66"/>
      <c r="AX450" s="66"/>
      <c r="AY450" s="66"/>
      <c r="AZ450" s="66"/>
      <c r="BA450" s="66"/>
      <c r="BB450" s="66"/>
      <c r="BC450" s="66"/>
    </row>
    <row r="451" ht="14.2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  <c r="AF451" s="66"/>
      <c r="AG451" s="66"/>
      <c r="AH451" s="66"/>
      <c r="AI451" s="66"/>
      <c r="AJ451" s="66"/>
      <c r="AK451" s="66"/>
      <c r="AL451" s="66"/>
      <c r="AM451" s="66"/>
      <c r="AN451" s="66"/>
      <c r="AO451" s="66"/>
      <c r="AP451" s="66"/>
      <c r="AQ451" s="66"/>
      <c r="AR451" s="66"/>
      <c r="AS451" s="66"/>
      <c r="AT451" s="66"/>
      <c r="AU451" s="66"/>
      <c r="AV451" s="66"/>
      <c r="AW451" s="66"/>
      <c r="AX451" s="66"/>
      <c r="AY451" s="66"/>
      <c r="AZ451" s="66"/>
      <c r="BA451" s="66"/>
      <c r="BB451" s="66"/>
      <c r="BC451" s="66"/>
    </row>
    <row r="452" ht="14.2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  <c r="AE452" s="66"/>
      <c r="AF452" s="66"/>
      <c r="AG452" s="66"/>
      <c r="AH452" s="66"/>
      <c r="AI452" s="66"/>
      <c r="AJ452" s="66"/>
      <c r="AK452" s="66"/>
      <c r="AL452" s="66"/>
      <c r="AM452" s="66"/>
      <c r="AN452" s="66"/>
      <c r="AO452" s="66"/>
      <c r="AP452" s="66"/>
      <c r="AQ452" s="66"/>
      <c r="AR452" s="66"/>
      <c r="AS452" s="66"/>
      <c r="AT452" s="66"/>
      <c r="AU452" s="66"/>
      <c r="AV452" s="66"/>
      <c r="AW452" s="66"/>
      <c r="AX452" s="66"/>
      <c r="AY452" s="66"/>
      <c r="AZ452" s="66"/>
      <c r="BA452" s="66"/>
      <c r="BB452" s="66"/>
      <c r="BC452" s="66"/>
    </row>
    <row r="453" ht="14.2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  <c r="AE453" s="66"/>
      <c r="AF453" s="66"/>
      <c r="AG453" s="66"/>
      <c r="AH453" s="66"/>
      <c r="AI453" s="66"/>
      <c r="AJ453" s="66"/>
      <c r="AK453" s="66"/>
      <c r="AL453" s="66"/>
      <c r="AM453" s="66"/>
      <c r="AN453" s="66"/>
      <c r="AO453" s="66"/>
      <c r="AP453" s="66"/>
      <c r="AQ453" s="66"/>
      <c r="AR453" s="66"/>
      <c r="AS453" s="66"/>
      <c r="AT453" s="66"/>
      <c r="AU453" s="66"/>
      <c r="AV453" s="66"/>
      <c r="AW453" s="66"/>
      <c r="AX453" s="66"/>
      <c r="AY453" s="66"/>
      <c r="AZ453" s="66"/>
      <c r="BA453" s="66"/>
      <c r="BB453" s="66"/>
      <c r="BC453" s="66"/>
    </row>
    <row r="454" ht="14.2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  <c r="AE454" s="66"/>
      <c r="AF454" s="66"/>
      <c r="AG454" s="66"/>
      <c r="AH454" s="66"/>
      <c r="AI454" s="66"/>
      <c r="AJ454" s="66"/>
      <c r="AK454" s="66"/>
      <c r="AL454" s="66"/>
      <c r="AM454" s="66"/>
      <c r="AN454" s="66"/>
      <c r="AO454" s="66"/>
      <c r="AP454" s="66"/>
      <c r="AQ454" s="66"/>
      <c r="AR454" s="66"/>
      <c r="AS454" s="66"/>
      <c r="AT454" s="66"/>
      <c r="AU454" s="66"/>
      <c r="AV454" s="66"/>
      <c r="AW454" s="66"/>
      <c r="AX454" s="66"/>
      <c r="AY454" s="66"/>
      <c r="AZ454" s="66"/>
      <c r="BA454" s="66"/>
      <c r="BB454" s="66"/>
      <c r="BC454" s="66"/>
    </row>
    <row r="455" ht="14.2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  <c r="AE455" s="66"/>
      <c r="AF455" s="66"/>
      <c r="AG455" s="66"/>
      <c r="AH455" s="66"/>
      <c r="AI455" s="66"/>
      <c r="AJ455" s="66"/>
      <c r="AK455" s="66"/>
      <c r="AL455" s="66"/>
      <c r="AM455" s="66"/>
      <c r="AN455" s="66"/>
      <c r="AO455" s="66"/>
      <c r="AP455" s="66"/>
      <c r="AQ455" s="66"/>
      <c r="AR455" s="66"/>
      <c r="AS455" s="66"/>
      <c r="AT455" s="66"/>
      <c r="AU455" s="66"/>
      <c r="AV455" s="66"/>
      <c r="AW455" s="66"/>
      <c r="AX455" s="66"/>
      <c r="AY455" s="66"/>
      <c r="AZ455" s="66"/>
      <c r="BA455" s="66"/>
      <c r="BB455" s="66"/>
      <c r="BC455" s="66"/>
    </row>
    <row r="456" ht="14.2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  <c r="AE456" s="66"/>
      <c r="AF456" s="66"/>
      <c r="AG456" s="66"/>
      <c r="AH456" s="66"/>
      <c r="AI456" s="66"/>
      <c r="AJ456" s="66"/>
      <c r="AK456" s="66"/>
      <c r="AL456" s="66"/>
      <c r="AM456" s="66"/>
      <c r="AN456" s="66"/>
      <c r="AO456" s="66"/>
      <c r="AP456" s="66"/>
      <c r="AQ456" s="66"/>
      <c r="AR456" s="66"/>
      <c r="AS456" s="66"/>
      <c r="AT456" s="66"/>
      <c r="AU456" s="66"/>
      <c r="AV456" s="66"/>
      <c r="AW456" s="66"/>
      <c r="AX456" s="66"/>
      <c r="AY456" s="66"/>
      <c r="AZ456" s="66"/>
      <c r="BA456" s="66"/>
      <c r="BB456" s="66"/>
      <c r="BC456" s="66"/>
    </row>
    <row r="457" ht="14.2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  <c r="AF457" s="66"/>
      <c r="AG457" s="66"/>
      <c r="AH457" s="66"/>
      <c r="AI457" s="66"/>
      <c r="AJ457" s="66"/>
      <c r="AK457" s="66"/>
      <c r="AL457" s="66"/>
      <c r="AM457" s="66"/>
      <c r="AN457" s="66"/>
      <c r="AO457" s="66"/>
      <c r="AP457" s="66"/>
      <c r="AQ457" s="66"/>
      <c r="AR457" s="66"/>
      <c r="AS457" s="66"/>
      <c r="AT457" s="66"/>
      <c r="AU457" s="66"/>
      <c r="AV457" s="66"/>
      <c r="AW457" s="66"/>
      <c r="AX457" s="66"/>
      <c r="AY457" s="66"/>
      <c r="AZ457" s="66"/>
      <c r="BA457" s="66"/>
      <c r="BB457" s="66"/>
      <c r="BC457" s="66"/>
    </row>
    <row r="458" ht="14.2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  <c r="AE458" s="66"/>
      <c r="AF458" s="66"/>
      <c r="AG458" s="66"/>
      <c r="AH458" s="66"/>
      <c r="AI458" s="66"/>
      <c r="AJ458" s="66"/>
      <c r="AK458" s="66"/>
      <c r="AL458" s="66"/>
      <c r="AM458" s="66"/>
      <c r="AN458" s="66"/>
      <c r="AO458" s="66"/>
      <c r="AP458" s="66"/>
      <c r="AQ458" s="66"/>
      <c r="AR458" s="66"/>
      <c r="AS458" s="66"/>
      <c r="AT458" s="66"/>
      <c r="AU458" s="66"/>
      <c r="AV458" s="66"/>
      <c r="AW458" s="66"/>
      <c r="AX458" s="66"/>
      <c r="AY458" s="66"/>
      <c r="AZ458" s="66"/>
      <c r="BA458" s="66"/>
      <c r="BB458" s="66"/>
      <c r="BC458" s="66"/>
    </row>
    <row r="459" ht="14.2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  <c r="AE459" s="66"/>
      <c r="AF459" s="66"/>
      <c r="AG459" s="66"/>
      <c r="AH459" s="66"/>
      <c r="AI459" s="66"/>
      <c r="AJ459" s="66"/>
      <c r="AK459" s="66"/>
      <c r="AL459" s="66"/>
      <c r="AM459" s="66"/>
      <c r="AN459" s="66"/>
      <c r="AO459" s="66"/>
      <c r="AP459" s="66"/>
      <c r="AQ459" s="66"/>
      <c r="AR459" s="66"/>
      <c r="AS459" s="66"/>
      <c r="AT459" s="66"/>
      <c r="AU459" s="66"/>
      <c r="AV459" s="66"/>
      <c r="AW459" s="66"/>
      <c r="AX459" s="66"/>
      <c r="AY459" s="66"/>
      <c r="AZ459" s="66"/>
      <c r="BA459" s="66"/>
      <c r="BB459" s="66"/>
      <c r="BC459" s="66"/>
    </row>
    <row r="460" ht="14.2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  <c r="AE460" s="66"/>
      <c r="AF460" s="66"/>
      <c r="AG460" s="66"/>
      <c r="AH460" s="66"/>
      <c r="AI460" s="66"/>
      <c r="AJ460" s="66"/>
      <c r="AK460" s="66"/>
      <c r="AL460" s="66"/>
      <c r="AM460" s="66"/>
      <c r="AN460" s="66"/>
      <c r="AO460" s="66"/>
      <c r="AP460" s="66"/>
      <c r="AQ460" s="66"/>
      <c r="AR460" s="66"/>
      <c r="AS460" s="66"/>
      <c r="AT460" s="66"/>
      <c r="AU460" s="66"/>
      <c r="AV460" s="66"/>
      <c r="AW460" s="66"/>
      <c r="AX460" s="66"/>
      <c r="AY460" s="66"/>
      <c r="AZ460" s="66"/>
      <c r="BA460" s="66"/>
      <c r="BB460" s="66"/>
      <c r="BC460" s="66"/>
    </row>
    <row r="461" ht="14.2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  <c r="AE461" s="66"/>
      <c r="AF461" s="66"/>
      <c r="AG461" s="66"/>
      <c r="AH461" s="66"/>
      <c r="AI461" s="66"/>
      <c r="AJ461" s="66"/>
      <c r="AK461" s="66"/>
      <c r="AL461" s="66"/>
      <c r="AM461" s="66"/>
      <c r="AN461" s="66"/>
      <c r="AO461" s="66"/>
      <c r="AP461" s="66"/>
      <c r="AQ461" s="66"/>
      <c r="AR461" s="66"/>
      <c r="AS461" s="66"/>
      <c r="AT461" s="66"/>
      <c r="AU461" s="66"/>
      <c r="AV461" s="66"/>
      <c r="AW461" s="66"/>
      <c r="AX461" s="66"/>
      <c r="AY461" s="66"/>
      <c r="AZ461" s="66"/>
      <c r="BA461" s="66"/>
      <c r="BB461" s="66"/>
      <c r="BC461" s="66"/>
    </row>
    <row r="462" ht="14.2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  <c r="AE462" s="66"/>
      <c r="AF462" s="66"/>
      <c r="AG462" s="66"/>
      <c r="AH462" s="66"/>
      <c r="AI462" s="66"/>
      <c r="AJ462" s="66"/>
      <c r="AK462" s="66"/>
      <c r="AL462" s="66"/>
      <c r="AM462" s="66"/>
      <c r="AN462" s="66"/>
      <c r="AO462" s="66"/>
      <c r="AP462" s="66"/>
      <c r="AQ462" s="66"/>
      <c r="AR462" s="66"/>
      <c r="AS462" s="66"/>
      <c r="AT462" s="66"/>
      <c r="AU462" s="66"/>
      <c r="AV462" s="66"/>
      <c r="AW462" s="66"/>
      <c r="AX462" s="66"/>
      <c r="AY462" s="66"/>
      <c r="AZ462" s="66"/>
      <c r="BA462" s="66"/>
      <c r="BB462" s="66"/>
      <c r="BC462" s="66"/>
    </row>
    <row r="463" ht="14.2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  <c r="AE463" s="66"/>
      <c r="AF463" s="66"/>
      <c r="AG463" s="66"/>
      <c r="AH463" s="66"/>
      <c r="AI463" s="66"/>
      <c r="AJ463" s="66"/>
      <c r="AK463" s="66"/>
      <c r="AL463" s="66"/>
      <c r="AM463" s="66"/>
      <c r="AN463" s="66"/>
      <c r="AO463" s="66"/>
      <c r="AP463" s="66"/>
      <c r="AQ463" s="66"/>
      <c r="AR463" s="66"/>
      <c r="AS463" s="66"/>
      <c r="AT463" s="66"/>
      <c r="AU463" s="66"/>
      <c r="AV463" s="66"/>
      <c r="AW463" s="66"/>
      <c r="AX463" s="66"/>
      <c r="AY463" s="66"/>
      <c r="AZ463" s="66"/>
      <c r="BA463" s="66"/>
      <c r="BB463" s="66"/>
      <c r="BC463" s="66"/>
    </row>
    <row r="464" ht="14.2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  <c r="AE464" s="66"/>
      <c r="AF464" s="66"/>
      <c r="AG464" s="66"/>
      <c r="AH464" s="66"/>
      <c r="AI464" s="66"/>
      <c r="AJ464" s="66"/>
      <c r="AK464" s="66"/>
      <c r="AL464" s="66"/>
      <c r="AM464" s="66"/>
      <c r="AN464" s="66"/>
      <c r="AO464" s="66"/>
      <c r="AP464" s="66"/>
      <c r="AQ464" s="66"/>
      <c r="AR464" s="66"/>
      <c r="AS464" s="66"/>
      <c r="AT464" s="66"/>
      <c r="AU464" s="66"/>
      <c r="AV464" s="66"/>
      <c r="AW464" s="66"/>
      <c r="AX464" s="66"/>
      <c r="AY464" s="66"/>
      <c r="AZ464" s="66"/>
      <c r="BA464" s="66"/>
      <c r="BB464" s="66"/>
      <c r="BC464" s="66"/>
    </row>
    <row r="465" ht="14.2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  <c r="AE465" s="66"/>
      <c r="AF465" s="66"/>
      <c r="AG465" s="66"/>
      <c r="AH465" s="66"/>
      <c r="AI465" s="66"/>
      <c r="AJ465" s="66"/>
      <c r="AK465" s="66"/>
      <c r="AL465" s="66"/>
      <c r="AM465" s="66"/>
      <c r="AN465" s="66"/>
      <c r="AO465" s="66"/>
      <c r="AP465" s="66"/>
      <c r="AQ465" s="66"/>
      <c r="AR465" s="66"/>
      <c r="AS465" s="66"/>
      <c r="AT465" s="66"/>
      <c r="AU465" s="66"/>
      <c r="AV465" s="66"/>
      <c r="AW465" s="66"/>
      <c r="AX465" s="66"/>
      <c r="AY465" s="66"/>
      <c r="AZ465" s="66"/>
      <c r="BA465" s="66"/>
      <c r="BB465" s="66"/>
      <c r="BC465" s="66"/>
    </row>
    <row r="466" ht="14.2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  <c r="AE466" s="66"/>
      <c r="AF466" s="66"/>
      <c r="AG466" s="66"/>
      <c r="AH466" s="66"/>
      <c r="AI466" s="66"/>
      <c r="AJ466" s="66"/>
      <c r="AK466" s="66"/>
      <c r="AL466" s="66"/>
      <c r="AM466" s="66"/>
      <c r="AN466" s="66"/>
      <c r="AO466" s="66"/>
      <c r="AP466" s="66"/>
      <c r="AQ466" s="66"/>
      <c r="AR466" s="66"/>
      <c r="AS466" s="66"/>
      <c r="AT466" s="66"/>
      <c r="AU466" s="66"/>
      <c r="AV466" s="66"/>
      <c r="AW466" s="66"/>
      <c r="AX466" s="66"/>
      <c r="AY466" s="66"/>
      <c r="AZ466" s="66"/>
      <c r="BA466" s="66"/>
      <c r="BB466" s="66"/>
      <c r="BC466" s="66"/>
    </row>
    <row r="467" ht="14.2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  <c r="AE467" s="66"/>
      <c r="AF467" s="66"/>
      <c r="AG467" s="66"/>
      <c r="AH467" s="66"/>
      <c r="AI467" s="66"/>
      <c r="AJ467" s="66"/>
      <c r="AK467" s="66"/>
      <c r="AL467" s="66"/>
      <c r="AM467" s="66"/>
      <c r="AN467" s="66"/>
      <c r="AO467" s="66"/>
      <c r="AP467" s="66"/>
      <c r="AQ467" s="66"/>
      <c r="AR467" s="66"/>
      <c r="AS467" s="66"/>
      <c r="AT467" s="66"/>
      <c r="AU467" s="66"/>
      <c r="AV467" s="66"/>
      <c r="AW467" s="66"/>
      <c r="AX467" s="66"/>
      <c r="AY467" s="66"/>
      <c r="AZ467" s="66"/>
      <c r="BA467" s="66"/>
      <c r="BB467" s="66"/>
      <c r="BC467" s="66"/>
    </row>
    <row r="468" ht="14.2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66"/>
      <c r="AI468" s="66"/>
      <c r="AJ468" s="66"/>
      <c r="AK468" s="66"/>
      <c r="AL468" s="66"/>
      <c r="AM468" s="66"/>
      <c r="AN468" s="66"/>
      <c r="AO468" s="66"/>
      <c r="AP468" s="66"/>
      <c r="AQ468" s="66"/>
      <c r="AR468" s="66"/>
      <c r="AS468" s="66"/>
      <c r="AT468" s="66"/>
      <c r="AU468" s="66"/>
      <c r="AV468" s="66"/>
      <c r="AW468" s="66"/>
      <c r="AX468" s="66"/>
      <c r="AY468" s="66"/>
      <c r="AZ468" s="66"/>
      <c r="BA468" s="66"/>
      <c r="BB468" s="66"/>
      <c r="BC468" s="66"/>
    </row>
    <row r="469" ht="14.2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66"/>
      <c r="AI469" s="66"/>
      <c r="AJ469" s="66"/>
      <c r="AK469" s="66"/>
      <c r="AL469" s="66"/>
      <c r="AM469" s="66"/>
      <c r="AN469" s="66"/>
      <c r="AO469" s="66"/>
      <c r="AP469" s="66"/>
      <c r="AQ469" s="66"/>
      <c r="AR469" s="66"/>
      <c r="AS469" s="66"/>
      <c r="AT469" s="66"/>
      <c r="AU469" s="66"/>
      <c r="AV469" s="66"/>
      <c r="AW469" s="66"/>
      <c r="AX469" s="66"/>
      <c r="AY469" s="66"/>
      <c r="AZ469" s="66"/>
      <c r="BA469" s="66"/>
      <c r="BB469" s="66"/>
      <c r="BC469" s="66"/>
    </row>
    <row r="470" ht="14.2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66"/>
      <c r="AI470" s="66"/>
      <c r="AJ470" s="66"/>
      <c r="AK470" s="66"/>
      <c r="AL470" s="66"/>
      <c r="AM470" s="66"/>
      <c r="AN470" s="66"/>
      <c r="AO470" s="66"/>
      <c r="AP470" s="66"/>
      <c r="AQ470" s="66"/>
      <c r="AR470" s="66"/>
      <c r="AS470" s="66"/>
      <c r="AT470" s="66"/>
      <c r="AU470" s="66"/>
      <c r="AV470" s="66"/>
      <c r="AW470" s="66"/>
      <c r="AX470" s="66"/>
      <c r="AY470" s="66"/>
      <c r="AZ470" s="66"/>
      <c r="BA470" s="66"/>
      <c r="BB470" s="66"/>
      <c r="BC470" s="66"/>
    </row>
    <row r="471" ht="14.2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  <c r="AE471" s="66"/>
      <c r="AF471" s="66"/>
      <c r="AG471" s="66"/>
      <c r="AH471" s="66"/>
      <c r="AI471" s="66"/>
      <c r="AJ471" s="66"/>
      <c r="AK471" s="66"/>
      <c r="AL471" s="66"/>
      <c r="AM471" s="66"/>
      <c r="AN471" s="66"/>
      <c r="AO471" s="66"/>
      <c r="AP471" s="66"/>
      <c r="AQ471" s="66"/>
      <c r="AR471" s="66"/>
      <c r="AS471" s="66"/>
      <c r="AT471" s="66"/>
      <c r="AU471" s="66"/>
      <c r="AV471" s="66"/>
      <c r="AW471" s="66"/>
      <c r="AX471" s="66"/>
      <c r="AY471" s="66"/>
      <c r="AZ471" s="66"/>
      <c r="BA471" s="66"/>
      <c r="BB471" s="66"/>
      <c r="BC471" s="66"/>
    </row>
    <row r="472" ht="14.2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  <c r="AE472" s="66"/>
      <c r="AF472" s="66"/>
      <c r="AG472" s="66"/>
      <c r="AH472" s="66"/>
      <c r="AI472" s="66"/>
      <c r="AJ472" s="66"/>
      <c r="AK472" s="66"/>
      <c r="AL472" s="66"/>
      <c r="AM472" s="66"/>
      <c r="AN472" s="66"/>
      <c r="AO472" s="66"/>
      <c r="AP472" s="66"/>
      <c r="AQ472" s="66"/>
      <c r="AR472" s="66"/>
      <c r="AS472" s="66"/>
      <c r="AT472" s="66"/>
      <c r="AU472" s="66"/>
      <c r="AV472" s="66"/>
      <c r="AW472" s="66"/>
      <c r="AX472" s="66"/>
      <c r="AY472" s="66"/>
      <c r="AZ472" s="66"/>
      <c r="BA472" s="66"/>
      <c r="BB472" s="66"/>
      <c r="BC472" s="66"/>
    </row>
    <row r="473" ht="14.2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  <c r="AE473" s="66"/>
      <c r="AF473" s="66"/>
      <c r="AG473" s="66"/>
      <c r="AH473" s="66"/>
      <c r="AI473" s="66"/>
      <c r="AJ473" s="66"/>
      <c r="AK473" s="66"/>
      <c r="AL473" s="66"/>
      <c r="AM473" s="66"/>
      <c r="AN473" s="66"/>
      <c r="AO473" s="66"/>
      <c r="AP473" s="66"/>
      <c r="AQ473" s="66"/>
      <c r="AR473" s="66"/>
      <c r="AS473" s="66"/>
      <c r="AT473" s="66"/>
      <c r="AU473" s="66"/>
      <c r="AV473" s="66"/>
      <c r="AW473" s="66"/>
      <c r="AX473" s="66"/>
      <c r="AY473" s="66"/>
      <c r="AZ473" s="66"/>
      <c r="BA473" s="66"/>
      <c r="BB473" s="66"/>
      <c r="BC473" s="66"/>
    </row>
    <row r="474" ht="14.2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  <c r="AE474" s="66"/>
      <c r="AF474" s="66"/>
      <c r="AG474" s="66"/>
      <c r="AH474" s="66"/>
      <c r="AI474" s="66"/>
      <c r="AJ474" s="66"/>
      <c r="AK474" s="66"/>
      <c r="AL474" s="66"/>
      <c r="AM474" s="66"/>
      <c r="AN474" s="66"/>
      <c r="AO474" s="66"/>
      <c r="AP474" s="66"/>
      <c r="AQ474" s="66"/>
      <c r="AR474" s="66"/>
      <c r="AS474" s="66"/>
      <c r="AT474" s="66"/>
      <c r="AU474" s="66"/>
      <c r="AV474" s="66"/>
      <c r="AW474" s="66"/>
      <c r="AX474" s="66"/>
      <c r="AY474" s="66"/>
      <c r="AZ474" s="66"/>
      <c r="BA474" s="66"/>
      <c r="BB474" s="66"/>
      <c r="BC474" s="66"/>
    </row>
    <row r="475" ht="14.2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  <c r="AE475" s="66"/>
      <c r="AF475" s="66"/>
      <c r="AG475" s="66"/>
      <c r="AH475" s="66"/>
      <c r="AI475" s="66"/>
      <c r="AJ475" s="66"/>
      <c r="AK475" s="66"/>
      <c r="AL475" s="66"/>
      <c r="AM475" s="66"/>
      <c r="AN475" s="66"/>
      <c r="AO475" s="66"/>
      <c r="AP475" s="66"/>
      <c r="AQ475" s="66"/>
      <c r="AR475" s="66"/>
      <c r="AS475" s="66"/>
      <c r="AT475" s="66"/>
      <c r="AU475" s="66"/>
      <c r="AV475" s="66"/>
      <c r="AW475" s="66"/>
      <c r="AX475" s="66"/>
      <c r="AY475" s="66"/>
      <c r="AZ475" s="66"/>
      <c r="BA475" s="66"/>
      <c r="BB475" s="66"/>
      <c r="BC475" s="66"/>
    </row>
    <row r="476" ht="14.2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  <c r="AE476" s="66"/>
      <c r="AF476" s="66"/>
      <c r="AG476" s="66"/>
      <c r="AH476" s="66"/>
      <c r="AI476" s="66"/>
      <c r="AJ476" s="66"/>
      <c r="AK476" s="66"/>
      <c r="AL476" s="66"/>
      <c r="AM476" s="66"/>
      <c r="AN476" s="66"/>
      <c r="AO476" s="66"/>
      <c r="AP476" s="66"/>
      <c r="AQ476" s="66"/>
      <c r="AR476" s="66"/>
      <c r="AS476" s="66"/>
      <c r="AT476" s="66"/>
      <c r="AU476" s="66"/>
      <c r="AV476" s="66"/>
      <c r="AW476" s="66"/>
      <c r="AX476" s="66"/>
      <c r="AY476" s="66"/>
      <c r="AZ476" s="66"/>
      <c r="BA476" s="66"/>
      <c r="BB476" s="66"/>
      <c r="BC476" s="66"/>
    </row>
    <row r="477" ht="14.2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  <c r="AE477" s="66"/>
      <c r="AF477" s="66"/>
      <c r="AG477" s="66"/>
      <c r="AH477" s="66"/>
      <c r="AI477" s="66"/>
      <c r="AJ477" s="66"/>
      <c r="AK477" s="66"/>
      <c r="AL477" s="66"/>
      <c r="AM477" s="66"/>
      <c r="AN477" s="66"/>
      <c r="AO477" s="66"/>
      <c r="AP477" s="66"/>
      <c r="AQ477" s="66"/>
      <c r="AR477" s="66"/>
      <c r="AS477" s="66"/>
      <c r="AT477" s="66"/>
      <c r="AU477" s="66"/>
      <c r="AV477" s="66"/>
      <c r="AW477" s="66"/>
      <c r="AX477" s="66"/>
      <c r="AY477" s="66"/>
      <c r="AZ477" s="66"/>
      <c r="BA477" s="66"/>
      <c r="BB477" s="66"/>
      <c r="BC477" s="66"/>
    </row>
    <row r="478" ht="14.2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  <c r="AE478" s="66"/>
      <c r="AF478" s="66"/>
      <c r="AG478" s="66"/>
      <c r="AH478" s="66"/>
      <c r="AI478" s="66"/>
      <c r="AJ478" s="66"/>
      <c r="AK478" s="66"/>
      <c r="AL478" s="66"/>
      <c r="AM478" s="66"/>
      <c r="AN478" s="66"/>
      <c r="AO478" s="66"/>
      <c r="AP478" s="66"/>
      <c r="AQ478" s="66"/>
      <c r="AR478" s="66"/>
      <c r="AS478" s="66"/>
      <c r="AT478" s="66"/>
      <c r="AU478" s="66"/>
      <c r="AV478" s="66"/>
      <c r="AW478" s="66"/>
      <c r="AX478" s="66"/>
      <c r="AY478" s="66"/>
      <c r="AZ478" s="66"/>
      <c r="BA478" s="66"/>
      <c r="BB478" s="66"/>
      <c r="BC478" s="66"/>
    </row>
    <row r="479" ht="14.2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  <c r="AE479" s="66"/>
      <c r="AF479" s="66"/>
      <c r="AG479" s="66"/>
      <c r="AH479" s="66"/>
      <c r="AI479" s="66"/>
      <c r="AJ479" s="66"/>
      <c r="AK479" s="66"/>
      <c r="AL479" s="66"/>
      <c r="AM479" s="66"/>
      <c r="AN479" s="66"/>
      <c r="AO479" s="66"/>
      <c r="AP479" s="66"/>
      <c r="AQ479" s="66"/>
      <c r="AR479" s="66"/>
      <c r="AS479" s="66"/>
      <c r="AT479" s="66"/>
      <c r="AU479" s="66"/>
      <c r="AV479" s="66"/>
      <c r="AW479" s="66"/>
      <c r="AX479" s="66"/>
      <c r="AY479" s="66"/>
      <c r="AZ479" s="66"/>
      <c r="BA479" s="66"/>
      <c r="BB479" s="66"/>
      <c r="BC479" s="66"/>
    </row>
    <row r="480" ht="14.2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  <c r="AE480" s="66"/>
      <c r="AF480" s="66"/>
      <c r="AG480" s="66"/>
      <c r="AH480" s="66"/>
      <c r="AI480" s="66"/>
      <c r="AJ480" s="66"/>
      <c r="AK480" s="66"/>
      <c r="AL480" s="66"/>
      <c r="AM480" s="66"/>
      <c r="AN480" s="66"/>
      <c r="AO480" s="66"/>
      <c r="AP480" s="66"/>
      <c r="AQ480" s="66"/>
      <c r="AR480" s="66"/>
      <c r="AS480" s="66"/>
      <c r="AT480" s="66"/>
      <c r="AU480" s="66"/>
      <c r="AV480" s="66"/>
      <c r="AW480" s="66"/>
      <c r="AX480" s="66"/>
      <c r="AY480" s="66"/>
      <c r="AZ480" s="66"/>
      <c r="BA480" s="66"/>
      <c r="BB480" s="66"/>
      <c r="BC480" s="66"/>
    </row>
    <row r="481" ht="14.2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  <c r="AE481" s="66"/>
      <c r="AF481" s="66"/>
      <c r="AG481" s="66"/>
      <c r="AH481" s="66"/>
      <c r="AI481" s="66"/>
      <c r="AJ481" s="66"/>
      <c r="AK481" s="66"/>
      <c r="AL481" s="66"/>
      <c r="AM481" s="66"/>
      <c r="AN481" s="66"/>
      <c r="AO481" s="66"/>
      <c r="AP481" s="66"/>
      <c r="AQ481" s="66"/>
      <c r="AR481" s="66"/>
      <c r="AS481" s="66"/>
      <c r="AT481" s="66"/>
      <c r="AU481" s="66"/>
      <c r="AV481" s="66"/>
      <c r="AW481" s="66"/>
      <c r="AX481" s="66"/>
      <c r="AY481" s="66"/>
      <c r="AZ481" s="66"/>
      <c r="BA481" s="66"/>
      <c r="BB481" s="66"/>
      <c r="BC481" s="66"/>
    </row>
    <row r="482" ht="14.2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  <c r="AE482" s="66"/>
      <c r="AF482" s="66"/>
      <c r="AG482" s="66"/>
      <c r="AH482" s="66"/>
      <c r="AI482" s="66"/>
      <c r="AJ482" s="66"/>
      <c r="AK482" s="66"/>
      <c r="AL482" s="66"/>
      <c r="AM482" s="66"/>
      <c r="AN482" s="66"/>
      <c r="AO482" s="66"/>
      <c r="AP482" s="66"/>
      <c r="AQ482" s="66"/>
      <c r="AR482" s="66"/>
      <c r="AS482" s="66"/>
      <c r="AT482" s="66"/>
      <c r="AU482" s="66"/>
      <c r="AV482" s="66"/>
      <c r="AW482" s="66"/>
      <c r="AX482" s="66"/>
      <c r="AY482" s="66"/>
      <c r="AZ482" s="66"/>
      <c r="BA482" s="66"/>
      <c r="BB482" s="66"/>
      <c r="BC482" s="66"/>
    </row>
    <row r="483" ht="14.2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  <c r="AE483" s="66"/>
      <c r="AF483" s="66"/>
      <c r="AG483" s="66"/>
      <c r="AH483" s="66"/>
      <c r="AI483" s="66"/>
      <c r="AJ483" s="66"/>
      <c r="AK483" s="66"/>
      <c r="AL483" s="66"/>
      <c r="AM483" s="66"/>
      <c r="AN483" s="66"/>
      <c r="AO483" s="66"/>
      <c r="AP483" s="66"/>
      <c r="AQ483" s="66"/>
      <c r="AR483" s="66"/>
      <c r="AS483" s="66"/>
      <c r="AT483" s="66"/>
      <c r="AU483" s="66"/>
      <c r="AV483" s="66"/>
      <c r="AW483" s="66"/>
      <c r="AX483" s="66"/>
      <c r="AY483" s="66"/>
      <c r="AZ483" s="66"/>
      <c r="BA483" s="66"/>
      <c r="BB483" s="66"/>
      <c r="BC483" s="66"/>
    </row>
    <row r="484" ht="14.2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  <c r="AE484" s="66"/>
      <c r="AF484" s="66"/>
      <c r="AG484" s="66"/>
      <c r="AH484" s="66"/>
      <c r="AI484" s="66"/>
      <c r="AJ484" s="66"/>
      <c r="AK484" s="66"/>
      <c r="AL484" s="66"/>
      <c r="AM484" s="66"/>
      <c r="AN484" s="66"/>
      <c r="AO484" s="66"/>
      <c r="AP484" s="66"/>
      <c r="AQ484" s="66"/>
      <c r="AR484" s="66"/>
      <c r="AS484" s="66"/>
      <c r="AT484" s="66"/>
      <c r="AU484" s="66"/>
      <c r="AV484" s="66"/>
      <c r="AW484" s="66"/>
      <c r="AX484" s="66"/>
      <c r="AY484" s="66"/>
      <c r="AZ484" s="66"/>
      <c r="BA484" s="66"/>
      <c r="BB484" s="66"/>
      <c r="BC484" s="66"/>
    </row>
    <row r="485" ht="14.2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  <c r="AE485" s="66"/>
      <c r="AF485" s="66"/>
      <c r="AG485" s="66"/>
      <c r="AH485" s="66"/>
      <c r="AI485" s="66"/>
      <c r="AJ485" s="66"/>
      <c r="AK485" s="66"/>
      <c r="AL485" s="66"/>
      <c r="AM485" s="66"/>
      <c r="AN485" s="66"/>
      <c r="AO485" s="66"/>
      <c r="AP485" s="66"/>
      <c r="AQ485" s="66"/>
      <c r="AR485" s="66"/>
      <c r="AS485" s="66"/>
      <c r="AT485" s="66"/>
      <c r="AU485" s="66"/>
      <c r="AV485" s="66"/>
      <c r="AW485" s="66"/>
      <c r="AX485" s="66"/>
      <c r="AY485" s="66"/>
      <c r="AZ485" s="66"/>
      <c r="BA485" s="66"/>
      <c r="BB485" s="66"/>
      <c r="BC485" s="66"/>
    </row>
    <row r="486" ht="14.2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  <c r="AE486" s="66"/>
      <c r="AF486" s="66"/>
      <c r="AG486" s="66"/>
      <c r="AH486" s="66"/>
      <c r="AI486" s="66"/>
      <c r="AJ486" s="66"/>
      <c r="AK486" s="66"/>
      <c r="AL486" s="66"/>
      <c r="AM486" s="66"/>
      <c r="AN486" s="66"/>
      <c r="AO486" s="66"/>
      <c r="AP486" s="66"/>
      <c r="AQ486" s="66"/>
      <c r="AR486" s="66"/>
      <c r="AS486" s="66"/>
      <c r="AT486" s="66"/>
      <c r="AU486" s="66"/>
      <c r="AV486" s="66"/>
      <c r="AW486" s="66"/>
      <c r="AX486" s="66"/>
      <c r="AY486" s="66"/>
      <c r="AZ486" s="66"/>
      <c r="BA486" s="66"/>
      <c r="BB486" s="66"/>
      <c r="BC486" s="66"/>
    </row>
    <row r="487" ht="14.2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  <c r="AE487" s="66"/>
      <c r="AF487" s="66"/>
      <c r="AG487" s="66"/>
      <c r="AH487" s="66"/>
      <c r="AI487" s="66"/>
      <c r="AJ487" s="66"/>
      <c r="AK487" s="66"/>
      <c r="AL487" s="66"/>
      <c r="AM487" s="66"/>
      <c r="AN487" s="66"/>
      <c r="AO487" s="66"/>
      <c r="AP487" s="66"/>
      <c r="AQ487" s="66"/>
      <c r="AR487" s="66"/>
      <c r="AS487" s="66"/>
      <c r="AT487" s="66"/>
      <c r="AU487" s="66"/>
      <c r="AV487" s="66"/>
      <c r="AW487" s="66"/>
      <c r="AX487" s="66"/>
      <c r="AY487" s="66"/>
      <c r="AZ487" s="66"/>
      <c r="BA487" s="66"/>
      <c r="BB487" s="66"/>
      <c r="BC487" s="66"/>
    </row>
    <row r="488" ht="14.2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  <c r="AE488" s="66"/>
      <c r="AF488" s="66"/>
      <c r="AG488" s="66"/>
      <c r="AH488" s="66"/>
      <c r="AI488" s="66"/>
      <c r="AJ488" s="66"/>
      <c r="AK488" s="66"/>
      <c r="AL488" s="66"/>
      <c r="AM488" s="66"/>
      <c r="AN488" s="66"/>
      <c r="AO488" s="66"/>
      <c r="AP488" s="66"/>
      <c r="AQ488" s="66"/>
      <c r="AR488" s="66"/>
      <c r="AS488" s="66"/>
      <c r="AT488" s="66"/>
      <c r="AU488" s="66"/>
      <c r="AV488" s="66"/>
      <c r="AW488" s="66"/>
      <c r="AX488" s="66"/>
      <c r="AY488" s="66"/>
      <c r="AZ488" s="66"/>
      <c r="BA488" s="66"/>
      <c r="BB488" s="66"/>
      <c r="BC488" s="66"/>
    </row>
    <row r="489" ht="14.2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  <c r="AE489" s="66"/>
      <c r="AF489" s="66"/>
      <c r="AG489" s="66"/>
      <c r="AH489" s="66"/>
      <c r="AI489" s="66"/>
      <c r="AJ489" s="66"/>
      <c r="AK489" s="66"/>
      <c r="AL489" s="66"/>
      <c r="AM489" s="66"/>
      <c r="AN489" s="66"/>
      <c r="AO489" s="66"/>
      <c r="AP489" s="66"/>
      <c r="AQ489" s="66"/>
      <c r="AR489" s="66"/>
      <c r="AS489" s="66"/>
      <c r="AT489" s="66"/>
      <c r="AU489" s="66"/>
      <c r="AV489" s="66"/>
      <c r="AW489" s="66"/>
      <c r="AX489" s="66"/>
      <c r="AY489" s="66"/>
      <c r="AZ489" s="66"/>
      <c r="BA489" s="66"/>
      <c r="BB489" s="66"/>
      <c r="BC489" s="66"/>
    </row>
    <row r="490" ht="14.2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  <c r="AE490" s="66"/>
      <c r="AF490" s="66"/>
      <c r="AG490" s="66"/>
      <c r="AH490" s="66"/>
      <c r="AI490" s="66"/>
      <c r="AJ490" s="66"/>
      <c r="AK490" s="66"/>
      <c r="AL490" s="66"/>
      <c r="AM490" s="66"/>
      <c r="AN490" s="66"/>
      <c r="AO490" s="66"/>
      <c r="AP490" s="66"/>
      <c r="AQ490" s="66"/>
      <c r="AR490" s="66"/>
      <c r="AS490" s="66"/>
      <c r="AT490" s="66"/>
      <c r="AU490" s="66"/>
      <c r="AV490" s="66"/>
      <c r="AW490" s="66"/>
      <c r="AX490" s="66"/>
      <c r="AY490" s="66"/>
      <c r="AZ490" s="66"/>
      <c r="BA490" s="66"/>
      <c r="BB490" s="66"/>
      <c r="BC490" s="66"/>
    </row>
    <row r="491" ht="14.2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  <c r="AE491" s="66"/>
      <c r="AF491" s="66"/>
      <c r="AG491" s="66"/>
      <c r="AH491" s="66"/>
      <c r="AI491" s="66"/>
      <c r="AJ491" s="66"/>
      <c r="AK491" s="66"/>
      <c r="AL491" s="66"/>
      <c r="AM491" s="66"/>
      <c r="AN491" s="66"/>
      <c r="AO491" s="66"/>
      <c r="AP491" s="66"/>
      <c r="AQ491" s="66"/>
      <c r="AR491" s="66"/>
      <c r="AS491" s="66"/>
      <c r="AT491" s="66"/>
      <c r="AU491" s="66"/>
      <c r="AV491" s="66"/>
      <c r="AW491" s="66"/>
      <c r="AX491" s="66"/>
      <c r="AY491" s="66"/>
      <c r="AZ491" s="66"/>
      <c r="BA491" s="66"/>
      <c r="BB491" s="66"/>
      <c r="BC491" s="66"/>
    </row>
    <row r="492" ht="14.2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  <c r="AE492" s="66"/>
      <c r="AF492" s="66"/>
      <c r="AG492" s="66"/>
      <c r="AH492" s="66"/>
      <c r="AI492" s="66"/>
      <c r="AJ492" s="66"/>
      <c r="AK492" s="66"/>
      <c r="AL492" s="66"/>
      <c r="AM492" s="66"/>
      <c r="AN492" s="66"/>
      <c r="AO492" s="66"/>
      <c r="AP492" s="66"/>
      <c r="AQ492" s="66"/>
      <c r="AR492" s="66"/>
      <c r="AS492" s="66"/>
      <c r="AT492" s="66"/>
      <c r="AU492" s="66"/>
      <c r="AV492" s="66"/>
      <c r="AW492" s="66"/>
      <c r="AX492" s="66"/>
      <c r="AY492" s="66"/>
      <c r="AZ492" s="66"/>
      <c r="BA492" s="66"/>
      <c r="BB492" s="66"/>
      <c r="BC492" s="66"/>
    </row>
    <row r="493" ht="14.2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  <c r="AE493" s="66"/>
      <c r="AF493" s="66"/>
      <c r="AG493" s="66"/>
      <c r="AH493" s="66"/>
      <c r="AI493" s="66"/>
      <c r="AJ493" s="66"/>
      <c r="AK493" s="66"/>
      <c r="AL493" s="66"/>
      <c r="AM493" s="66"/>
      <c r="AN493" s="66"/>
      <c r="AO493" s="66"/>
      <c r="AP493" s="66"/>
      <c r="AQ493" s="66"/>
      <c r="AR493" s="66"/>
      <c r="AS493" s="66"/>
      <c r="AT493" s="66"/>
      <c r="AU493" s="66"/>
      <c r="AV493" s="66"/>
      <c r="AW493" s="66"/>
      <c r="AX493" s="66"/>
      <c r="AY493" s="66"/>
      <c r="AZ493" s="66"/>
      <c r="BA493" s="66"/>
      <c r="BB493" s="66"/>
      <c r="BC493" s="66"/>
    </row>
    <row r="494" ht="14.2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  <c r="AE494" s="66"/>
      <c r="AF494" s="66"/>
      <c r="AG494" s="66"/>
      <c r="AH494" s="66"/>
      <c r="AI494" s="66"/>
      <c r="AJ494" s="66"/>
      <c r="AK494" s="66"/>
      <c r="AL494" s="66"/>
      <c r="AM494" s="66"/>
      <c r="AN494" s="66"/>
      <c r="AO494" s="66"/>
      <c r="AP494" s="66"/>
      <c r="AQ494" s="66"/>
      <c r="AR494" s="66"/>
      <c r="AS494" s="66"/>
      <c r="AT494" s="66"/>
      <c r="AU494" s="66"/>
      <c r="AV494" s="66"/>
      <c r="AW494" s="66"/>
      <c r="AX494" s="66"/>
      <c r="AY494" s="66"/>
      <c r="AZ494" s="66"/>
      <c r="BA494" s="66"/>
      <c r="BB494" s="66"/>
      <c r="BC494" s="66"/>
    </row>
    <row r="495" ht="14.2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  <c r="AE495" s="66"/>
      <c r="AF495" s="66"/>
      <c r="AG495" s="66"/>
      <c r="AH495" s="66"/>
      <c r="AI495" s="66"/>
      <c r="AJ495" s="66"/>
      <c r="AK495" s="66"/>
      <c r="AL495" s="66"/>
      <c r="AM495" s="66"/>
      <c r="AN495" s="66"/>
      <c r="AO495" s="66"/>
      <c r="AP495" s="66"/>
      <c r="AQ495" s="66"/>
      <c r="AR495" s="66"/>
      <c r="AS495" s="66"/>
      <c r="AT495" s="66"/>
      <c r="AU495" s="66"/>
      <c r="AV495" s="66"/>
      <c r="AW495" s="66"/>
      <c r="AX495" s="66"/>
      <c r="AY495" s="66"/>
      <c r="AZ495" s="66"/>
      <c r="BA495" s="66"/>
      <c r="BB495" s="66"/>
      <c r="BC495" s="66"/>
    </row>
    <row r="496" ht="14.2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  <c r="AE496" s="66"/>
      <c r="AF496" s="66"/>
      <c r="AG496" s="66"/>
      <c r="AH496" s="66"/>
      <c r="AI496" s="66"/>
      <c r="AJ496" s="66"/>
      <c r="AK496" s="66"/>
      <c r="AL496" s="66"/>
      <c r="AM496" s="66"/>
      <c r="AN496" s="66"/>
      <c r="AO496" s="66"/>
      <c r="AP496" s="66"/>
      <c r="AQ496" s="66"/>
      <c r="AR496" s="66"/>
      <c r="AS496" s="66"/>
      <c r="AT496" s="66"/>
      <c r="AU496" s="66"/>
      <c r="AV496" s="66"/>
      <c r="AW496" s="66"/>
      <c r="AX496" s="66"/>
      <c r="AY496" s="66"/>
      <c r="AZ496" s="66"/>
      <c r="BA496" s="66"/>
      <c r="BB496" s="66"/>
      <c r="BC496" s="66"/>
    </row>
    <row r="497" ht="14.2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  <c r="AE497" s="66"/>
      <c r="AF497" s="66"/>
      <c r="AG497" s="66"/>
      <c r="AH497" s="66"/>
      <c r="AI497" s="66"/>
      <c r="AJ497" s="66"/>
      <c r="AK497" s="66"/>
      <c r="AL497" s="66"/>
      <c r="AM497" s="66"/>
      <c r="AN497" s="66"/>
      <c r="AO497" s="66"/>
      <c r="AP497" s="66"/>
      <c r="AQ497" s="66"/>
      <c r="AR497" s="66"/>
      <c r="AS497" s="66"/>
      <c r="AT497" s="66"/>
      <c r="AU497" s="66"/>
      <c r="AV497" s="66"/>
      <c r="AW497" s="66"/>
      <c r="AX497" s="66"/>
      <c r="AY497" s="66"/>
      <c r="AZ497" s="66"/>
      <c r="BA497" s="66"/>
      <c r="BB497" s="66"/>
      <c r="BC497" s="66"/>
    </row>
    <row r="498" ht="14.2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  <c r="AE498" s="66"/>
      <c r="AF498" s="66"/>
      <c r="AG498" s="66"/>
      <c r="AH498" s="66"/>
      <c r="AI498" s="66"/>
      <c r="AJ498" s="66"/>
      <c r="AK498" s="66"/>
      <c r="AL498" s="66"/>
      <c r="AM498" s="66"/>
      <c r="AN498" s="66"/>
      <c r="AO498" s="66"/>
      <c r="AP498" s="66"/>
      <c r="AQ498" s="66"/>
      <c r="AR498" s="66"/>
      <c r="AS498" s="66"/>
      <c r="AT498" s="66"/>
      <c r="AU498" s="66"/>
      <c r="AV498" s="66"/>
      <c r="AW498" s="66"/>
      <c r="AX498" s="66"/>
      <c r="AY498" s="66"/>
      <c r="AZ498" s="66"/>
      <c r="BA498" s="66"/>
      <c r="BB498" s="66"/>
      <c r="BC498" s="66"/>
    </row>
    <row r="499" ht="14.2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  <c r="AE499" s="66"/>
      <c r="AF499" s="66"/>
      <c r="AG499" s="66"/>
      <c r="AH499" s="66"/>
      <c r="AI499" s="66"/>
      <c r="AJ499" s="66"/>
      <c r="AK499" s="66"/>
      <c r="AL499" s="66"/>
      <c r="AM499" s="66"/>
      <c r="AN499" s="66"/>
      <c r="AO499" s="66"/>
      <c r="AP499" s="66"/>
      <c r="AQ499" s="66"/>
      <c r="AR499" s="66"/>
      <c r="AS499" s="66"/>
      <c r="AT499" s="66"/>
      <c r="AU499" s="66"/>
      <c r="AV499" s="66"/>
      <c r="AW499" s="66"/>
      <c r="AX499" s="66"/>
      <c r="AY499" s="66"/>
      <c r="AZ499" s="66"/>
      <c r="BA499" s="66"/>
      <c r="BB499" s="66"/>
      <c r="BC499" s="66"/>
    </row>
    <row r="500" ht="14.2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  <c r="AF500" s="66"/>
      <c r="AG500" s="66"/>
      <c r="AH500" s="66"/>
      <c r="AI500" s="66"/>
      <c r="AJ500" s="66"/>
      <c r="AK500" s="66"/>
      <c r="AL500" s="66"/>
      <c r="AM500" s="66"/>
      <c r="AN500" s="66"/>
      <c r="AO500" s="66"/>
      <c r="AP500" s="66"/>
      <c r="AQ500" s="66"/>
      <c r="AR500" s="66"/>
      <c r="AS500" s="66"/>
      <c r="AT500" s="66"/>
      <c r="AU500" s="66"/>
      <c r="AV500" s="66"/>
      <c r="AW500" s="66"/>
      <c r="AX500" s="66"/>
      <c r="AY500" s="66"/>
      <c r="AZ500" s="66"/>
      <c r="BA500" s="66"/>
      <c r="BB500" s="66"/>
      <c r="BC500" s="66"/>
    </row>
    <row r="501" ht="14.2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  <c r="AE501" s="66"/>
      <c r="AF501" s="66"/>
      <c r="AG501" s="66"/>
      <c r="AH501" s="66"/>
      <c r="AI501" s="66"/>
      <c r="AJ501" s="66"/>
      <c r="AK501" s="66"/>
      <c r="AL501" s="66"/>
      <c r="AM501" s="66"/>
      <c r="AN501" s="66"/>
      <c r="AO501" s="66"/>
      <c r="AP501" s="66"/>
      <c r="AQ501" s="66"/>
      <c r="AR501" s="66"/>
      <c r="AS501" s="66"/>
      <c r="AT501" s="66"/>
      <c r="AU501" s="66"/>
      <c r="AV501" s="66"/>
      <c r="AW501" s="66"/>
      <c r="AX501" s="66"/>
      <c r="AY501" s="66"/>
      <c r="AZ501" s="66"/>
      <c r="BA501" s="66"/>
      <c r="BB501" s="66"/>
      <c r="BC501" s="66"/>
    </row>
    <row r="502" ht="14.2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  <c r="AE502" s="66"/>
      <c r="AF502" s="66"/>
      <c r="AG502" s="66"/>
      <c r="AH502" s="66"/>
      <c r="AI502" s="66"/>
      <c r="AJ502" s="66"/>
      <c r="AK502" s="66"/>
      <c r="AL502" s="66"/>
      <c r="AM502" s="66"/>
      <c r="AN502" s="66"/>
      <c r="AO502" s="66"/>
      <c r="AP502" s="66"/>
      <c r="AQ502" s="66"/>
      <c r="AR502" s="66"/>
      <c r="AS502" s="66"/>
      <c r="AT502" s="66"/>
      <c r="AU502" s="66"/>
      <c r="AV502" s="66"/>
      <c r="AW502" s="66"/>
      <c r="AX502" s="66"/>
      <c r="AY502" s="66"/>
      <c r="AZ502" s="66"/>
      <c r="BA502" s="66"/>
      <c r="BB502" s="66"/>
      <c r="BC502" s="66"/>
    </row>
    <row r="503" ht="14.2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  <c r="AE503" s="66"/>
      <c r="AF503" s="66"/>
      <c r="AG503" s="66"/>
      <c r="AH503" s="66"/>
      <c r="AI503" s="66"/>
      <c r="AJ503" s="66"/>
      <c r="AK503" s="66"/>
      <c r="AL503" s="66"/>
      <c r="AM503" s="66"/>
      <c r="AN503" s="66"/>
      <c r="AO503" s="66"/>
      <c r="AP503" s="66"/>
      <c r="AQ503" s="66"/>
      <c r="AR503" s="66"/>
      <c r="AS503" s="66"/>
      <c r="AT503" s="66"/>
      <c r="AU503" s="66"/>
      <c r="AV503" s="66"/>
      <c r="AW503" s="66"/>
      <c r="AX503" s="66"/>
      <c r="AY503" s="66"/>
      <c r="AZ503" s="66"/>
      <c r="BA503" s="66"/>
      <c r="BB503" s="66"/>
      <c r="BC503" s="66"/>
    </row>
    <row r="504" ht="14.2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  <c r="AE504" s="66"/>
      <c r="AF504" s="66"/>
      <c r="AG504" s="66"/>
      <c r="AH504" s="66"/>
      <c r="AI504" s="66"/>
      <c r="AJ504" s="66"/>
      <c r="AK504" s="66"/>
      <c r="AL504" s="66"/>
      <c r="AM504" s="66"/>
      <c r="AN504" s="66"/>
      <c r="AO504" s="66"/>
      <c r="AP504" s="66"/>
      <c r="AQ504" s="66"/>
      <c r="AR504" s="66"/>
      <c r="AS504" s="66"/>
      <c r="AT504" s="66"/>
      <c r="AU504" s="66"/>
      <c r="AV504" s="66"/>
      <c r="AW504" s="66"/>
      <c r="AX504" s="66"/>
      <c r="AY504" s="66"/>
      <c r="AZ504" s="66"/>
      <c r="BA504" s="66"/>
      <c r="BB504" s="66"/>
      <c r="BC504" s="66"/>
    </row>
    <row r="505" ht="14.2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  <c r="AE505" s="66"/>
      <c r="AF505" s="66"/>
      <c r="AG505" s="66"/>
      <c r="AH505" s="66"/>
      <c r="AI505" s="66"/>
      <c r="AJ505" s="66"/>
      <c r="AK505" s="66"/>
      <c r="AL505" s="66"/>
      <c r="AM505" s="66"/>
      <c r="AN505" s="66"/>
      <c r="AO505" s="66"/>
      <c r="AP505" s="66"/>
      <c r="AQ505" s="66"/>
      <c r="AR505" s="66"/>
      <c r="AS505" s="66"/>
      <c r="AT505" s="66"/>
      <c r="AU505" s="66"/>
      <c r="AV505" s="66"/>
      <c r="AW505" s="66"/>
      <c r="AX505" s="66"/>
      <c r="AY505" s="66"/>
      <c r="AZ505" s="66"/>
      <c r="BA505" s="66"/>
      <c r="BB505" s="66"/>
      <c r="BC505" s="66"/>
    </row>
    <row r="506" ht="14.2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  <c r="AE506" s="66"/>
      <c r="AF506" s="66"/>
      <c r="AG506" s="66"/>
      <c r="AH506" s="66"/>
      <c r="AI506" s="66"/>
      <c r="AJ506" s="66"/>
      <c r="AK506" s="66"/>
      <c r="AL506" s="66"/>
      <c r="AM506" s="66"/>
      <c r="AN506" s="66"/>
      <c r="AO506" s="66"/>
      <c r="AP506" s="66"/>
      <c r="AQ506" s="66"/>
      <c r="AR506" s="66"/>
      <c r="AS506" s="66"/>
      <c r="AT506" s="66"/>
      <c r="AU506" s="66"/>
      <c r="AV506" s="66"/>
      <c r="AW506" s="66"/>
      <c r="AX506" s="66"/>
      <c r="AY506" s="66"/>
      <c r="AZ506" s="66"/>
      <c r="BA506" s="66"/>
      <c r="BB506" s="66"/>
      <c r="BC506" s="66"/>
    </row>
    <row r="507" ht="14.2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  <c r="AE507" s="66"/>
      <c r="AF507" s="66"/>
      <c r="AG507" s="66"/>
      <c r="AH507" s="66"/>
      <c r="AI507" s="66"/>
      <c r="AJ507" s="66"/>
      <c r="AK507" s="66"/>
      <c r="AL507" s="66"/>
      <c r="AM507" s="66"/>
      <c r="AN507" s="66"/>
      <c r="AO507" s="66"/>
      <c r="AP507" s="66"/>
      <c r="AQ507" s="66"/>
      <c r="AR507" s="66"/>
      <c r="AS507" s="66"/>
      <c r="AT507" s="66"/>
      <c r="AU507" s="66"/>
      <c r="AV507" s="66"/>
      <c r="AW507" s="66"/>
      <c r="AX507" s="66"/>
      <c r="AY507" s="66"/>
      <c r="AZ507" s="66"/>
      <c r="BA507" s="66"/>
      <c r="BB507" s="66"/>
      <c r="BC507" s="66"/>
    </row>
    <row r="508" ht="14.2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  <c r="AE508" s="66"/>
      <c r="AF508" s="66"/>
      <c r="AG508" s="66"/>
      <c r="AH508" s="66"/>
      <c r="AI508" s="66"/>
      <c r="AJ508" s="66"/>
      <c r="AK508" s="66"/>
      <c r="AL508" s="66"/>
      <c r="AM508" s="66"/>
      <c r="AN508" s="66"/>
      <c r="AO508" s="66"/>
      <c r="AP508" s="66"/>
      <c r="AQ508" s="66"/>
      <c r="AR508" s="66"/>
      <c r="AS508" s="66"/>
      <c r="AT508" s="66"/>
      <c r="AU508" s="66"/>
      <c r="AV508" s="66"/>
      <c r="AW508" s="66"/>
      <c r="AX508" s="66"/>
      <c r="AY508" s="66"/>
      <c r="AZ508" s="66"/>
      <c r="BA508" s="66"/>
      <c r="BB508" s="66"/>
      <c r="BC508" s="66"/>
    </row>
    <row r="509" ht="14.2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  <c r="AE509" s="66"/>
      <c r="AF509" s="66"/>
      <c r="AG509" s="66"/>
      <c r="AH509" s="66"/>
      <c r="AI509" s="66"/>
      <c r="AJ509" s="66"/>
      <c r="AK509" s="66"/>
      <c r="AL509" s="66"/>
      <c r="AM509" s="66"/>
      <c r="AN509" s="66"/>
      <c r="AO509" s="66"/>
      <c r="AP509" s="66"/>
      <c r="AQ509" s="66"/>
      <c r="AR509" s="66"/>
      <c r="AS509" s="66"/>
      <c r="AT509" s="66"/>
      <c r="AU509" s="66"/>
      <c r="AV509" s="66"/>
      <c r="AW509" s="66"/>
      <c r="AX509" s="66"/>
      <c r="AY509" s="66"/>
      <c r="AZ509" s="66"/>
      <c r="BA509" s="66"/>
      <c r="BB509" s="66"/>
      <c r="BC509" s="66"/>
    </row>
    <row r="510" ht="14.2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  <c r="AE510" s="66"/>
      <c r="AF510" s="66"/>
      <c r="AG510" s="66"/>
      <c r="AH510" s="66"/>
      <c r="AI510" s="66"/>
      <c r="AJ510" s="66"/>
      <c r="AK510" s="66"/>
      <c r="AL510" s="66"/>
      <c r="AM510" s="66"/>
      <c r="AN510" s="66"/>
      <c r="AO510" s="66"/>
      <c r="AP510" s="66"/>
      <c r="AQ510" s="66"/>
      <c r="AR510" s="66"/>
      <c r="AS510" s="66"/>
      <c r="AT510" s="66"/>
      <c r="AU510" s="66"/>
      <c r="AV510" s="66"/>
      <c r="AW510" s="66"/>
      <c r="AX510" s="66"/>
      <c r="AY510" s="66"/>
      <c r="AZ510" s="66"/>
      <c r="BA510" s="66"/>
      <c r="BB510" s="66"/>
      <c r="BC510" s="66"/>
    </row>
    <row r="511" ht="14.2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  <c r="AF511" s="66"/>
      <c r="AG511" s="66"/>
      <c r="AH511" s="66"/>
      <c r="AI511" s="66"/>
      <c r="AJ511" s="66"/>
      <c r="AK511" s="66"/>
      <c r="AL511" s="66"/>
      <c r="AM511" s="66"/>
      <c r="AN511" s="66"/>
      <c r="AO511" s="66"/>
      <c r="AP511" s="66"/>
      <c r="AQ511" s="66"/>
      <c r="AR511" s="66"/>
      <c r="AS511" s="66"/>
      <c r="AT511" s="66"/>
      <c r="AU511" s="66"/>
      <c r="AV511" s="66"/>
      <c r="AW511" s="66"/>
      <c r="AX511" s="66"/>
      <c r="AY511" s="66"/>
      <c r="AZ511" s="66"/>
      <c r="BA511" s="66"/>
      <c r="BB511" s="66"/>
      <c r="BC511" s="66"/>
    </row>
    <row r="512" ht="14.2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  <c r="AE512" s="66"/>
      <c r="AF512" s="66"/>
      <c r="AG512" s="66"/>
      <c r="AH512" s="66"/>
      <c r="AI512" s="66"/>
      <c r="AJ512" s="66"/>
      <c r="AK512" s="66"/>
      <c r="AL512" s="66"/>
      <c r="AM512" s="66"/>
      <c r="AN512" s="66"/>
      <c r="AO512" s="66"/>
      <c r="AP512" s="66"/>
      <c r="AQ512" s="66"/>
      <c r="AR512" s="66"/>
      <c r="AS512" s="66"/>
      <c r="AT512" s="66"/>
      <c r="AU512" s="66"/>
      <c r="AV512" s="66"/>
      <c r="AW512" s="66"/>
      <c r="AX512" s="66"/>
      <c r="AY512" s="66"/>
      <c r="AZ512" s="66"/>
      <c r="BA512" s="66"/>
      <c r="BB512" s="66"/>
      <c r="BC512" s="66"/>
    </row>
    <row r="513" ht="14.2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  <c r="AE513" s="66"/>
      <c r="AF513" s="66"/>
      <c r="AG513" s="66"/>
      <c r="AH513" s="66"/>
      <c r="AI513" s="66"/>
      <c r="AJ513" s="66"/>
      <c r="AK513" s="66"/>
      <c r="AL513" s="66"/>
      <c r="AM513" s="66"/>
      <c r="AN513" s="66"/>
      <c r="AO513" s="66"/>
      <c r="AP513" s="66"/>
      <c r="AQ513" s="66"/>
      <c r="AR513" s="66"/>
      <c r="AS513" s="66"/>
      <c r="AT513" s="66"/>
      <c r="AU513" s="66"/>
      <c r="AV513" s="66"/>
      <c r="AW513" s="66"/>
      <c r="AX513" s="66"/>
      <c r="AY513" s="66"/>
      <c r="AZ513" s="66"/>
      <c r="BA513" s="66"/>
      <c r="BB513" s="66"/>
      <c r="BC513" s="66"/>
    </row>
    <row r="514" ht="14.2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  <c r="AE514" s="66"/>
      <c r="AF514" s="66"/>
      <c r="AG514" s="66"/>
      <c r="AH514" s="66"/>
      <c r="AI514" s="66"/>
      <c r="AJ514" s="66"/>
      <c r="AK514" s="66"/>
      <c r="AL514" s="66"/>
      <c r="AM514" s="66"/>
      <c r="AN514" s="66"/>
      <c r="AO514" s="66"/>
      <c r="AP514" s="66"/>
      <c r="AQ514" s="66"/>
      <c r="AR514" s="66"/>
      <c r="AS514" s="66"/>
      <c r="AT514" s="66"/>
      <c r="AU514" s="66"/>
      <c r="AV514" s="66"/>
      <c r="AW514" s="66"/>
      <c r="AX514" s="66"/>
      <c r="AY514" s="66"/>
      <c r="AZ514" s="66"/>
      <c r="BA514" s="66"/>
      <c r="BB514" s="66"/>
      <c r="BC514" s="66"/>
    </row>
    <row r="515" ht="14.2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  <c r="AE515" s="66"/>
      <c r="AF515" s="66"/>
      <c r="AG515" s="66"/>
      <c r="AH515" s="66"/>
      <c r="AI515" s="66"/>
      <c r="AJ515" s="66"/>
      <c r="AK515" s="66"/>
      <c r="AL515" s="66"/>
      <c r="AM515" s="66"/>
      <c r="AN515" s="66"/>
      <c r="AO515" s="66"/>
      <c r="AP515" s="66"/>
      <c r="AQ515" s="66"/>
      <c r="AR515" s="66"/>
      <c r="AS515" s="66"/>
      <c r="AT515" s="66"/>
      <c r="AU515" s="66"/>
      <c r="AV515" s="66"/>
      <c r="AW515" s="66"/>
      <c r="AX515" s="66"/>
      <c r="AY515" s="66"/>
      <c r="AZ515" s="66"/>
      <c r="BA515" s="66"/>
      <c r="BB515" s="66"/>
      <c r="BC515" s="66"/>
    </row>
    <row r="516" ht="14.2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  <c r="AE516" s="66"/>
      <c r="AF516" s="66"/>
      <c r="AG516" s="66"/>
      <c r="AH516" s="66"/>
      <c r="AI516" s="66"/>
      <c r="AJ516" s="66"/>
      <c r="AK516" s="66"/>
      <c r="AL516" s="66"/>
      <c r="AM516" s="66"/>
      <c r="AN516" s="66"/>
      <c r="AO516" s="66"/>
      <c r="AP516" s="66"/>
      <c r="AQ516" s="66"/>
      <c r="AR516" s="66"/>
      <c r="AS516" s="66"/>
      <c r="AT516" s="66"/>
      <c r="AU516" s="66"/>
      <c r="AV516" s="66"/>
      <c r="AW516" s="66"/>
      <c r="AX516" s="66"/>
      <c r="AY516" s="66"/>
      <c r="AZ516" s="66"/>
      <c r="BA516" s="66"/>
      <c r="BB516" s="66"/>
      <c r="BC516" s="66"/>
    </row>
    <row r="517" ht="14.2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  <c r="AE517" s="66"/>
      <c r="AF517" s="66"/>
      <c r="AG517" s="66"/>
      <c r="AH517" s="66"/>
      <c r="AI517" s="66"/>
      <c r="AJ517" s="66"/>
      <c r="AK517" s="66"/>
      <c r="AL517" s="66"/>
      <c r="AM517" s="66"/>
      <c r="AN517" s="66"/>
      <c r="AO517" s="66"/>
      <c r="AP517" s="66"/>
      <c r="AQ517" s="66"/>
      <c r="AR517" s="66"/>
      <c r="AS517" s="66"/>
      <c r="AT517" s="66"/>
      <c r="AU517" s="66"/>
      <c r="AV517" s="66"/>
      <c r="AW517" s="66"/>
      <c r="AX517" s="66"/>
      <c r="AY517" s="66"/>
      <c r="AZ517" s="66"/>
      <c r="BA517" s="66"/>
      <c r="BB517" s="66"/>
      <c r="BC517" s="66"/>
    </row>
    <row r="518" ht="14.2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  <c r="AE518" s="66"/>
      <c r="AF518" s="66"/>
      <c r="AG518" s="66"/>
      <c r="AH518" s="66"/>
      <c r="AI518" s="66"/>
      <c r="AJ518" s="66"/>
      <c r="AK518" s="66"/>
      <c r="AL518" s="66"/>
      <c r="AM518" s="66"/>
      <c r="AN518" s="66"/>
      <c r="AO518" s="66"/>
      <c r="AP518" s="66"/>
      <c r="AQ518" s="66"/>
      <c r="AR518" s="66"/>
      <c r="AS518" s="66"/>
      <c r="AT518" s="66"/>
      <c r="AU518" s="66"/>
      <c r="AV518" s="66"/>
      <c r="AW518" s="66"/>
      <c r="AX518" s="66"/>
      <c r="AY518" s="66"/>
      <c r="AZ518" s="66"/>
      <c r="BA518" s="66"/>
      <c r="BB518" s="66"/>
      <c r="BC518" s="66"/>
    </row>
    <row r="519" ht="14.2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  <c r="AE519" s="66"/>
      <c r="AF519" s="66"/>
      <c r="AG519" s="66"/>
      <c r="AH519" s="66"/>
      <c r="AI519" s="66"/>
      <c r="AJ519" s="66"/>
      <c r="AK519" s="66"/>
      <c r="AL519" s="66"/>
      <c r="AM519" s="66"/>
      <c r="AN519" s="66"/>
      <c r="AO519" s="66"/>
      <c r="AP519" s="66"/>
      <c r="AQ519" s="66"/>
      <c r="AR519" s="66"/>
      <c r="AS519" s="66"/>
      <c r="AT519" s="66"/>
      <c r="AU519" s="66"/>
      <c r="AV519" s="66"/>
      <c r="AW519" s="66"/>
      <c r="AX519" s="66"/>
      <c r="AY519" s="66"/>
      <c r="AZ519" s="66"/>
      <c r="BA519" s="66"/>
      <c r="BB519" s="66"/>
      <c r="BC519" s="66"/>
    </row>
    <row r="520" ht="14.2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  <c r="AE520" s="66"/>
      <c r="AF520" s="66"/>
      <c r="AG520" s="66"/>
      <c r="AH520" s="66"/>
      <c r="AI520" s="66"/>
      <c r="AJ520" s="66"/>
      <c r="AK520" s="66"/>
      <c r="AL520" s="66"/>
      <c r="AM520" s="66"/>
      <c r="AN520" s="66"/>
      <c r="AO520" s="66"/>
      <c r="AP520" s="66"/>
      <c r="AQ520" s="66"/>
      <c r="AR520" s="66"/>
      <c r="AS520" s="66"/>
      <c r="AT520" s="66"/>
      <c r="AU520" s="66"/>
      <c r="AV520" s="66"/>
      <c r="AW520" s="66"/>
      <c r="AX520" s="66"/>
      <c r="AY520" s="66"/>
      <c r="AZ520" s="66"/>
      <c r="BA520" s="66"/>
      <c r="BB520" s="66"/>
      <c r="BC520" s="66"/>
    </row>
    <row r="521" ht="14.2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  <c r="AF521" s="66"/>
      <c r="AG521" s="66"/>
      <c r="AH521" s="66"/>
      <c r="AI521" s="66"/>
      <c r="AJ521" s="66"/>
      <c r="AK521" s="66"/>
      <c r="AL521" s="66"/>
      <c r="AM521" s="66"/>
      <c r="AN521" s="66"/>
      <c r="AO521" s="66"/>
      <c r="AP521" s="66"/>
      <c r="AQ521" s="66"/>
      <c r="AR521" s="66"/>
      <c r="AS521" s="66"/>
      <c r="AT521" s="66"/>
      <c r="AU521" s="66"/>
      <c r="AV521" s="66"/>
      <c r="AW521" s="66"/>
      <c r="AX521" s="66"/>
      <c r="AY521" s="66"/>
      <c r="AZ521" s="66"/>
      <c r="BA521" s="66"/>
      <c r="BB521" s="66"/>
      <c r="BC521" s="66"/>
    </row>
    <row r="522" ht="14.2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66"/>
      <c r="AI522" s="66"/>
      <c r="AJ522" s="66"/>
      <c r="AK522" s="66"/>
      <c r="AL522" s="66"/>
      <c r="AM522" s="66"/>
      <c r="AN522" s="66"/>
      <c r="AO522" s="66"/>
      <c r="AP522" s="66"/>
      <c r="AQ522" s="66"/>
      <c r="AR522" s="66"/>
      <c r="AS522" s="66"/>
      <c r="AT522" s="66"/>
      <c r="AU522" s="66"/>
      <c r="AV522" s="66"/>
      <c r="AW522" s="66"/>
      <c r="AX522" s="66"/>
      <c r="AY522" s="66"/>
      <c r="AZ522" s="66"/>
      <c r="BA522" s="66"/>
      <c r="BB522" s="66"/>
      <c r="BC522" s="66"/>
    </row>
    <row r="523" ht="14.2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  <c r="AF523" s="66"/>
      <c r="AG523" s="66"/>
      <c r="AH523" s="66"/>
      <c r="AI523" s="66"/>
      <c r="AJ523" s="66"/>
      <c r="AK523" s="66"/>
      <c r="AL523" s="66"/>
      <c r="AM523" s="66"/>
      <c r="AN523" s="66"/>
      <c r="AO523" s="66"/>
      <c r="AP523" s="66"/>
      <c r="AQ523" s="66"/>
      <c r="AR523" s="66"/>
      <c r="AS523" s="66"/>
      <c r="AT523" s="66"/>
      <c r="AU523" s="66"/>
      <c r="AV523" s="66"/>
      <c r="AW523" s="66"/>
      <c r="AX523" s="66"/>
      <c r="AY523" s="66"/>
      <c r="AZ523" s="66"/>
      <c r="BA523" s="66"/>
      <c r="BB523" s="66"/>
      <c r="BC523" s="66"/>
    </row>
    <row r="524" ht="14.2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  <c r="AE524" s="66"/>
      <c r="AF524" s="66"/>
      <c r="AG524" s="66"/>
      <c r="AH524" s="66"/>
      <c r="AI524" s="66"/>
      <c r="AJ524" s="66"/>
      <c r="AK524" s="66"/>
      <c r="AL524" s="66"/>
      <c r="AM524" s="66"/>
      <c r="AN524" s="66"/>
      <c r="AO524" s="66"/>
      <c r="AP524" s="66"/>
      <c r="AQ524" s="66"/>
      <c r="AR524" s="66"/>
      <c r="AS524" s="66"/>
      <c r="AT524" s="66"/>
      <c r="AU524" s="66"/>
      <c r="AV524" s="66"/>
      <c r="AW524" s="66"/>
      <c r="AX524" s="66"/>
      <c r="AY524" s="66"/>
      <c r="AZ524" s="66"/>
      <c r="BA524" s="66"/>
      <c r="BB524" s="66"/>
      <c r="BC524" s="66"/>
    </row>
    <row r="525" ht="14.2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  <c r="AE525" s="66"/>
      <c r="AF525" s="66"/>
      <c r="AG525" s="66"/>
      <c r="AH525" s="66"/>
      <c r="AI525" s="66"/>
      <c r="AJ525" s="66"/>
      <c r="AK525" s="66"/>
      <c r="AL525" s="66"/>
      <c r="AM525" s="66"/>
      <c r="AN525" s="66"/>
      <c r="AO525" s="66"/>
      <c r="AP525" s="66"/>
      <c r="AQ525" s="66"/>
      <c r="AR525" s="66"/>
      <c r="AS525" s="66"/>
      <c r="AT525" s="66"/>
      <c r="AU525" s="66"/>
      <c r="AV525" s="66"/>
      <c r="AW525" s="66"/>
      <c r="AX525" s="66"/>
      <c r="AY525" s="66"/>
      <c r="AZ525" s="66"/>
      <c r="BA525" s="66"/>
      <c r="BB525" s="66"/>
      <c r="BC525" s="66"/>
    </row>
    <row r="526" ht="14.2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  <c r="AE526" s="66"/>
      <c r="AF526" s="66"/>
      <c r="AG526" s="66"/>
      <c r="AH526" s="66"/>
      <c r="AI526" s="66"/>
      <c r="AJ526" s="66"/>
      <c r="AK526" s="66"/>
      <c r="AL526" s="66"/>
      <c r="AM526" s="66"/>
      <c r="AN526" s="66"/>
      <c r="AO526" s="66"/>
      <c r="AP526" s="66"/>
      <c r="AQ526" s="66"/>
      <c r="AR526" s="66"/>
      <c r="AS526" s="66"/>
      <c r="AT526" s="66"/>
      <c r="AU526" s="66"/>
      <c r="AV526" s="66"/>
      <c r="AW526" s="66"/>
      <c r="AX526" s="66"/>
      <c r="AY526" s="66"/>
      <c r="AZ526" s="66"/>
      <c r="BA526" s="66"/>
      <c r="BB526" s="66"/>
      <c r="BC526" s="66"/>
    </row>
    <row r="527" ht="14.2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  <c r="AE527" s="66"/>
      <c r="AF527" s="66"/>
      <c r="AG527" s="66"/>
      <c r="AH527" s="66"/>
      <c r="AI527" s="66"/>
      <c r="AJ527" s="66"/>
      <c r="AK527" s="66"/>
      <c r="AL527" s="66"/>
      <c r="AM527" s="66"/>
      <c r="AN527" s="66"/>
      <c r="AO527" s="66"/>
      <c r="AP527" s="66"/>
      <c r="AQ527" s="66"/>
      <c r="AR527" s="66"/>
      <c r="AS527" s="66"/>
      <c r="AT527" s="66"/>
      <c r="AU527" s="66"/>
      <c r="AV527" s="66"/>
      <c r="AW527" s="66"/>
      <c r="AX527" s="66"/>
      <c r="AY527" s="66"/>
      <c r="AZ527" s="66"/>
      <c r="BA527" s="66"/>
      <c r="BB527" s="66"/>
      <c r="BC527" s="66"/>
    </row>
    <row r="528" ht="14.2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  <c r="AE528" s="66"/>
      <c r="AF528" s="66"/>
      <c r="AG528" s="66"/>
      <c r="AH528" s="66"/>
      <c r="AI528" s="66"/>
      <c r="AJ528" s="66"/>
      <c r="AK528" s="66"/>
      <c r="AL528" s="66"/>
      <c r="AM528" s="66"/>
      <c r="AN528" s="66"/>
      <c r="AO528" s="66"/>
      <c r="AP528" s="66"/>
      <c r="AQ528" s="66"/>
      <c r="AR528" s="66"/>
      <c r="AS528" s="66"/>
      <c r="AT528" s="66"/>
      <c r="AU528" s="66"/>
      <c r="AV528" s="66"/>
      <c r="AW528" s="66"/>
      <c r="AX528" s="66"/>
      <c r="AY528" s="66"/>
      <c r="AZ528" s="66"/>
      <c r="BA528" s="66"/>
      <c r="BB528" s="66"/>
      <c r="BC528" s="66"/>
    </row>
    <row r="529" ht="14.2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  <c r="AE529" s="66"/>
      <c r="AF529" s="66"/>
      <c r="AG529" s="66"/>
      <c r="AH529" s="66"/>
      <c r="AI529" s="66"/>
      <c r="AJ529" s="66"/>
      <c r="AK529" s="66"/>
      <c r="AL529" s="66"/>
      <c r="AM529" s="66"/>
      <c r="AN529" s="66"/>
      <c r="AO529" s="66"/>
      <c r="AP529" s="66"/>
      <c r="AQ529" s="66"/>
      <c r="AR529" s="66"/>
      <c r="AS529" s="66"/>
      <c r="AT529" s="66"/>
      <c r="AU529" s="66"/>
      <c r="AV529" s="66"/>
      <c r="AW529" s="66"/>
      <c r="AX529" s="66"/>
      <c r="AY529" s="66"/>
      <c r="AZ529" s="66"/>
      <c r="BA529" s="66"/>
      <c r="BB529" s="66"/>
      <c r="BC529" s="66"/>
    </row>
    <row r="530" ht="14.2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  <c r="AE530" s="66"/>
      <c r="AF530" s="66"/>
      <c r="AG530" s="66"/>
      <c r="AH530" s="66"/>
      <c r="AI530" s="66"/>
      <c r="AJ530" s="66"/>
      <c r="AK530" s="66"/>
      <c r="AL530" s="66"/>
      <c r="AM530" s="66"/>
      <c r="AN530" s="66"/>
      <c r="AO530" s="66"/>
      <c r="AP530" s="66"/>
      <c r="AQ530" s="66"/>
      <c r="AR530" s="66"/>
      <c r="AS530" s="66"/>
      <c r="AT530" s="66"/>
      <c r="AU530" s="66"/>
      <c r="AV530" s="66"/>
      <c r="AW530" s="66"/>
      <c r="AX530" s="66"/>
      <c r="AY530" s="66"/>
      <c r="AZ530" s="66"/>
      <c r="BA530" s="66"/>
      <c r="BB530" s="66"/>
      <c r="BC530" s="66"/>
    </row>
    <row r="531" ht="14.2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  <c r="AE531" s="66"/>
      <c r="AF531" s="66"/>
      <c r="AG531" s="66"/>
      <c r="AH531" s="66"/>
      <c r="AI531" s="66"/>
      <c r="AJ531" s="66"/>
      <c r="AK531" s="66"/>
      <c r="AL531" s="66"/>
      <c r="AM531" s="66"/>
      <c r="AN531" s="66"/>
      <c r="AO531" s="66"/>
      <c r="AP531" s="66"/>
      <c r="AQ531" s="66"/>
      <c r="AR531" s="66"/>
      <c r="AS531" s="66"/>
      <c r="AT531" s="66"/>
      <c r="AU531" s="66"/>
      <c r="AV531" s="66"/>
      <c r="AW531" s="66"/>
      <c r="AX531" s="66"/>
      <c r="AY531" s="66"/>
      <c r="AZ531" s="66"/>
      <c r="BA531" s="66"/>
      <c r="BB531" s="66"/>
      <c r="BC531" s="66"/>
    </row>
    <row r="532" ht="14.2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  <c r="AE532" s="66"/>
      <c r="AF532" s="66"/>
      <c r="AG532" s="66"/>
      <c r="AH532" s="66"/>
      <c r="AI532" s="66"/>
      <c r="AJ532" s="66"/>
      <c r="AK532" s="66"/>
      <c r="AL532" s="66"/>
      <c r="AM532" s="66"/>
      <c r="AN532" s="66"/>
      <c r="AO532" s="66"/>
      <c r="AP532" s="66"/>
      <c r="AQ532" s="66"/>
      <c r="AR532" s="66"/>
      <c r="AS532" s="66"/>
      <c r="AT532" s="66"/>
      <c r="AU532" s="66"/>
      <c r="AV532" s="66"/>
      <c r="AW532" s="66"/>
      <c r="AX532" s="66"/>
      <c r="AY532" s="66"/>
      <c r="AZ532" s="66"/>
      <c r="BA532" s="66"/>
      <c r="BB532" s="66"/>
      <c r="BC532" s="66"/>
    </row>
    <row r="533" ht="14.2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  <c r="AE533" s="66"/>
      <c r="AF533" s="66"/>
      <c r="AG533" s="66"/>
      <c r="AH533" s="66"/>
      <c r="AI533" s="66"/>
      <c r="AJ533" s="66"/>
      <c r="AK533" s="66"/>
      <c r="AL533" s="66"/>
      <c r="AM533" s="66"/>
      <c r="AN533" s="66"/>
      <c r="AO533" s="66"/>
      <c r="AP533" s="66"/>
      <c r="AQ533" s="66"/>
      <c r="AR533" s="66"/>
      <c r="AS533" s="66"/>
      <c r="AT533" s="66"/>
      <c r="AU533" s="66"/>
      <c r="AV533" s="66"/>
      <c r="AW533" s="66"/>
      <c r="AX533" s="66"/>
      <c r="AY533" s="66"/>
      <c r="AZ533" s="66"/>
      <c r="BA533" s="66"/>
      <c r="BB533" s="66"/>
      <c r="BC533" s="66"/>
    </row>
    <row r="534" ht="14.2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  <c r="AE534" s="66"/>
      <c r="AF534" s="66"/>
      <c r="AG534" s="66"/>
      <c r="AH534" s="66"/>
      <c r="AI534" s="66"/>
      <c r="AJ534" s="66"/>
      <c r="AK534" s="66"/>
      <c r="AL534" s="66"/>
      <c r="AM534" s="66"/>
      <c r="AN534" s="66"/>
      <c r="AO534" s="66"/>
      <c r="AP534" s="66"/>
      <c r="AQ534" s="66"/>
      <c r="AR534" s="66"/>
      <c r="AS534" s="66"/>
      <c r="AT534" s="66"/>
      <c r="AU534" s="66"/>
      <c r="AV534" s="66"/>
      <c r="AW534" s="66"/>
      <c r="AX534" s="66"/>
      <c r="AY534" s="66"/>
      <c r="AZ534" s="66"/>
      <c r="BA534" s="66"/>
      <c r="BB534" s="66"/>
      <c r="BC534" s="66"/>
    </row>
    <row r="535" ht="14.2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  <c r="AE535" s="66"/>
      <c r="AF535" s="66"/>
      <c r="AG535" s="66"/>
      <c r="AH535" s="66"/>
      <c r="AI535" s="66"/>
      <c r="AJ535" s="66"/>
      <c r="AK535" s="66"/>
      <c r="AL535" s="66"/>
      <c r="AM535" s="66"/>
      <c r="AN535" s="66"/>
      <c r="AO535" s="66"/>
      <c r="AP535" s="66"/>
      <c r="AQ535" s="66"/>
      <c r="AR535" s="66"/>
      <c r="AS535" s="66"/>
      <c r="AT535" s="66"/>
      <c r="AU535" s="66"/>
      <c r="AV535" s="66"/>
      <c r="AW535" s="66"/>
      <c r="AX535" s="66"/>
      <c r="AY535" s="66"/>
      <c r="AZ535" s="66"/>
      <c r="BA535" s="66"/>
      <c r="BB535" s="66"/>
      <c r="BC535" s="66"/>
    </row>
    <row r="536" ht="14.2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  <c r="AE536" s="66"/>
      <c r="AF536" s="66"/>
      <c r="AG536" s="66"/>
      <c r="AH536" s="66"/>
      <c r="AI536" s="66"/>
      <c r="AJ536" s="66"/>
      <c r="AK536" s="66"/>
      <c r="AL536" s="66"/>
      <c r="AM536" s="66"/>
      <c r="AN536" s="66"/>
      <c r="AO536" s="66"/>
      <c r="AP536" s="66"/>
      <c r="AQ536" s="66"/>
      <c r="AR536" s="66"/>
      <c r="AS536" s="66"/>
      <c r="AT536" s="66"/>
      <c r="AU536" s="66"/>
      <c r="AV536" s="66"/>
      <c r="AW536" s="66"/>
      <c r="AX536" s="66"/>
      <c r="AY536" s="66"/>
      <c r="AZ536" s="66"/>
      <c r="BA536" s="66"/>
      <c r="BB536" s="66"/>
      <c r="BC536" s="66"/>
    </row>
    <row r="537" ht="14.2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  <c r="AE537" s="66"/>
      <c r="AF537" s="66"/>
      <c r="AG537" s="66"/>
      <c r="AH537" s="66"/>
      <c r="AI537" s="66"/>
      <c r="AJ537" s="66"/>
      <c r="AK537" s="66"/>
      <c r="AL537" s="66"/>
      <c r="AM537" s="66"/>
      <c r="AN537" s="66"/>
      <c r="AO537" s="66"/>
      <c r="AP537" s="66"/>
      <c r="AQ537" s="66"/>
      <c r="AR537" s="66"/>
      <c r="AS537" s="66"/>
      <c r="AT537" s="66"/>
      <c r="AU537" s="66"/>
      <c r="AV537" s="66"/>
      <c r="AW537" s="66"/>
      <c r="AX537" s="66"/>
      <c r="AY537" s="66"/>
      <c r="AZ537" s="66"/>
      <c r="BA537" s="66"/>
      <c r="BB537" s="66"/>
      <c r="BC537" s="66"/>
    </row>
    <row r="538" ht="14.2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  <c r="AE538" s="66"/>
      <c r="AF538" s="66"/>
      <c r="AG538" s="66"/>
      <c r="AH538" s="66"/>
      <c r="AI538" s="66"/>
      <c r="AJ538" s="66"/>
      <c r="AK538" s="66"/>
      <c r="AL538" s="66"/>
      <c r="AM538" s="66"/>
      <c r="AN538" s="66"/>
      <c r="AO538" s="66"/>
      <c r="AP538" s="66"/>
      <c r="AQ538" s="66"/>
      <c r="AR538" s="66"/>
      <c r="AS538" s="66"/>
      <c r="AT538" s="66"/>
      <c r="AU538" s="66"/>
      <c r="AV538" s="66"/>
      <c r="AW538" s="66"/>
      <c r="AX538" s="66"/>
      <c r="AY538" s="66"/>
      <c r="AZ538" s="66"/>
      <c r="BA538" s="66"/>
      <c r="BB538" s="66"/>
      <c r="BC538" s="66"/>
    </row>
    <row r="539" ht="14.2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  <c r="AE539" s="66"/>
      <c r="AF539" s="66"/>
      <c r="AG539" s="66"/>
      <c r="AH539" s="66"/>
      <c r="AI539" s="66"/>
      <c r="AJ539" s="66"/>
      <c r="AK539" s="66"/>
      <c r="AL539" s="66"/>
      <c r="AM539" s="66"/>
      <c r="AN539" s="66"/>
      <c r="AO539" s="66"/>
      <c r="AP539" s="66"/>
      <c r="AQ539" s="66"/>
      <c r="AR539" s="66"/>
      <c r="AS539" s="66"/>
      <c r="AT539" s="66"/>
      <c r="AU539" s="66"/>
      <c r="AV539" s="66"/>
      <c r="AW539" s="66"/>
      <c r="AX539" s="66"/>
      <c r="AY539" s="66"/>
      <c r="AZ539" s="66"/>
      <c r="BA539" s="66"/>
      <c r="BB539" s="66"/>
      <c r="BC539" s="66"/>
    </row>
    <row r="540" ht="14.2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  <c r="AE540" s="66"/>
      <c r="AF540" s="66"/>
      <c r="AG540" s="66"/>
      <c r="AH540" s="66"/>
      <c r="AI540" s="66"/>
      <c r="AJ540" s="66"/>
      <c r="AK540" s="66"/>
      <c r="AL540" s="66"/>
      <c r="AM540" s="66"/>
      <c r="AN540" s="66"/>
      <c r="AO540" s="66"/>
      <c r="AP540" s="66"/>
      <c r="AQ540" s="66"/>
      <c r="AR540" s="66"/>
      <c r="AS540" s="66"/>
      <c r="AT540" s="66"/>
      <c r="AU540" s="66"/>
      <c r="AV540" s="66"/>
      <c r="AW540" s="66"/>
      <c r="AX540" s="66"/>
      <c r="AY540" s="66"/>
      <c r="AZ540" s="66"/>
      <c r="BA540" s="66"/>
      <c r="BB540" s="66"/>
      <c r="BC540" s="66"/>
    </row>
    <row r="541" ht="14.2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  <c r="AE541" s="66"/>
      <c r="AF541" s="66"/>
      <c r="AG541" s="66"/>
      <c r="AH541" s="66"/>
      <c r="AI541" s="66"/>
      <c r="AJ541" s="66"/>
      <c r="AK541" s="66"/>
      <c r="AL541" s="66"/>
      <c r="AM541" s="66"/>
      <c r="AN541" s="66"/>
      <c r="AO541" s="66"/>
      <c r="AP541" s="66"/>
      <c r="AQ541" s="66"/>
      <c r="AR541" s="66"/>
      <c r="AS541" s="66"/>
      <c r="AT541" s="66"/>
      <c r="AU541" s="66"/>
      <c r="AV541" s="66"/>
      <c r="AW541" s="66"/>
      <c r="AX541" s="66"/>
      <c r="AY541" s="66"/>
      <c r="AZ541" s="66"/>
      <c r="BA541" s="66"/>
      <c r="BB541" s="66"/>
      <c r="BC541" s="66"/>
    </row>
    <row r="542" ht="14.2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  <c r="AE542" s="66"/>
      <c r="AF542" s="66"/>
      <c r="AG542" s="66"/>
      <c r="AH542" s="66"/>
      <c r="AI542" s="66"/>
      <c r="AJ542" s="66"/>
      <c r="AK542" s="66"/>
      <c r="AL542" s="66"/>
      <c r="AM542" s="66"/>
      <c r="AN542" s="66"/>
      <c r="AO542" s="66"/>
      <c r="AP542" s="66"/>
      <c r="AQ542" s="66"/>
      <c r="AR542" s="66"/>
      <c r="AS542" s="66"/>
      <c r="AT542" s="66"/>
      <c r="AU542" s="66"/>
      <c r="AV542" s="66"/>
      <c r="AW542" s="66"/>
      <c r="AX542" s="66"/>
      <c r="AY542" s="66"/>
      <c r="AZ542" s="66"/>
      <c r="BA542" s="66"/>
      <c r="BB542" s="66"/>
      <c r="BC542" s="66"/>
    </row>
    <row r="543" ht="14.2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  <c r="AE543" s="66"/>
      <c r="AF543" s="66"/>
      <c r="AG543" s="66"/>
      <c r="AH543" s="66"/>
      <c r="AI543" s="66"/>
      <c r="AJ543" s="66"/>
      <c r="AK543" s="66"/>
      <c r="AL543" s="66"/>
      <c r="AM543" s="66"/>
      <c r="AN543" s="66"/>
      <c r="AO543" s="66"/>
      <c r="AP543" s="66"/>
      <c r="AQ543" s="66"/>
      <c r="AR543" s="66"/>
      <c r="AS543" s="66"/>
      <c r="AT543" s="66"/>
      <c r="AU543" s="66"/>
      <c r="AV543" s="66"/>
      <c r="AW543" s="66"/>
      <c r="AX543" s="66"/>
      <c r="AY543" s="66"/>
      <c r="AZ543" s="66"/>
      <c r="BA543" s="66"/>
      <c r="BB543" s="66"/>
      <c r="BC543" s="66"/>
    </row>
    <row r="544" ht="14.2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  <c r="AE544" s="66"/>
      <c r="AF544" s="66"/>
      <c r="AG544" s="66"/>
      <c r="AH544" s="66"/>
      <c r="AI544" s="66"/>
      <c r="AJ544" s="66"/>
      <c r="AK544" s="66"/>
      <c r="AL544" s="66"/>
      <c r="AM544" s="66"/>
      <c r="AN544" s="66"/>
      <c r="AO544" s="66"/>
      <c r="AP544" s="66"/>
      <c r="AQ544" s="66"/>
      <c r="AR544" s="66"/>
      <c r="AS544" s="66"/>
      <c r="AT544" s="66"/>
      <c r="AU544" s="66"/>
      <c r="AV544" s="66"/>
      <c r="AW544" s="66"/>
      <c r="AX544" s="66"/>
      <c r="AY544" s="66"/>
      <c r="AZ544" s="66"/>
      <c r="BA544" s="66"/>
      <c r="BB544" s="66"/>
      <c r="BC544" s="66"/>
    </row>
    <row r="545" ht="14.2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  <c r="AE545" s="66"/>
      <c r="AF545" s="66"/>
      <c r="AG545" s="66"/>
      <c r="AH545" s="66"/>
      <c r="AI545" s="66"/>
      <c r="AJ545" s="66"/>
      <c r="AK545" s="66"/>
      <c r="AL545" s="66"/>
      <c r="AM545" s="66"/>
      <c r="AN545" s="66"/>
      <c r="AO545" s="66"/>
      <c r="AP545" s="66"/>
      <c r="AQ545" s="66"/>
      <c r="AR545" s="66"/>
      <c r="AS545" s="66"/>
      <c r="AT545" s="66"/>
      <c r="AU545" s="66"/>
      <c r="AV545" s="66"/>
      <c r="AW545" s="66"/>
      <c r="AX545" s="66"/>
      <c r="AY545" s="66"/>
      <c r="AZ545" s="66"/>
      <c r="BA545" s="66"/>
      <c r="BB545" s="66"/>
      <c r="BC545" s="66"/>
    </row>
    <row r="546" ht="14.2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  <c r="AE546" s="66"/>
      <c r="AF546" s="66"/>
      <c r="AG546" s="66"/>
      <c r="AH546" s="66"/>
      <c r="AI546" s="66"/>
      <c r="AJ546" s="66"/>
      <c r="AK546" s="66"/>
      <c r="AL546" s="66"/>
      <c r="AM546" s="66"/>
      <c r="AN546" s="66"/>
      <c r="AO546" s="66"/>
      <c r="AP546" s="66"/>
      <c r="AQ546" s="66"/>
      <c r="AR546" s="66"/>
      <c r="AS546" s="66"/>
      <c r="AT546" s="66"/>
      <c r="AU546" s="66"/>
      <c r="AV546" s="66"/>
      <c r="AW546" s="66"/>
      <c r="AX546" s="66"/>
      <c r="AY546" s="66"/>
      <c r="AZ546" s="66"/>
      <c r="BA546" s="66"/>
      <c r="BB546" s="66"/>
      <c r="BC546" s="66"/>
    </row>
    <row r="547" ht="14.2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  <c r="AE547" s="66"/>
      <c r="AF547" s="66"/>
      <c r="AG547" s="66"/>
      <c r="AH547" s="66"/>
      <c r="AI547" s="66"/>
      <c r="AJ547" s="66"/>
      <c r="AK547" s="66"/>
      <c r="AL547" s="66"/>
      <c r="AM547" s="66"/>
      <c r="AN547" s="66"/>
      <c r="AO547" s="66"/>
      <c r="AP547" s="66"/>
      <c r="AQ547" s="66"/>
      <c r="AR547" s="66"/>
      <c r="AS547" s="66"/>
      <c r="AT547" s="66"/>
      <c r="AU547" s="66"/>
      <c r="AV547" s="66"/>
      <c r="AW547" s="66"/>
      <c r="AX547" s="66"/>
      <c r="AY547" s="66"/>
      <c r="AZ547" s="66"/>
      <c r="BA547" s="66"/>
      <c r="BB547" s="66"/>
      <c r="BC547" s="66"/>
    </row>
    <row r="548" ht="14.2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  <c r="AE548" s="66"/>
      <c r="AF548" s="66"/>
      <c r="AG548" s="66"/>
      <c r="AH548" s="66"/>
      <c r="AI548" s="66"/>
      <c r="AJ548" s="66"/>
      <c r="AK548" s="66"/>
      <c r="AL548" s="66"/>
      <c r="AM548" s="66"/>
      <c r="AN548" s="66"/>
      <c r="AO548" s="66"/>
      <c r="AP548" s="66"/>
      <c r="AQ548" s="66"/>
      <c r="AR548" s="66"/>
      <c r="AS548" s="66"/>
      <c r="AT548" s="66"/>
      <c r="AU548" s="66"/>
      <c r="AV548" s="66"/>
      <c r="AW548" s="66"/>
      <c r="AX548" s="66"/>
      <c r="AY548" s="66"/>
      <c r="AZ548" s="66"/>
      <c r="BA548" s="66"/>
      <c r="BB548" s="66"/>
      <c r="BC548" s="66"/>
    </row>
    <row r="549" ht="14.2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  <c r="AE549" s="66"/>
      <c r="AF549" s="66"/>
      <c r="AG549" s="66"/>
      <c r="AH549" s="66"/>
      <c r="AI549" s="66"/>
      <c r="AJ549" s="66"/>
      <c r="AK549" s="66"/>
      <c r="AL549" s="66"/>
      <c r="AM549" s="66"/>
      <c r="AN549" s="66"/>
      <c r="AO549" s="66"/>
      <c r="AP549" s="66"/>
      <c r="AQ549" s="66"/>
      <c r="AR549" s="66"/>
      <c r="AS549" s="66"/>
      <c r="AT549" s="66"/>
      <c r="AU549" s="66"/>
      <c r="AV549" s="66"/>
      <c r="AW549" s="66"/>
      <c r="AX549" s="66"/>
      <c r="AY549" s="66"/>
      <c r="AZ549" s="66"/>
      <c r="BA549" s="66"/>
      <c r="BB549" s="66"/>
      <c r="BC549" s="66"/>
    </row>
    <row r="550" ht="14.2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  <c r="AE550" s="66"/>
      <c r="AF550" s="66"/>
      <c r="AG550" s="66"/>
      <c r="AH550" s="66"/>
      <c r="AI550" s="66"/>
      <c r="AJ550" s="66"/>
      <c r="AK550" s="66"/>
      <c r="AL550" s="66"/>
      <c r="AM550" s="66"/>
      <c r="AN550" s="66"/>
      <c r="AO550" s="66"/>
      <c r="AP550" s="66"/>
      <c r="AQ550" s="66"/>
      <c r="AR550" s="66"/>
      <c r="AS550" s="66"/>
      <c r="AT550" s="66"/>
      <c r="AU550" s="66"/>
      <c r="AV550" s="66"/>
      <c r="AW550" s="66"/>
      <c r="AX550" s="66"/>
      <c r="AY550" s="66"/>
      <c r="AZ550" s="66"/>
      <c r="BA550" s="66"/>
      <c r="BB550" s="66"/>
      <c r="BC550" s="66"/>
    </row>
    <row r="551" ht="14.2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  <c r="AE551" s="66"/>
      <c r="AF551" s="66"/>
      <c r="AG551" s="66"/>
      <c r="AH551" s="66"/>
      <c r="AI551" s="66"/>
      <c r="AJ551" s="66"/>
      <c r="AK551" s="66"/>
      <c r="AL551" s="66"/>
      <c r="AM551" s="66"/>
      <c r="AN551" s="66"/>
      <c r="AO551" s="66"/>
      <c r="AP551" s="66"/>
      <c r="AQ551" s="66"/>
      <c r="AR551" s="66"/>
      <c r="AS551" s="66"/>
      <c r="AT551" s="66"/>
      <c r="AU551" s="66"/>
      <c r="AV551" s="66"/>
      <c r="AW551" s="66"/>
      <c r="AX551" s="66"/>
      <c r="AY551" s="66"/>
      <c r="AZ551" s="66"/>
      <c r="BA551" s="66"/>
      <c r="BB551" s="66"/>
      <c r="BC551" s="66"/>
    </row>
    <row r="552" ht="14.2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  <c r="AE552" s="66"/>
      <c r="AF552" s="66"/>
      <c r="AG552" s="66"/>
      <c r="AH552" s="66"/>
      <c r="AI552" s="66"/>
      <c r="AJ552" s="66"/>
      <c r="AK552" s="66"/>
      <c r="AL552" s="66"/>
      <c r="AM552" s="66"/>
      <c r="AN552" s="66"/>
      <c r="AO552" s="66"/>
      <c r="AP552" s="66"/>
      <c r="AQ552" s="66"/>
      <c r="AR552" s="66"/>
      <c r="AS552" s="66"/>
      <c r="AT552" s="66"/>
      <c r="AU552" s="66"/>
      <c r="AV552" s="66"/>
      <c r="AW552" s="66"/>
      <c r="AX552" s="66"/>
      <c r="AY552" s="66"/>
      <c r="AZ552" s="66"/>
      <c r="BA552" s="66"/>
      <c r="BB552" s="66"/>
      <c r="BC552" s="66"/>
    </row>
    <row r="553" ht="14.2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  <c r="AE553" s="66"/>
      <c r="AF553" s="66"/>
      <c r="AG553" s="66"/>
      <c r="AH553" s="66"/>
      <c r="AI553" s="66"/>
      <c r="AJ553" s="66"/>
      <c r="AK553" s="66"/>
      <c r="AL553" s="66"/>
      <c r="AM553" s="66"/>
      <c r="AN553" s="66"/>
      <c r="AO553" s="66"/>
      <c r="AP553" s="66"/>
      <c r="AQ553" s="66"/>
      <c r="AR553" s="66"/>
      <c r="AS553" s="66"/>
      <c r="AT553" s="66"/>
      <c r="AU553" s="66"/>
      <c r="AV553" s="66"/>
      <c r="AW553" s="66"/>
      <c r="AX553" s="66"/>
      <c r="AY553" s="66"/>
      <c r="AZ553" s="66"/>
      <c r="BA553" s="66"/>
      <c r="BB553" s="66"/>
      <c r="BC553" s="66"/>
    </row>
    <row r="554" ht="14.2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  <c r="AE554" s="66"/>
      <c r="AF554" s="66"/>
      <c r="AG554" s="66"/>
      <c r="AH554" s="66"/>
      <c r="AI554" s="66"/>
      <c r="AJ554" s="66"/>
      <c r="AK554" s="66"/>
      <c r="AL554" s="66"/>
      <c r="AM554" s="66"/>
      <c r="AN554" s="66"/>
      <c r="AO554" s="66"/>
      <c r="AP554" s="66"/>
      <c r="AQ554" s="66"/>
      <c r="AR554" s="66"/>
      <c r="AS554" s="66"/>
      <c r="AT554" s="66"/>
      <c r="AU554" s="66"/>
      <c r="AV554" s="66"/>
      <c r="AW554" s="66"/>
      <c r="AX554" s="66"/>
      <c r="AY554" s="66"/>
      <c r="AZ554" s="66"/>
      <c r="BA554" s="66"/>
      <c r="BB554" s="66"/>
      <c r="BC554" s="66"/>
    </row>
    <row r="555" ht="14.2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  <c r="AE555" s="66"/>
      <c r="AF555" s="66"/>
      <c r="AG555" s="66"/>
      <c r="AH555" s="66"/>
      <c r="AI555" s="66"/>
      <c r="AJ555" s="66"/>
      <c r="AK555" s="66"/>
      <c r="AL555" s="66"/>
      <c r="AM555" s="66"/>
      <c r="AN555" s="66"/>
      <c r="AO555" s="66"/>
      <c r="AP555" s="66"/>
      <c r="AQ555" s="66"/>
      <c r="AR555" s="66"/>
      <c r="AS555" s="66"/>
      <c r="AT555" s="66"/>
      <c r="AU555" s="66"/>
      <c r="AV555" s="66"/>
      <c r="AW555" s="66"/>
      <c r="AX555" s="66"/>
      <c r="AY555" s="66"/>
      <c r="AZ555" s="66"/>
      <c r="BA555" s="66"/>
      <c r="BB555" s="66"/>
      <c r="BC555" s="66"/>
    </row>
    <row r="556" ht="14.2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  <c r="AE556" s="66"/>
      <c r="AF556" s="66"/>
      <c r="AG556" s="66"/>
      <c r="AH556" s="66"/>
      <c r="AI556" s="66"/>
      <c r="AJ556" s="66"/>
      <c r="AK556" s="66"/>
      <c r="AL556" s="66"/>
      <c r="AM556" s="66"/>
      <c r="AN556" s="66"/>
      <c r="AO556" s="66"/>
      <c r="AP556" s="66"/>
      <c r="AQ556" s="66"/>
      <c r="AR556" s="66"/>
      <c r="AS556" s="66"/>
      <c r="AT556" s="66"/>
      <c r="AU556" s="66"/>
      <c r="AV556" s="66"/>
      <c r="AW556" s="66"/>
      <c r="AX556" s="66"/>
      <c r="AY556" s="66"/>
      <c r="AZ556" s="66"/>
      <c r="BA556" s="66"/>
      <c r="BB556" s="66"/>
      <c r="BC556" s="66"/>
    </row>
    <row r="557" ht="14.2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  <c r="AE557" s="66"/>
      <c r="AF557" s="66"/>
      <c r="AG557" s="66"/>
      <c r="AH557" s="66"/>
      <c r="AI557" s="66"/>
      <c r="AJ557" s="66"/>
      <c r="AK557" s="66"/>
      <c r="AL557" s="66"/>
      <c r="AM557" s="66"/>
      <c r="AN557" s="66"/>
      <c r="AO557" s="66"/>
      <c r="AP557" s="66"/>
      <c r="AQ557" s="66"/>
      <c r="AR557" s="66"/>
      <c r="AS557" s="66"/>
      <c r="AT557" s="66"/>
      <c r="AU557" s="66"/>
      <c r="AV557" s="66"/>
      <c r="AW557" s="66"/>
      <c r="AX557" s="66"/>
      <c r="AY557" s="66"/>
      <c r="AZ557" s="66"/>
      <c r="BA557" s="66"/>
      <c r="BB557" s="66"/>
      <c r="BC557" s="66"/>
    </row>
    <row r="558" ht="14.2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  <c r="AE558" s="66"/>
      <c r="AF558" s="66"/>
      <c r="AG558" s="66"/>
      <c r="AH558" s="66"/>
      <c r="AI558" s="66"/>
      <c r="AJ558" s="66"/>
      <c r="AK558" s="66"/>
      <c r="AL558" s="66"/>
      <c r="AM558" s="66"/>
      <c r="AN558" s="66"/>
      <c r="AO558" s="66"/>
      <c r="AP558" s="66"/>
      <c r="AQ558" s="66"/>
      <c r="AR558" s="66"/>
      <c r="AS558" s="66"/>
      <c r="AT558" s="66"/>
      <c r="AU558" s="66"/>
      <c r="AV558" s="66"/>
      <c r="AW558" s="66"/>
      <c r="AX558" s="66"/>
      <c r="AY558" s="66"/>
      <c r="AZ558" s="66"/>
      <c r="BA558" s="66"/>
      <c r="BB558" s="66"/>
      <c r="BC558" s="66"/>
    </row>
    <row r="559" ht="14.2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  <c r="AE559" s="66"/>
      <c r="AF559" s="66"/>
      <c r="AG559" s="66"/>
      <c r="AH559" s="66"/>
      <c r="AI559" s="66"/>
      <c r="AJ559" s="66"/>
      <c r="AK559" s="66"/>
      <c r="AL559" s="66"/>
      <c r="AM559" s="66"/>
      <c r="AN559" s="66"/>
      <c r="AO559" s="66"/>
      <c r="AP559" s="66"/>
      <c r="AQ559" s="66"/>
      <c r="AR559" s="66"/>
      <c r="AS559" s="66"/>
      <c r="AT559" s="66"/>
      <c r="AU559" s="66"/>
      <c r="AV559" s="66"/>
      <c r="AW559" s="66"/>
      <c r="AX559" s="66"/>
      <c r="AY559" s="66"/>
      <c r="AZ559" s="66"/>
      <c r="BA559" s="66"/>
      <c r="BB559" s="66"/>
      <c r="BC559" s="66"/>
    </row>
    <row r="560" ht="14.2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  <c r="AE560" s="66"/>
      <c r="AF560" s="66"/>
      <c r="AG560" s="66"/>
      <c r="AH560" s="66"/>
      <c r="AI560" s="66"/>
      <c r="AJ560" s="66"/>
      <c r="AK560" s="66"/>
      <c r="AL560" s="66"/>
      <c r="AM560" s="66"/>
      <c r="AN560" s="66"/>
      <c r="AO560" s="66"/>
      <c r="AP560" s="66"/>
      <c r="AQ560" s="66"/>
      <c r="AR560" s="66"/>
      <c r="AS560" s="66"/>
      <c r="AT560" s="66"/>
      <c r="AU560" s="66"/>
      <c r="AV560" s="66"/>
      <c r="AW560" s="66"/>
      <c r="AX560" s="66"/>
      <c r="AY560" s="66"/>
      <c r="AZ560" s="66"/>
      <c r="BA560" s="66"/>
      <c r="BB560" s="66"/>
      <c r="BC560" s="66"/>
    </row>
    <row r="561" ht="14.2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  <c r="AE561" s="66"/>
      <c r="AF561" s="66"/>
      <c r="AG561" s="66"/>
      <c r="AH561" s="66"/>
      <c r="AI561" s="66"/>
      <c r="AJ561" s="66"/>
      <c r="AK561" s="66"/>
      <c r="AL561" s="66"/>
      <c r="AM561" s="66"/>
      <c r="AN561" s="66"/>
      <c r="AO561" s="66"/>
      <c r="AP561" s="66"/>
      <c r="AQ561" s="66"/>
      <c r="AR561" s="66"/>
      <c r="AS561" s="66"/>
      <c r="AT561" s="66"/>
      <c r="AU561" s="66"/>
      <c r="AV561" s="66"/>
      <c r="AW561" s="66"/>
      <c r="AX561" s="66"/>
      <c r="AY561" s="66"/>
      <c r="AZ561" s="66"/>
      <c r="BA561" s="66"/>
      <c r="BB561" s="66"/>
      <c r="BC561" s="66"/>
    </row>
    <row r="562" ht="14.2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  <c r="AE562" s="66"/>
      <c r="AF562" s="66"/>
      <c r="AG562" s="66"/>
      <c r="AH562" s="66"/>
      <c r="AI562" s="66"/>
      <c r="AJ562" s="66"/>
      <c r="AK562" s="66"/>
      <c r="AL562" s="66"/>
      <c r="AM562" s="66"/>
      <c r="AN562" s="66"/>
      <c r="AO562" s="66"/>
      <c r="AP562" s="66"/>
      <c r="AQ562" s="66"/>
      <c r="AR562" s="66"/>
      <c r="AS562" s="66"/>
      <c r="AT562" s="66"/>
      <c r="AU562" s="66"/>
      <c r="AV562" s="66"/>
      <c r="AW562" s="66"/>
      <c r="AX562" s="66"/>
      <c r="AY562" s="66"/>
      <c r="AZ562" s="66"/>
      <c r="BA562" s="66"/>
      <c r="BB562" s="66"/>
      <c r="BC562" s="66"/>
    </row>
    <row r="563" ht="14.2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  <c r="AE563" s="66"/>
      <c r="AF563" s="66"/>
      <c r="AG563" s="66"/>
      <c r="AH563" s="66"/>
      <c r="AI563" s="66"/>
      <c r="AJ563" s="66"/>
      <c r="AK563" s="66"/>
      <c r="AL563" s="66"/>
      <c r="AM563" s="66"/>
      <c r="AN563" s="66"/>
      <c r="AO563" s="66"/>
      <c r="AP563" s="66"/>
      <c r="AQ563" s="66"/>
      <c r="AR563" s="66"/>
      <c r="AS563" s="66"/>
      <c r="AT563" s="66"/>
      <c r="AU563" s="66"/>
      <c r="AV563" s="66"/>
      <c r="AW563" s="66"/>
      <c r="AX563" s="66"/>
      <c r="AY563" s="66"/>
      <c r="AZ563" s="66"/>
      <c r="BA563" s="66"/>
      <c r="BB563" s="66"/>
      <c r="BC563" s="66"/>
    </row>
    <row r="564" ht="14.2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  <c r="AE564" s="66"/>
      <c r="AF564" s="66"/>
      <c r="AG564" s="66"/>
      <c r="AH564" s="66"/>
      <c r="AI564" s="66"/>
      <c r="AJ564" s="66"/>
      <c r="AK564" s="66"/>
      <c r="AL564" s="66"/>
      <c r="AM564" s="66"/>
      <c r="AN564" s="66"/>
      <c r="AO564" s="66"/>
      <c r="AP564" s="66"/>
      <c r="AQ564" s="66"/>
      <c r="AR564" s="66"/>
      <c r="AS564" s="66"/>
      <c r="AT564" s="66"/>
      <c r="AU564" s="66"/>
      <c r="AV564" s="66"/>
      <c r="AW564" s="66"/>
      <c r="AX564" s="66"/>
      <c r="AY564" s="66"/>
      <c r="AZ564" s="66"/>
      <c r="BA564" s="66"/>
      <c r="BB564" s="66"/>
      <c r="BC564" s="66"/>
    </row>
    <row r="565" ht="14.2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  <c r="AE565" s="66"/>
      <c r="AF565" s="66"/>
      <c r="AG565" s="66"/>
      <c r="AH565" s="66"/>
      <c r="AI565" s="66"/>
      <c r="AJ565" s="66"/>
      <c r="AK565" s="66"/>
      <c r="AL565" s="66"/>
      <c r="AM565" s="66"/>
      <c r="AN565" s="66"/>
      <c r="AO565" s="66"/>
      <c r="AP565" s="66"/>
      <c r="AQ565" s="66"/>
      <c r="AR565" s="66"/>
      <c r="AS565" s="66"/>
      <c r="AT565" s="66"/>
      <c r="AU565" s="66"/>
      <c r="AV565" s="66"/>
      <c r="AW565" s="66"/>
      <c r="AX565" s="66"/>
      <c r="AY565" s="66"/>
      <c r="AZ565" s="66"/>
      <c r="BA565" s="66"/>
      <c r="BB565" s="66"/>
      <c r="BC565" s="66"/>
    </row>
    <row r="566" ht="14.2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  <c r="AE566" s="66"/>
      <c r="AF566" s="66"/>
      <c r="AG566" s="66"/>
      <c r="AH566" s="66"/>
      <c r="AI566" s="66"/>
      <c r="AJ566" s="66"/>
      <c r="AK566" s="66"/>
      <c r="AL566" s="66"/>
      <c r="AM566" s="66"/>
      <c r="AN566" s="66"/>
      <c r="AO566" s="66"/>
      <c r="AP566" s="66"/>
      <c r="AQ566" s="66"/>
      <c r="AR566" s="66"/>
      <c r="AS566" s="66"/>
      <c r="AT566" s="66"/>
      <c r="AU566" s="66"/>
      <c r="AV566" s="66"/>
      <c r="AW566" s="66"/>
      <c r="AX566" s="66"/>
      <c r="AY566" s="66"/>
      <c r="AZ566" s="66"/>
      <c r="BA566" s="66"/>
      <c r="BB566" s="66"/>
      <c r="BC566" s="66"/>
    </row>
    <row r="567" ht="14.2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  <c r="AE567" s="66"/>
      <c r="AF567" s="66"/>
      <c r="AG567" s="66"/>
      <c r="AH567" s="66"/>
      <c r="AI567" s="66"/>
      <c r="AJ567" s="66"/>
      <c r="AK567" s="66"/>
      <c r="AL567" s="66"/>
      <c r="AM567" s="66"/>
      <c r="AN567" s="66"/>
      <c r="AO567" s="66"/>
      <c r="AP567" s="66"/>
      <c r="AQ567" s="66"/>
      <c r="AR567" s="66"/>
      <c r="AS567" s="66"/>
      <c r="AT567" s="66"/>
      <c r="AU567" s="66"/>
      <c r="AV567" s="66"/>
      <c r="AW567" s="66"/>
      <c r="AX567" s="66"/>
      <c r="AY567" s="66"/>
      <c r="AZ567" s="66"/>
      <c r="BA567" s="66"/>
      <c r="BB567" s="66"/>
      <c r="BC567" s="66"/>
    </row>
    <row r="568" ht="14.2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  <c r="AE568" s="66"/>
      <c r="AF568" s="66"/>
      <c r="AG568" s="66"/>
      <c r="AH568" s="66"/>
      <c r="AI568" s="66"/>
      <c r="AJ568" s="66"/>
      <c r="AK568" s="66"/>
      <c r="AL568" s="66"/>
      <c r="AM568" s="66"/>
      <c r="AN568" s="66"/>
      <c r="AO568" s="66"/>
      <c r="AP568" s="66"/>
      <c r="AQ568" s="66"/>
      <c r="AR568" s="66"/>
      <c r="AS568" s="66"/>
      <c r="AT568" s="66"/>
      <c r="AU568" s="66"/>
      <c r="AV568" s="66"/>
      <c r="AW568" s="66"/>
      <c r="AX568" s="66"/>
      <c r="AY568" s="66"/>
      <c r="AZ568" s="66"/>
      <c r="BA568" s="66"/>
      <c r="BB568" s="66"/>
      <c r="BC568" s="66"/>
    </row>
    <row r="569" ht="14.2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  <c r="AE569" s="66"/>
      <c r="AF569" s="66"/>
      <c r="AG569" s="66"/>
      <c r="AH569" s="66"/>
      <c r="AI569" s="66"/>
      <c r="AJ569" s="66"/>
      <c r="AK569" s="66"/>
      <c r="AL569" s="66"/>
      <c r="AM569" s="66"/>
      <c r="AN569" s="66"/>
      <c r="AO569" s="66"/>
      <c r="AP569" s="66"/>
      <c r="AQ569" s="66"/>
      <c r="AR569" s="66"/>
      <c r="AS569" s="66"/>
      <c r="AT569" s="66"/>
      <c r="AU569" s="66"/>
      <c r="AV569" s="66"/>
      <c r="AW569" s="66"/>
      <c r="AX569" s="66"/>
      <c r="AY569" s="66"/>
      <c r="AZ569" s="66"/>
      <c r="BA569" s="66"/>
      <c r="BB569" s="66"/>
      <c r="BC569" s="66"/>
    </row>
    <row r="570" ht="14.2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  <c r="AE570" s="66"/>
      <c r="AF570" s="66"/>
      <c r="AG570" s="66"/>
      <c r="AH570" s="66"/>
      <c r="AI570" s="66"/>
      <c r="AJ570" s="66"/>
      <c r="AK570" s="66"/>
      <c r="AL570" s="66"/>
      <c r="AM570" s="66"/>
      <c r="AN570" s="66"/>
      <c r="AO570" s="66"/>
      <c r="AP570" s="66"/>
      <c r="AQ570" s="66"/>
      <c r="AR570" s="66"/>
      <c r="AS570" s="66"/>
      <c r="AT570" s="66"/>
      <c r="AU570" s="66"/>
      <c r="AV570" s="66"/>
      <c r="AW570" s="66"/>
      <c r="AX570" s="66"/>
      <c r="AY570" s="66"/>
      <c r="AZ570" s="66"/>
      <c r="BA570" s="66"/>
      <c r="BB570" s="66"/>
      <c r="BC570" s="66"/>
    </row>
    <row r="571" ht="14.2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  <c r="AE571" s="66"/>
      <c r="AF571" s="66"/>
      <c r="AG571" s="66"/>
      <c r="AH571" s="66"/>
      <c r="AI571" s="66"/>
      <c r="AJ571" s="66"/>
      <c r="AK571" s="66"/>
      <c r="AL571" s="66"/>
      <c r="AM571" s="66"/>
      <c r="AN571" s="66"/>
      <c r="AO571" s="66"/>
      <c r="AP571" s="66"/>
      <c r="AQ571" s="66"/>
      <c r="AR571" s="66"/>
      <c r="AS571" s="66"/>
      <c r="AT571" s="66"/>
      <c r="AU571" s="66"/>
      <c r="AV571" s="66"/>
      <c r="AW571" s="66"/>
      <c r="AX571" s="66"/>
      <c r="AY571" s="66"/>
      <c r="AZ571" s="66"/>
      <c r="BA571" s="66"/>
      <c r="BB571" s="66"/>
      <c r="BC571" s="66"/>
    </row>
    <row r="572" ht="14.2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  <c r="AE572" s="66"/>
      <c r="AF572" s="66"/>
      <c r="AG572" s="66"/>
      <c r="AH572" s="66"/>
      <c r="AI572" s="66"/>
      <c r="AJ572" s="66"/>
      <c r="AK572" s="66"/>
      <c r="AL572" s="66"/>
      <c r="AM572" s="66"/>
      <c r="AN572" s="66"/>
      <c r="AO572" s="66"/>
      <c r="AP572" s="66"/>
      <c r="AQ572" s="66"/>
      <c r="AR572" s="66"/>
      <c r="AS572" s="66"/>
      <c r="AT572" s="66"/>
      <c r="AU572" s="66"/>
      <c r="AV572" s="66"/>
      <c r="AW572" s="66"/>
      <c r="AX572" s="66"/>
      <c r="AY572" s="66"/>
      <c r="AZ572" s="66"/>
      <c r="BA572" s="66"/>
      <c r="BB572" s="66"/>
      <c r="BC572" s="66"/>
    </row>
    <row r="573" ht="14.2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  <c r="AE573" s="66"/>
      <c r="AF573" s="66"/>
      <c r="AG573" s="66"/>
      <c r="AH573" s="66"/>
      <c r="AI573" s="66"/>
      <c r="AJ573" s="66"/>
      <c r="AK573" s="66"/>
      <c r="AL573" s="66"/>
      <c r="AM573" s="66"/>
      <c r="AN573" s="66"/>
      <c r="AO573" s="66"/>
      <c r="AP573" s="66"/>
      <c r="AQ573" s="66"/>
      <c r="AR573" s="66"/>
      <c r="AS573" s="66"/>
      <c r="AT573" s="66"/>
      <c r="AU573" s="66"/>
      <c r="AV573" s="66"/>
      <c r="AW573" s="66"/>
      <c r="AX573" s="66"/>
      <c r="AY573" s="66"/>
      <c r="AZ573" s="66"/>
      <c r="BA573" s="66"/>
      <c r="BB573" s="66"/>
      <c r="BC573" s="66"/>
    </row>
    <row r="574" ht="14.2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  <c r="AF574" s="66"/>
      <c r="AG574" s="66"/>
      <c r="AH574" s="66"/>
      <c r="AI574" s="66"/>
      <c r="AJ574" s="66"/>
      <c r="AK574" s="66"/>
      <c r="AL574" s="66"/>
      <c r="AM574" s="66"/>
      <c r="AN574" s="66"/>
      <c r="AO574" s="66"/>
      <c r="AP574" s="66"/>
      <c r="AQ574" s="66"/>
      <c r="AR574" s="66"/>
      <c r="AS574" s="66"/>
      <c r="AT574" s="66"/>
      <c r="AU574" s="66"/>
      <c r="AV574" s="66"/>
      <c r="AW574" s="66"/>
      <c r="AX574" s="66"/>
      <c r="AY574" s="66"/>
      <c r="AZ574" s="66"/>
      <c r="BA574" s="66"/>
      <c r="BB574" s="66"/>
      <c r="BC574" s="66"/>
    </row>
    <row r="575" ht="14.2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  <c r="AF575" s="66"/>
      <c r="AG575" s="66"/>
      <c r="AH575" s="66"/>
      <c r="AI575" s="66"/>
      <c r="AJ575" s="66"/>
      <c r="AK575" s="66"/>
      <c r="AL575" s="66"/>
      <c r="AM575" s="66"/>
      <c r="AN575" s="66"/>
      <c r="AO575" s="66"/>
      <c r="AP575" s="66"/>
      <c r="AQ575" s="66"/>
      <c r="AR575" s="66"/>
      <c r="AS575" s="66"/>
      <c r="AT575" s="66"/>
      <c r="AU575" s="66"/>
      <c r="AV575" s="66"/>
      <c r="AW575" s="66"/>
      <c r="AX575" s="66"/>
      <c r="AY575" s="66"/>
      <c r="AZ575" s="66"/>
      <c r="BA575" s="66"/>
      <c r="BB575" s="66"/>
      <c r="BC575" s="66"/>
    </row>
    <row r="576" ht="14.2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  <c r="AF576" s="66"/>
      <c r="AG576" s="66"/>
      <c r="AH576" s="66"/>
      <c r="AI576" s="66"/>
      <c r="AJ576" s="66"/>
      <c r="AK576" s="66"/>
      <c r="AL576" s="66"/>
      <c r="AM576" s="66"/>
      <c r="AN576" s="66"/>
      <c r="AO576" s="66"/>
      <c r="AP576" s="66"/>
      <c r="AQ576" s="66"/>
      <c r="AR576" s="66"/>
      <c r="AS576" s="66"/>
      <c r="AT576" s="66"/>
      <c r="AU576" s="66"/>
      <c r="AV576" s="66"/>
      <c r="AW576" s="66"/>
      <c r="AX576" s="66"/>
      <c r="AY576" s="66"/>
      <c r="AZ576" s="66"/>
      <c r="BA576" s="66"/>
      <c r="BB576" s="66"/>
      <c r="BC576" s="66"/>
    </row>
    <row r="577" ht="14.2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  <c r="AE577" s="66"/>
      <c r="AF577" s="66"/>
      <c r="AG577" s="66"/>
      <c r="AH577" s="66"/>
      <c r="AI577" s="66"/>
      <c r="AJ577" s="66"/>
      <c r="AK577" s="66"/>
      <c r="AL577" s="66"/>
      <c r="AM577" s="66"/>
      <c r="AN577" s="66"/>
      <c r="AO577" s="66"/>
      <c r="AP577" s="66"/>
      <c r="AQ577" s="66"/>
      <c r="AR577" s="66"/>
      <c r="AS577" s="66"/>
      <c r="AT577" s="66"/>
      <c r="AU577" s="66"/>
      <c r="AV577" s="66"/>
      <c r="AW577" s="66"/>
      <c r="AX577" s="66"/>
      <c r="AY577" s="66"/>
      <c r="AZ577" s="66"/>
      <c r="BA577" s="66"/>
      <c r="BB577" s="66"/>
      <c r="BC577" s="66"/>
    </row>
    <row r="578" ht="14.2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  <c r="AE578" s="66"/>
      <c r="AF578" s="66"/>
      <c r="AG578" s="66"/>
      <c r="AH578" s="66"/>
      <c r="AI578" s="66"/>
      <c r="AJ578" s="66"/>
      <c r="AK578" s="66"/>
      <c r="AL578" s="66"/>
      <c r="AM578" s="66"/>
      <c r="AN578" s="66"/>
      <c r="AO578" s="66"/>
      <c r="AP578" s="66"/>
      <c r="AQ578" s="66"/>
      <c r="AR578" s="66"/>
      <c r="AS578" s="66"/>
      <c r="AT578" s="66"/>
      <c r="AU578" s="66"/>
      <c r="AV578" s="66"/>
      <c r="AW578" s="66"/>
      <c r="AX578" s="66"/>
      <c r="AY578" s="66"/>
      <c r="AZ578" s="66"/>
      <c r="BA578" s="66"/>
      <c r="BB578" s="66"/>
      <c r="BC578" s="66"/>
    </row>
    <row r="579" ht="14.2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  <c r="AE579" s="66"/>
      <c r="AF579" s="66"/>
      <c r="AG579" s="66"/>
      <c r="AH579" s="66"/>
      <c r="AI579" s="66"/>
      <c r="AJ579" s="66"/>
      <c r="AK579" s="66"/>
      <c r="AL579" s="66"/>
      <c r="AM579" s="66"/>
      <c r="AN579" s="66"/>
      <c r="AO579" s="66"/>
      <c r="AP579" s="66"/>
      <c r="AQ579" s="66"/>
      <c r="AR579" s="66"/>
      <c r="AS579" s="66"/>
      <c r="AT579" s="66"/>
      <c r="AU579" s="66"/>
      <c r="AV579" s="66"/>
      <c r="AW579" s="66"/>
      <c r="AX579" s="66"/>
      <c r="AY579" s="66"/>
      <c r="AZ579" s="66"/>
      <c r="BA579" s="66"/>
      <c r="BB579" s="66"/>
      <c r="BC579" s="66"/>
    </row>
    <row r="580" ht="14.2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  <c r="AE580" s="66"/>
      <c r="AF580" s="66"/>
      <c r="AG580" s="66"/>
      <c r="AH580" s="66"/>
      <c r="AI580" s="66"/>
      <c r="AJ580" s="66"/>
      <c r="AK580" s="66"/>
      <c r="AL580" s="66"/>
      <c r="AM580" s="66"/>
      <c r="AN580" s="66"/>
      <c r="AO580" s="66"/>
      <c r="AP580" s="66"/>
      <c r="AQ580" s="66"/>
      <c r="AR580" s="66"/>
      <c r="AS580" s="66"/>
      <c r="AT580" s="66"/>
      <c r="AU580" s="66"/>
      <c r="AV580" s="66"/>
      <c r="AW580" s="66"/>
      <c r="AX580" s="66"/>
      <c r="AY580" s="66"/>
      <c r="AZ580" s="66"/>
      <c r="BA580" s="66"/>
      <c r="BB580" s="66"/>
      <c r="BC580" s="66"/>
    </row>
    <row r="581" ht="14.2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  <c r="AE581" s="66"/>
      <c r="AF581" s="66"/>
      <c r="AG581" s="66"/>
      <c r="AH581" s="66"/>
      <c r="AI581" s="66"/>
      <c r="AJ581" s="66"/>
      <c r="AK581" s="66"/>
      <c r="AL581" s="66"/>
      <c r="AM581" s="66"/>
      <c r="AN581" s="66"/>
      <c r="AO581" s="66"/>
      <c r="AP581" s="66"/>
      <c r="AQ581" s="66"/>
      <c r="AR581" s="66"/>
      <c r="AS581" s="66"/>
      <c r="AT581" s="66"/>
      <c r="AU581" s="66"/>
      <c r="AV581" s="66"/>
      <c r="AW581" s="66"/>
      <c r="AX581" s="66"/>
      <c r="AY581" s="66"/>
      <c r="AZ581" s="66"/>
      <c r="BA581" s="66"/>
      <c r="BB581" s="66"/>
      <c r="BC581" s="66"/>
    </row>
    <row r="582" ht="14.2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  <c r="AE582" s="66"/>
      <c r="AF582" s="66"/>
      <c r="AG582" s="66"/>
      <c r="AH582" s="66"/>
      <c r="AI582" s="66"/>
      <c r="AJ582" s="66"/>
      <c r="AK582" s="66"/>
      <c r="AL582" s="66"/>
      <c r="AM582" s="66"/>
      <c r="AN582" s="66"/>
      <c r="AO582" s="66"/>
      <c r="AP582" s="66"/>
      <c r="AQ582" s="66"/>
      <c r="AR582" s="66"/>
      <c r="AS582" s="66"/>
      <c r="AT582" s="66"/>
      <c r="AU582" s="66"/>
      <c r="AV582" s="66"/>
      <c r="AW582" s="66"/>
      <c r="AX582" s="66"/>
      <c r="AY582" s="66"/>
      <c r="AZ582" s="66"/>
      <c r="BA582" s="66"/>
      <c r="BB582" s="66"/>
      <c r="BC582" s="66"/>
    </row>
    <row r="583" ht="14.2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  <c r="AE583" s="66"/>
      <c r="AF583" s="66"/>
      <c r="AG583" s="66"/>
      <c r="AH583" s="66"/>
      <c r="AI583" s="66"/>
      <c r="AJ583" s="66"/>
      <c r="AK583" s="66"/>
      <c r="AL583" s="66"/>
      <c r="AM583" s="66"/>
      <c r="AN583" s="66"/>
      <c r="AO583" s="66"/>
      <c r="AP583" s="66"/>
      <c r="AQ583" s="66"/>
      <c r="AR583" s="66"/>
      <c r="AS583" s="66"/>
      <c r="AT583" s="66"/>
      <c r="AU583" s="66"/>
      <c r="AV583" s="66"/>
      <c r="AW583" s="66"/>
      <c r="AX583" s="66"/>
      <c r="AY583" s="66"/>
      <c r="AZ583" s="66"/>
      <c r="BA583" s="66"/>
      <c r="BB583" s="66"/>
      <c r="BC583" s="66"/>
    </row>
    <row r="584" ht="14.2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  <c r="AE584" s="66"/>
      <c r="AF584" s="66"/>
      <c r="AG584" s="66"/>
      <c r="AH584" s="66"/>
      <c r="AI584" s="66"/>
      <c r="AJ584" s="66"/>
      <c r="AK584" s="66"/>
      <c r="AL584" s="66"/>
      <c r="AM584" s="66"/>
      <c r="AN584" s="66"/>
      <c r="AO584" s="66"/>
      <c r="AP584" s="66"/>
      <c r="AQ584" s="66"/>
      <c r="AR584" s="66"/>
      <c r="AS584" s="66"/>
      <c r="AT584" s="66"/>
      <c r="AU584" s="66"/>
      <c r="AV584" s="66"/>
      <c r="AW584" s="66"/>
      <c r="AX584" s="66"/>
      <c r="AY584" s="66"/>
      <c r="AZ584" s="66"/>
      <c r="BA584" s="66"/>
      <c r="BB584" s="66"/>
      <c r="BC584" s="66"/>
    </row>
    <row r="585" ht="14.2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  <c r="AE585" s="66"/>
      <c r="AF585" s="66"/>
      <c r="AG585" s="66"/>
      <c r="AH585" s="66"/>
      <c r="AI585" s="66"/>
      <c r="AJ585" s="66"/>
      <c r="AK585" s="66"/>
      <c r="AL585" s="66"/>
      <c r="AM585" s="66"/>
      <c r="AN585" s="66"/>
      <c r="AO585" s="66"/>
      <c r="AP585" s="66"/>
      <c r="AQ585" s="66"/>
      <c r="AR585" s="66"/>
      <c r="AS585" s="66"/>
      <c r="AT585" s="66"/>
      <c r="AU585" s="66"/>
      <c r="AV585" s="66"/>
      <c r="AW585" s="66"/>
      <c r="AX585" s="66"/>
      <c r="AY585" s="66"/>
      <c r="AZ585" s="66"/>
      <c r="BA585" s="66"/>
      <c r="BB585" s="66"/>
      <c r="BC585" s="66"/>
    </row>
    <row r="586" ht="14.2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  <c r="AE586" s="66"/>
      <c r="AF586" s="66"/>
      <c r="AG586" s="66"/>
      <c r="AH586" s="66"/>
      <c r="AI586" s="66"/>
      <c r="AJ586" s="66"/>
      <c r="AK586" s="66"/>
      <c r="AL586" s="66"/>
      <c r="AM586" s="66"/>
      <c r="AN586" s="66"/>
      <c r="AO586" s="66"/>
      <c r="AP586" s="66"/>
      <c r="AQ586" s="66"/>
      <c r="AR586" s="66"/>
      <c r="AS586" s="66"/>
      <c r="AT586" s="66"/>
      <c r="AU586" s="66"/>
      <c r="AV586" s="66"/>
      <c r="AW586" s="66"/>
      <c r="AX586" s="66"/>
      <c r="AY586" s="66"/>
      <c r="AZ586" s="66"/>
      <c r="BA586" s="66"/>
      <c r="BB586" s="66"/>
      <c r="BC586" s="66"/>
    </row>
    <row r="587" ht="14.2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  <c r="AE587" s="66"/>
      <c r="AF587" s="66"/>
      <c r="AG587" s="66"/>
      <c r="AH587" s="66"/>
      <c r="AI587" s="66"/>
      <c r="AJ587" s="66"/>
      <c r="AK587" s="66"/>
      <c r="AL587" s="66"/>
      <c r="AM587" s="66"/>
      <c r="AN587" s="66"/>
      <c r="AO587" s="66"/>
      <c r="AP587" s="66"/>
      <c r="AQ587" s="66"/>
      <c r="AR587" s="66"/>
      <c r="AS587" s="66"/>
      <c r="AT587" s="66"/>
      <c r="AU587" s="66"/>
      <c r="AV587" s="66"/>
      <c r="AW587" s="66"/>
      <c r="AX587" s="66"/>
      <c r="AY587" s="66"/>
      <c r="AZ587" s="66"/>
      <c r="BA587" s="66"/>
      <c r="BB587" s="66"/>
      <c r="BC587" s="66"/>
    </row>
    <row r="588" ht="14.2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  <c r="AE588" s="66"/>
      <c r="AF588" s="66"/>
      <c r="AG588" s="66"/>
      <c r="AH588" s="66"/>
      <c r="AI588" s="66"/>
      <c r="AJ588" s="66"/>
      <c r="AK588" s="66"/>
      <c r="AL588" s="66"/>
      <c r="AM588" s="66"/>
      <c r="AN588" s="66"/>
      <c r="AO588" s="66"/>
      <c r="AP588" s="66"/>
      <c r="AQ588" s="66"/>
      <c r="AR588" s="66"/>
      <c r="AS588" s="66"/>
      <c r="AT588" s="66"/>
      <c r="AU588" s="66"/>
      <c r="AV588" s="66"/>
      <c r="AW588" s="66"/>
      <c r="AX588" s="66"/>
      <c r="AY588" s="66"/>
      <c r="AZ588" s="66"/>
      <c r="BA588" s="66"/>
      <c r="BB588" s="66"/>
      <c r="BC588" s="66"/>
    </row>
    <row r="589" ht="14.2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  <c r="AE589" s="66"/>
      <c r="AF589" s="66"/>
      <c r="AG589" s="66"/>
      <c r="AH589" s="66"/>
      <c r="AI589" s="66"/>
      <c r="AJ589" s="66"/>
      <c r="AK589" s="66"/>
      <c r="AL589" s="66"/>
      <c r="AM589" s="66"/>
      <c r="AN589" s="66"/>
      <c r="AO589" s="66"/>
      <c r="AP589" s="66"/>
      <c r="AQ589" s="66"/>
      <c r="AR589" s="66"/>
      <c r="AS589" s="66"/>
      <c r="AT589" s="66"/>
      <c r="AU589" s="66"/>
      <c r="AV589" s="66"/>
      <c r="AW589" s="66"/>
      <c r="AX589" s="66"/>
      <c r="AY589" s="66"/>
      <c r="AZ589" s="66"/>
      <c r="BA589" s="66"/>
      <c r="BB589" s="66"/>
      <c r="BC589" s="66"/>
    </row>
    <row r="590" ht="14.2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  <c r="AE590" s="66"/>
      <c r="AF590" s="66"/>
      <c r="AG590" s="66"/>
      <c r="AH590" s="66"/>
      <c r="AI590" s="66"/>
      <c r="AJ590" s="66"/>
      <c r="AK590" s="66"/>
      <c r="AL590" s="66"/>
      <c r="AM590" s="66"/>
      <c r="AN590" s="66"/>
      <c r="AO590" s="66"/>
      <c r="AP590" s="66"/>
      <c r="AQ590" s="66"/>
      <c r="AR590" s="66"/>
      <c r="AS590" s="66"/>
      <c r="AT590" s="66"/>
      <c r="AU590" s="66"/>
      <c r="AV590" s="66"/>
      <c r="AW590" s="66"/>
      <c r="AX590" s="66"/>
      <c r="AY590" s="66"/>
      <c r="AZ590" s="66"/>
      <c r="BA590" s="66"/>
      <c r="BB590" s="66"/>
      <c r="BC590" s="66"/>
    </row>
    <row r="591" ht="14.2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  <c r="AE591" s="66"/>
      <c r="AF591" s="66"/>
      <c r="AG591" s="66"/>
      <c r="AH591" s="66"/>
      <c r="AI591" s="66"/>
      <c r="AJ591" s="66"/>
      <c r="AK591" s="66"/>
      <c r="AL591" s="66"/>
      <c r="AM591" s="66"/>
      <c r="AN591" s="66"/>
      <c r="AO591" s="66"/>
      <c r="AP591" s="66"/>
      <c r="AQ591" s="66"/>
      <c r="AR591" s="66"/>
      <c r="AS591" s="66"/>
      <c r="AT591" s="66"/>
      <c r="AU591" s="66"/>
      <c r="AV591" s="66"/>
      <c r="AW591" s="66"/>
      <c r="AX591" s="66"/>
      <c r="AY591" s="66"/>
      <c r="AZ591" s="66"/>
      <c r="BA591" s="66"/>
      <c r="BB591" s="66"/>
      <c r="BC591" s="66"/>
    </row>
    <row r="592" ht="14.2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  <c r="AE592" s="66"/>
      <c r="AF592" s="66"/>
      <c r="AG592" s="66"/>
      <c r="AH592" s="66"/>
      <c r="AI592" s="66"/>
      <c r="AJ592" s="66"/>
      <c r="AK592" s="66"/>
      <c r="AL592" s="66"/>
      <c r="AM592" s="66"/>
      <c r="AN592" s="66"/>
      <c r="AO592" s="66"/>
      <c r="AP592" s="66"/>
      <c r="AQ592" s="66"/>
      <c r="AR592" s="66"/>
      <c r="AS592" s="66"/>
      <c r="AT592" s="66"/>
      <c r="AU592" s="66"/>
      <c r="AV592" s="66"/>
      <c r="AW592" s="66"/>
      <c r="AX592" s="66"/>
      <c r="AY592" s="66"/>
      <c r="AZ592" s="66"/>
      <c r="BA592" s="66"/>
      <c r="BB592" s="66"/>
      <c r="BC592" s="66"/>
    </row>
    <row r="593" ht="14.2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  <c r="AE593" s="66"/>
      <c r="AF593" s="66"/>
      <c r="AG593" s="66"/>
      <c r="AH593" s="66"/>
      <c r="AI593" s="66"/>
      <c r="AJ593" s="66"/>
      <c r="AK593" s="66"/>
      <c r="AL593" s="66"/>
      <c r="AM593" s="66"/>
      <c r="AN593" s="66"/>
      <c r="AO593" s="66"/>
      <c r="AP593" s="66"/>
      <c r="AQ593" s="66"/>
      <c r="AR593" s="66"/>
      <c r="AS593" s="66"/>
      <c r="AT593" s="66"/>
      <c r="AU593" s="66"/>
      <c r="AV593" s="66"/>
      <c r="AW593" s="66"/>
      <c r="AX593" s="66"/>
      <c r="AY593" s="66"/>
      <c r="AZ593" s="66"/>
      <c r="BA593" s="66"/>
      <c r="BB593" s="66"/>
      <c r="BC593" s="66"/>
    </row>
    <row r="594" ht="14.2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  <c r="AE594" s="66"/>
      <c r="AF594" s="66"/>
      <c r="AG594" s="66"/>
      <c r="AH594" s="66"/>
      <c r="AI594" s="66"/>
      <c r="AJ594" s="66"/>
      <c r="AK594" s="66"/>
      <c r="AL594" s="66"/>
      <c r="AM594" s="66"/>
      <c r="AN594" s="66"/>
      <c r="AO594" s="66"/>
      <c r="AP594" s="66"/>
      <c r="AQ594" s="66"/>
      <c r="AR594" s="66"/>
      <c r="AS594" s="66"/>
      <c r="AT594" s="66"/>
      <c r="AU594" s="66"/>
      <c r="AV594" s="66"/>
      <c r="AW594" s="66"/>
      <c r="AX594" s="66"/>
      <c r="AY594" s="66"/>
      <c r="AZ594" s="66"/>
      <c r="BA594" s="66"/>
      <c r="BB594" s="66"/>
      <c r="BC594" s="66"/>
    </row>
    <row r="595" ht="14.2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  <c r="AE595" s="66"/>
      <c r="AF595" s="66"/>
      <c r="AG595" s="66"/>
      <c r="AH595" s="66"/>
      <c r="AI595" s="66"/>
      <c r="AJ595" s="66"/>
      <c r="AK595" s="66"/>
      <c r="AL595" s="66"/>
      <c r="AM595" s="66"/>
      <c r="AN595" s="66"/>
      <c r="AO595" s="66"/>
      <c r="AP595" s="66"/>
      <c r="AQ595" s="66"/>
      <c r="AR595" s="66"/>
      <c r="AS595" s="66"/>
      <c r="AT595" s="66"/>
      <c r="AU595" s="66"/>
      <c r="AV595" s="66"/>
      <c r="AW595" s="66"/>
      <c r="AX595" s="66"/>
      <c r="AY595" s="66"/>
      <c r="AZ595" s="66"/>
      <c r="BA595" s="66"/>
      <c r="BB595" s="66"/>
      <c r="BC595" s="66"/>
    </row>
    <row r="596" ht="14.2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  <c r="AE596" s="66"/>
      <c r="AF596" s="66"/>
      <c r="AG596" s="66"/>
      <c r="AH596" s="66"/>
      <c r="AI596" s="66"/>
      <c r="AJ596" s="66"/>
      <c r="AK596" s="66"/>
      <c r="AL596" s="66"/>
      <c r="AM596" s="66"/>
      <c r="AN596" s="66"/>
      <c r="AO596" s="66"/>
      <c r="AP596" s="66"/>
      <c r="AQ596" s="66"/>
      <c r="AR596" s="66"/>
      <c r="AS596" s="66"/>
      <c r="AT596" s="66"/>
      <c r="AU596" s="66"/>
      <c r="AV596" s="66"/>
      <c r="AW596" s="66"/>
      <c r="AX596" s="66"/>
      <c r="AY596" s="66"/>
      <c r="AZ596" s="66"/>
      <c r="BA596" s="66"/>
      <c r="BB596" s="66"/>
      <c r="BC596" s="66"/>
    </row>
    <row r="597" ht="14.2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  <c r="AE597" s="66"/>
      <c r="AF597" s="66"/>
      <c r="AG597" s="66"/>
      <c r="AH597" s="66"/>
      <c r="AI597" s="66"/>
      <c r="AJ597" s="66"/>
      <c r="AK597" s="66"/>
      <c r="AL597" s="66"/>
      <c r="AM597" s="66"/>
      <c r="AN597" s="66"/>
      <c r="AO597" s="66"/>
      <c r="AP597" s="66"/>
      <c r="AQ597" s="66"/>
      <c r="AR597" s="66"/>
      <c r="AS597" s="66"/>
      <c r="AT597" s="66"/>
      <c r="AU597" s="66"/>
      <c r="AV597" s="66"/>
      <c r="AW597" s="66"/>
      <c r="AX597" s="66"/>
      <c r="AY597" s="66"/>
      <c r="AZ597" s="66"/>
      <c r="BA597" s="66"/>
      <c r="BB597" s="66"/>
      <c r="BC597" s="66"/>
    </row>
    <row r="598" ht="14.2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  <c r="AE598" s="66"/>
      <c r="AF598" s="66"/>
      <c r="AG598" s="66"/>
      <c r="AH598" s="66"/>
      <c r="AI598" s="66"/>
      <c r="AJ598" s="66"/>
      <c r="AK598" s="66"/>
      <c r="AL598" s="66"/>
      <c r="AM598" s="66"/>
      <c r="AN598" s="66"/>
      <c r="AO598" s="66"/>
      <c r="AP598" s="66"/>
      <c r="AQ598" s="66"/>
      <c r="AR598" s="66"/>
      <c r="AS598" s="66"/>
      <c r="AT598" s="66"/>
      <c r="AU598" s="66"/>
      <c r="AV598" s="66"/>
      <c r="AW598" s="66"/>
      <c r="AX598" s="66"/>
      <c r="AY598" s="66"/>
      <c r="AZ598" s="66"/>
      <c r="BA598" s="66"/>
      <c r="BB598" s="66"/>
      <c r="BC598" s="66"/>
    </row>
    <row r="599" ht="14.2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  <c r="AE599" s="66"/>
      <c r="AF599" s="66"/>
      <c r="AG599" s="66"/>
      <c r="AH599" s="66"/>
      <c r="AI599" s="66"/>
      <c r="AJ599" s="66"/>
      <c r="AK599" s="66"/>
      <c r="AL599" s="66"/>
      <c r="AM599" s="66"/>
      <c r="AN599" s="66"/>
      <c r="AO599" s="66"/>
      <c r="AP599" s="66"/>
      <c r="AQ599" s="66"/>
      <c r="AR599" s="66"/>
      <c r="AS599" s="66"/>
      <c r="AT599" s="66"/>
      <c r="AU599" s="66"/>
      <c r="AV599" s="66"/>
      <c r="AW599" s="66"/>
      <c r="AX599" s="66"/>
      <c r="AY599" s="66"/>
      <c r="AZ599" s="66"/>
      <c r="BA599" s="66"/>
      <c r="BB599" s="66"/>
      <c r="BC599" s="66"/>
    </row>
    <row r="600" ht="14.2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  <c r="AE600" s="66"/>
      <c r="AF600" s="66"/>
      <c r="AG600" s="66"/>
      <c r="AH600" s="66"/>
      <c r="AI600" s="66"/>
      <c r="AJ600" s="66"/>
      <c r="AK600" s="66"/>
      <c r="AL600" s="66"/>
      <c r="AM600" s="66"/>
      <c r="AN600" s="66"/>
      <c r="AO600" s="66"/>
      <c r="AP600" s="66"/>
      <c r="AQ600" s="66"/>
      <c r="AR600" s="66"/>
      <c r="AS600" s="66"/>
      <c r="AT600" s="66"/>
      <c r="AU600" s="66"/>
      <c r="AV600" s="66"/>
      <c r="AW600" s="66"/>
      <c r="AX600" s="66"/>
      <c r="AY600" s="66"/>
      <c r="AZ600" s="66"/>
      <c r="BA600" s="66"/>
      <c r="BB600" s="66"/>
      <c r="BC600" s="66"/>
    </row>
    <row r="601" ht="14.2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  <c r="AE601" s="66"/>
      <c r="AF601" s="66"/>
      <c r="AG601" s="66"/>
      <c r="AH601" s="66"/>
      <c r="AI601" s="66"/>
      <c r="AJ601" s="66"/>
      <c r="AK601" s="66"/>
      <c r="AL601" s="66"/>
      <c r="AM601" s="66"/>
      <c r="AN601" s="66"/>
      <c r="AO601" s="66"/>
      <c r="AP601" s="66"/>
      <c r="AQ601" s="66"/>
      <c r="AR601" s="66"/>
      <c r="AS601" s="66"/>
      <c r="AT601" s="66"/>
      <c r="AU601" s="66"/>
      <c r="AV601" s="66"/>
      <c r="AW601" s="66"/>
      <c r="AX601" s="66"/>
      <c r="AY601" s="66"/>
      <c r="AZ601" s="66"/>
      <c r="BA601" s="66"/>
      <c r="BB601" s="66"/>
      <c r="BC601" s="66"/>
    </row>
    <row r="602" ht="14.2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  <c r="AE602" s="66"/>
      <c r="AF602" s="66"/>
      <c r="AG602" s="66"/>
      <c r="AH602" s="66"/>
      <c r="AI602" s="66"/>
      <c r="AJ602" s="66"/>
      <c r="AK602" s="66"/>
      <c r="AL602" s="66"/>
      <c r="AM602" s="66"/>
      <c r="AN602" s="66"/>
      <c r="AO602" s="66"/>
      <c r="AP602" s="66"/>
      <c r="AQ602" s="66"/>
      <c r="AR602" s="66"/>
      <c r="AS602" s="66"/>
      <c r="AT602" s="66"/>
      <c r="AU602" s="66"/>
      <c r="AV602" s="66"/>
      <c r="AW602" s="66"/>
      <c r="AX602" s="66"/>
      <c r="AY602" s="66"/>
      <c r="AZ602" s="66"/>
      <c r="BA602" s="66"/>
      <c r="BB602" s="66"/>
      <c r="BC602" s="66"/>
    </row>
    <row r="603" ht="14.2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  <c r="AE603" s="66"/>
      <c r="AF603" s="66"/>
      <c r="AG603" s="66"/>
      <c r="AH603" s="66"/>
      <c r="AI603" s="66"/>
      <c r="AJ603" s="66"/>
      <c r="AK603" s="66"/>
      <c r="AL603" s="66"/>
      <c r="AM603" s="66"/>
      <c r="AN603" s="66"/>
      <c r="AO603" s="66"/>
      <c r="AP603" s="66"/>
      <c r="AQ603" s="66"/>
      <c r="AR603" s="66"/>
      <c r="AS603" s="66"/>
      <c r="AT603" s="66"/>
      <c r="AU603" s="66"/>
      <c r="AV603" s="66"/>
      <c r="AW603" s="66"/>
      <c r="AX603" s="66"/>
      <c r="AY603" s="66"/>
      <c r="AZ603" s="66"/>
      <c r="BA603" s="66"/>
      <c r="BB603" s="66"/>
      <c r="BC603" s="66"/>
    </row>
    <row r="604" ht="14.2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  <c r="AE604" s="66"/>
      <c r="AF604" s="66"/>
      <c r="AG604" s="66"/>
      <c r="AH604" s="66"/>
      <c r="AI604" s="66"/>
      <c r="AJ604" s="66"/>
      <c r="AK604" s="66"/>
      <c r="AL604" s="66"/>
      <c r="AM604" s="66"/>
      <c r="AN604" s="66"/>
      <c r="AO604" s="66"/>
      <c r="AP604" s="66"/>
      <c r="AQ604" s="66"/>
      <c r="AR604" s="66"/>
      <c r="AS604" s="66"/>
      <c r="AT604" s="66"/>
      <c r="AU604" s="66"/>
      <c r="AV604" s="66"/>
      <c r="AW604" s="66"/>
      <c r="AX604" s="66"/>
      <c r="AY604" s="66"/>
      <c r="AZ604" s="66"/>
      <c r="BA604" s="66"/>
      <c r="BB604" s="66"/>
      <c r="BC604" s="66"/>
    </row>
    <row r="605" ht="14.2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  <c r="AE605" s="66"/>
      <c r="AF605" s="66"/>
      <c r="AG605" s="66"/>
      <c r="AH605" s="66"/>
      <c r="AI605" s="66"/>
      <c r="AJ605" s="66"/>
      <c r="AK605" s="66"/>
      <c r="AL605" s="66"/>
      <c r="AM605" s="66"/>
      <c r="AN605" s="66"/>
      <c r="AO605" s="66"/>
      <c r="AP605" s="66"/>
      <c r="AQ605" s="66"/>
      <c r="AR605" s="66"/>
      <c r="AS605" s="66"/>
      <c r="AT605" s="66"/>
      <c r="AU605" s="66"/>
      <c r="AV605" s="66"/>
      <c r="AW605" s="66"/>
      <c r="AX605" s="66"/>
      <c r="AY605" s="66"/>
      <c r="AZ605" s="66"/>
      <c r="BA605" s="66"/>
      <c r="BB605" s="66"/>
      <c r="BC605" s="66"/>
    </row>
    <row r="606" ht="14.2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  <c r="AE606" s="66"/>
      <c r="AF606" s="66"/>
      <c r="AG606" s="66"/>
      <c r="AH606" s="66"/>
      <c r="AI606" s="66"/>
      <c r="AJ606" s="66"/>
      <c r="AK606" s="66"/>
      <c r="AL606" s="66"/>
      <c r="AM606" s="66"/>
      <c r="AN606" s="66"/>
      <c r="AO606" s="66"/>
      <c r="AP606" s="66"/>
      <c r="AQ606" s="66"/>
      <c r="AR606" s="66"/>
      <c r="AS606" s="66"/>
      <c r="AT606" s="66"/>
      <c r="AU606" s="66"/>
      <c r="AV606" s="66"/>
      <c r="AW606" s="66"/>
      <c r="AX606" s="66"/>
      <c r="AY606" s="66"/>
      <c r="AZ606" s="66"/>
      <c r="BA606" s="66"/>
      <c r="BB606" s="66"/>
      <c r="BC606" s="66"/>
    </row>
    <row r="607" ht="14.2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  <c r="AE607" s="66"/>
      <c r="AF607" s="66"/>
      <c r="AG607" s="66"/>
      <c r="AH607" s="66"/>
      <c r="AI607" s="66"/>
      <c r="AJ607" s="66"/>
      <c r="AK607" s="66"/>
      <c r="AL607" s="66"/>
      <c r="AM607" s="66"/>
      <c r="AN607" s="66"/>
      <c r="AO607" s="66"/>
      <c r="AP607" s="66"/>
      <c r="AQ607" s="66"/>
      <c r="AR607" s="66"/>
      <c r="AS607" s="66"/>
      <c r="AT607" s="66"/>
      <c r="AU607" s="66"/>
      <c r="AV607" s="66"/>
      <c r="AW607" s="66"/>
      <c r="AX607" s="66"/>
      <c r="AY607" s="66"/>
      <c r="AZ607" s="66"/>
      <c r="BA607" s="66"/>
      <c r="BB607" s="66"/>
      <c r="BC607" s="66"/>
    </row>
    <row r="608" ht="14.2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  <c r="AE608" s="66"/>
      <c r="AF608" s="66"/>
      <c r="AG608" s="66"/>
      <c r="AH608" s="66"/>
      <c r="AI608" s="66"/>
      <c r="AJ608" s="66"/>
      <c r="AK608" s="66"/>
      <c r="AL608" s="66"/>
      <c r="AM608" s="66"/>
      <c r="AN608" s="66"/>
      <c r="AO608" s="66"/>
      <c r="AP608" s="66"/>
      <c r="AQ608" s="66"/>
      <c r="AR608" s="66"/>
      <c r="AS608" s="66"/>
      <c r="AT608" s="66"/>
      <c r="AU608" s="66"/>
      <c r="AV608" s="66"/>
      <c r="AW608" s="66"/>
      <c r="AX608" s="66"/>
      <c r="AY608" s="66"/>
      <c r="AZ608" s="66"/>
      <c r="BA608" s="66"/>
      <c r="BB608" s="66"/>
      <c r="BC608" s="66"/>
    </row>
    <row r="609" ht="14.2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  <c r="AE609" s="66"/>
      <c r="AF609" s="66"/>
      <c r="AG609" s="66"/>
      <c r="AH609" s="66"/>
      <c r="AI609" s="66"/>
      <c r="AJ609" s="66"/>
      <c r="AK609" s="66"/>
      <c r="AL609" s="66"/>
      <c r="AM609" s="66"/>
      <c r="AN609" s="66"/>
      <c r="AO609" s="66"/>
      <c r="AP609" s="66"/>
      <c r="AQ609" s="66"/>
      <c r="AR609" s="66"/>
      <c r="AS609" s="66"/>
      <c r="AT609" s="66"/>
      <c r="AU609" s="66"/>
      <c r="AV609" s="66"/>
      <c r="AW609" s="66"/>
      <c r="AX609" s="66"/>
      <c r="AY609" s="66"/>
      <c r="AZ609" s="66"/>
      <c r="BA609" s="66"/>
      <c r="BB609" s="66"/>
      <c r="BC609" s="66"/>
    </row>
    <row r="610" ht="14.2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  <c r="AE610" s="66"/>
      <c r="AF610" s="66"/>
      <c r="AG610" s="66"/>
      <c r="AH610" s="66"/>
      <c r="AI610" s="66"/>
      <c r="AJ610" s="66"/>
      <c r="AK610" s="66"/>
      <c r="AL610" s="66"/>
      <c r="AM610" s="66"/>
      <c r="AN610" s="66"/>
      <c r="AO610" s="66"/>
      <c r="AP610" s="66"/>
      <c r="AQ610" s="66"/>
      <c r="AR610" s="66"/>
      <c r="AS610" s="66"/>
      <c r="AT610" s="66"/>
      <c r="AU610" s="66"/>
      <c r="AV610" s="66"/>
      <c r="AW610" s="66"/>
      <c r="AX610" s="66"/>
      <c r="AY610" s="66"/>
      <c r="AZ610" s="66"/>
      <c r="BA610" s="66"/>
      <c r="BB610" s="66"/>
      <c r="BC610" s="66"/>
    </row>
    <row r="611" ht="14.2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  <c r="AE611" s="66"/>
      <c r="AF611" s="66"/>
      <c r="AG611" s="66"/>
      <c r="AH611" s="66"/>
      <c r="AI611" s="66"/>
      <c r="AJ611" s="66"/>
      <c r="AK611" s="66"/>
      <c r="AL611" s="66"/>
      <c r="AM611" s="66"/>
      <c r="AN611" s="66"/>
      <c r="AO611" s="66"/>
      <c r="AP611" s="66"/>
      <c r="AQ611" s="66"/>
      <c r="AR611" s="66"/>
      <c r="AS611" s="66"/>
      <c r="AT611" s="66"/>
      <c r="AU611" s="66"/>
      <c r="AV611" s="66"/>
      <c r="AW611" s="66"/>
      <c r="AX611" s="66"/>
      <c r="AY611" s="66"/>
      <c r="AZ611" s="66"/>
      <c r="BA611" s="66"/>
      <c r="BB611" s="66"/>
      <c r="BC611" s="66"/>
    </row>
    <row r="612" ht="14.2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  <c r="AE612" s="66"/>
      <c r="AF612" s="66"/>
      <c r="AG612" s="66"/>
      <c r="AH612" s="66"/>
      <c r="AI612" s="66"/>
      <c r="AJ612" s="66"/>
      <c r="AK612" s="66"/>
      <c r="AL612" s="66"/>
      <c r="AM612" s="66"/>
      <c r="AN612" s="66"/>
      <c r="AO612" s="66"/>
      <c r="AP612" s="66"/>
      <c r="AQ612" s="66"/>
      <c r="AR612" s="66"/>
      <c r="AS612" s="66"/>
      <c r="AT612" s="66"/>
      <c r="AU612" s="66"/>
      <c r="AV612" s="66"/>
      <c r="AW612" s="66"/>
      <c r="AX612" s="66"/>
      <c r="AY612" s="66"/>
      <c r="AZ612" s="66"/>
      <c r="BA612" s="66"/>
      <c r="BB612" s="66"/>
      <c r="BC612" s="66"/>
    </row>
    <row r="613" ht="14.2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  <c r="AE613" s="66"/>
      <c r="AF613" s="66"/>
      <c r="AG613" s="66"/>
      <c r="AH613" s="66"/>
      <c r="AI613" s="66"/>
      <c r="AJ613" s="66"/>
      <c r="AK613" s="66"/>
      <c r="AL613" s="66"/>
      <c r="AM613" s="66"/>
      <c r="AN613" s="66"/>
      <c r="AO613" s="66"/>
      <c r="AP613" s="66"/>
      <c r="AQ613" s="66"/>
      <c r="AR613" s="66"/>
      <c r="AS613" s="66"/>
      <c r="AT613" s="66"/>
      <c r="AU613" s="66"/>
      <c r="AV613" s="66"/>
      <c r="AW613" s="66"/>
      <c r="AX613" s="66"/>
      <c r="AY613" s="66"/>
      <c r="AZ613" s="66"/>
      <c r="BA613" s="66"/>
      <c r="BB613" s="66"/>
      <c r="BC613" s="66"/>
    </row>
    <row r="614" ht="14.2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  <c r="AE614" s="66"/>
      <c r="AF614" s="66"/>
      <c r="AG614" s="66"/>
      <c r="AH614" s="66"/>
      <c r="AI614" s="66"/>
      <c r="AJ614" s="66"/>
      <c r="AK614" s="66"/>
      <c r="AL614" s="66"/>
      <c r="AM614" s="66"/>
      <c r="AN614" s="66"/>
      <c r="AO614" s="66"/>
      <c r="AP614" s="66"/>
      <c r="AQ614" s="66"/>
      <c r="AR614" s="66"/>
      <c r="AS614" s="66"/>
      <c r="AT614" s="66"/>
      <c r="AU614" s="66"/>
      <c r="AV614" s="66"/>
      <c r="AW614" s="66"/>
      <c r="AX614" s="66"/>
      <c r="AY614" s="66"/>
      <c r="AZ614" s="66"/>
      <c r="BA614" s="66"/>
      <c r="BB614" s="66"/>
      <c r="BC614" s="66"/>
    </row>
    <row r="615" ht="14.2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  <c r="AE615" s="66"/>
      <c r="AF615" s="66"/>
      <c r="AG615" s="66"/>
      <c r="AH615" s="66"/>
      <c r="AI615" s="66"/>
      <c r="AJ615" s="66"/>
      <c r="AK615" s="66"/>
      <c r="AL615" s="66"/>
      <c r="AM615" s="66"/>
      <c r="AN615" s="66"/>
      <c r="AO615" s="66"/>
      <c r="AP615" s="66"/>
      <c r="AQ615" s="66"/>
      <c r="AR615" s="66"/>
      <c r="AS615" s="66"/>
      <c r="AT615" s="66"/>
      <c r="AU615" s="66"/>
      <c r="AV615" s="66"/>
      <c r="AW615" s="66"/>
      <c r="AX615" s="66"/>
      <c r="AY615" s="66"/>
      <c r="AZ615" s="66"/>
      <c r="BA615" s="66"/>
      <c r="BB615" s="66"/>
      <c r="BC615" s="66"/>
    </row>
    <row r="616" ht="14.2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  <c r="AE616" s="66"/>
      <c r="AF616" s="66"/>
      <c r="AG616" s="66"/>
      <c r="AH616" s="66"/>
      <c r="AI616" s="66"/>
      <c r="AJ616" s="66"/>
      <c r="AK616" s="66"/>
      <c r="AL616" s="66"/>
      <c r="AM616" s="66"/>
      <c r="AN616" s="66"/>
      <c r="AO616" s="66"/>
      <c r="AP616" s="66"/>
      <c r="AQ616" s="66"/>
      <c r="AR616" s="66"/>
      <c r="AS616" s="66"/>
      <c r="AT616" s="66"/>
      <c r="AU616" s="66"/>
      <c r="AV616" s="66"/>
      <c r="AW616" s="66"/>
      <c r="AX616" s="66"/>
      <c r="AY616" s="66"/>
      <c r="AZ616" s="66"/>
      <c r="BA616" s="66"/>
      <c r="BB616" s="66"/>
      <c r="BC616" s="66"/>
    </row>
    <row r="617" ht="14.2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  <c r="AE617" s="66"/>
      <c r="AF617" s="66"/>
      <c r="AG617" s="66"/>
      <c r="AH617" s="66"/>
      <c r="AI617" s="66"/>
      <c r="AJ617" s="66"/>
      <c r="AK617" s="66"/>
      <c r="AL617" s="66"/>
      <c r="AM617" s="66"/>
      <c r="AN617" s="66"/>
      <c r="AO617" s="66"/>
      <c r="AP617" s="66"/>
      <c r="AQ617" s="66"/>
      <c r="AR617" s="66"/>
      <c r="AS617" s="66"/>
      <c r="AT617" s="66"/>
      <c r="AU617" s="66"/>
      <c r="AV617" s="66"/>
      <c r="AW617" s="66"/>
      <c r="AX617" s="66"/>
      <c r="AY617" s="66"/>
      <c r="AZ617" s="66"/>
      <c r="BA617" s="66"/>
      <c r="BB617" s="66"/>
      <c r="BC617" s="66"/>
    </row>
    <row r="618" ht="14.2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  <c r="AE618" s="66"/>
      <c r="AF618" s="66"/>
      <c r="AG618" s="66"/>
      <c r="AH618" s="66"/>
      <c r="AI618" s="66"/>
      <c r="AJ618" s="66"/>
      <c r="AK618" s="66"/>
      <c r="AL618" s="66"/>
      <c r="AM618" s="66"/>
      <c r="AN618" s="66"/>
      <c r="AO618" s="66"/>
      <c r="AP618" s="66"/>
      <c r="AQ618" s="66"/>
      <c r="AR618" s="66"/>
      <c r="AS618" s="66"/>
      <c r="AT618" s="66"/>
      <c r="AU618" s="66"/>
      <c r="AV618" s="66"/>
      <c r="AW618" s="66"/>
      <c r="AX618" s="66"/>
      <c r="AY618" s="66"/>
      <c r="AZ618" s="66"/>
      <c r="BA618" s="66"/>
      <c r="BB618" s="66"/>
      <c r="BC618" s="66"/>
    </row>
    <row r="619" ht="14.2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  <c r="AE619" s="66"/>
      <c r="AF619" s="66"/>
      <c r="AG619" s="66"/>
      <c r="AH619" s="66"/>
      <c r="AI619" s="66"/>
      <c r="AJ619" s="66"/>
      <c r="AK619" s="66"/>
      <c r="AL619" s="66"/>
      <c r="AM619" s="66"/>
      <c r="AN619" s="66"/>
      <c r="AO619" s="66"/>
      <c r="AP619" s="66"/>
      <c r="AQ619" s="66"/>
      <c r="AR619" s="66"/>
      <c r="AS619" s="66"/>
      <c r="AT619" s="66"/>
      <c r="AU619" s="66"/>
      <c r="AV619" s="66"/>
      <c r="AW619" s="66"/>
      <c r="AX619" s="66"/>
      <c r="AY619" s="66"/>
      <c r="AZ619" s="66"/>
      <c r="BA619" s="66"/>
      <c r="BB619" s="66"/>
      <c r="BC619" s="66"/>
    </row>
    <row r="620" ht="14.2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  <c r="AE620" s="66"/>
      <c r="AF620" s="66"/>
      <c r="AG620" s="66"/>
      <c r="AH620" s="66"/>
      <c r="AI620" s="66"/>
      <c r="AJ620" s="66"/>
      <c r="AK620" s="66"/>
      <c r="AL620" s="66"/>
      <c r="AM620" s="66"/>
      <c r="AN620" s="66"/>
      <c r="AO620" s="66"/>
      <c r="AP620" s="66"/>
      <c r="AQ620" s="66"/>
      <c r="AR620" s="66"/>
      <c r="AS620" s="66"/>
      <c r="AT620" s="66"/>
      <c r="AU620" s="66"/>
      <c r="AV620" s="66"/>
      <c r="AW620" s="66"/>
      <c r="AX620" s="66"/>
      <c r="AY620" s="66"/>
      <c r="AZ620" s="66"/>
      <c r="BA620" s="66"/>
      <c r="BB620" s="66"/>
      <c r="BC620" s="66"/>
    </row>
    <row r="621" ht="14.2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  <c r="AE621" s="66"/>
      <c r="AF621" s="66"/>
      <c r="AG621" s="66"/>
      <c r="AH621" s="66"/>
      <c r="AI621" s="66"/>
      <c r="AJ621" s="66"/>
      <c r="AK621" s="66"/>
      <c r="AL621" s="66"/>
      <c r="AM621" s="66"/>
      <c r="AN621" s="66"/>
      <c r="AO621" s="66"/>
      <c r="AP621" s="66"/>
      <c r="AQ621" s="66"/>
      <c r="AR621" s="66"/>
      <c r="AS621" s="66"/>
      <c r="AT621" s="66"/>
      <c r="AU621" s="66"/>
      <c r="AV621" s="66"/>
      <c r="AW621" s="66"/>
      <c r="AX621" s="66"/>
      <c r="AY621" s="66"/>
      <c r="AZ621" s="66"/>
      <c r="BA621" s="66"/>
      <c r="BB621" s="66"/>
      <c r="BC621" s="66"/>
    </row>
    <row r="622" ht="14.2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  <c r="AE622" s="66"/>
      <c r="AF622" s="66"/>
      <c r="AG622" s="66"/>
      <c r="AH622" s="66"/>
      <c r="AI622" s="66"/>
      <c r="AJ622" s="66"/>
      <c r="AK622" s="66"/>
      <c r="AL622" s="66"/>
      <c r="AM622" s="66"/>
      <c r="AN622" s="66"/>
      <c r="AO622" s="66"/>
      <c r="AP622" s="66"/>
      <c r="AQ622" s="66"/>
      <c r="AR622" s="66"/>
      <c r="AS622" s="66"/>
      <c r="AT622" s="66"/>
      <c r="AU622" s="66"/>
      <c r="AV622" s="66"/>
      <c r="AW622" s="66"/>
      <c r="AX622" s="66"/>
      <c r="AY622" s="66"/>
      <c r="AZ622" s="66"/>
      <c r="BA622" s="66"/>
      <c r="BB622" s="66"/>
      <c r="BC622" s="66"/>
    </row>
    <row r="623" ht="14.2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  <c r="AE623" s="66"/>
      <c r="AF623" s="66"/>
      <c r="AG623" s="66"/>
      <c r="AH623" s="66"/>
      <c r="AI623" s="66"/>
      <c r="AJ623" s="66"/>
      <c r="AK623" s="66"/>
      <c r="AL623" s="66"/>
      <c r="AM623" s="66"/>
      <c r="AN623" s="66"/>
      <c r="AO623" s="66"/>
      <c r="AP623" s="66"/>
      <c r="AQ623" s="66"/>
      <c r="AR623" s="66"/>
      <c r="AS623" s="66"/>
      <c r="AT623" s="66"/>
      <c r="AU623" s="66"/>
      <c r="AV623" s="66"/>
      <c r="AW623" s="66"/>
      <c r="AX623" s="66"/>
      <c r="AY623" s="66"/>
      <c r="AZ623" s="66"/>
      <c r="BA623" s="66"/>
      <c r="BB623" s="66"/>
      <c r="BC623" s="66"/>
    </row>
    <row r="624" ht="14.2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  <c r="AE624" s="66"/>
      <c r="AF624" s="66"/>
      <c r="AG624" s="66"/>
      <c r="AH624" s="66"/>
      <c r="AI624" s="66"/>
      <c r="AJ624" s="66"/>
      <c r="AK624" s="66"/>
      <c r="AL624" s="66"/>
      <c r="AM624" s="66"/>
      <c r="AN624" s="66"/>
      <c r="AO624" s="66"/>
      <c r="AP624" s="66"/>
      <c r="AQ624" s="66"/>
      <c r="AR624" s="66"/>
      <c r="AS624" s="66"/>
      <c r="AT624" s="66"/>
      <c r="AU624" s="66"/>
      <c r="AV624" s="66"/>
      <c r="AW624" s="66"/>
      <c r="AX624" s="66"/>
      <c r="AY624" s="66"/>
      <c r="AZ624" s="66"/>
      <c r="BA624" s="66"/>
      <c r="BB624" s="66"/>
      <c r="BC624" s="66"/>
    </row>
    <row r="625" ht="14.2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  <c r="AE625" s="66"/>
      <c r="AF625" s="66"/>
      <c r="AG625" s="66"/>
      <c r="AH625" s="66"/>
      <c r="AI625" s="66"/>
      <c r="AJ625" s="66"/>
      <c r="AK625" s="66"/>
      <c r="AL625" s="66"/>
      <c r="AM625" s="66"/>
      <c r="AN625" s="66"/>
      <c r="AO625" s="66"/>
      <c r="AP625" s="66"/>
      <c r="AQ625" s="66"/>
      <c r="AR625" s="66"/>
      <c r="AS625" s="66"/>
      <c r="AT625" s="66"/>
      <c r="AU625" s="66"/>
      <c r="AV625" s="66"/>
      <c r="AW625" s="66"/>
      <c r="AX625" s="66"/>
      <c r="AY625" s="66"/>
      <c r="AZ625" s="66"/>
      <c r="BA625" s="66"/>
      <c r="BB625" s="66"/>
      <c r="BC625" s="66"/>
    </row>
    <row r="626" ht="14.2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  <c r="AE626" s="66"/>
      <c r="AF626" s="66"/>
      <c r="AG626" s="66"/>
      <c r="AH626" s="66"/>
      <c r="AI626" s="66"/>
      <c r="AJ626" s="66"/>
      <c r="AK626" s="66"/>
      <c r="AL626" s="66"/>
      <c r="AM626" s="66"/>
      <c r="AN626" s="66"/>
      <c r="AO626" s="66"/>
      <c r="AP626" s="66"/>
      <c r="AQ626" s="66"/>
      <c r="AR626" s="66"/>
      <c r="AS626" s="66"/>
      <c r="AT626" s="66"/>
      <c r="AU626" s="66"/>
      <c r="AV626" s="66"/>
      <c r="AW626" s="66"/>
      <c r="AX626" s="66"/>
      <c r="AY626" s="66"/>
      <c r="AZ626" s="66"/>
      <c r="BA626" s="66"/>
      <c r="BB626" s="66"/>
      <c r="BC626" s="66"/>
    </row>
    <row r="627" ht="14.2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  <c r="AH627" s="66"/>
      <c r="AI627" s="66"/>
      <c r="AJ627" s="66"/>
      <c r="AK627" s="66"/>
      <c r="AL627" s="66"/>
      <c r="AM627" s="66"/>
      <c r="AN627" s="66"/>
      <c r="AO627" s="66"/>
      <c r="AP627" s="66"/>
      <c r="AQ627" s="66"/>
      <c r="AR627" s="66"/>
      <c r="AS627" s="66"/>
      <c r="AT627" s="66"/>
      <c r="AU627" s="66"/>
      <c r="AV627" s="66"/>
      <c r="AW627" s="66"/>
      <c r="AX627" s="66"/>
      <c r="AY627" s="66"/>
      <c r="AZ627" s="66"/>
      <c r="BA627" s="66"/>
      <c r="BB627" s="66"/>
      <c r="BC627" s="66"/>
    </row>
    <row r="628" ht="14.2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66"/>
      <c r="AI628" s="66"/>
      <c r="AJ628" s="66"/>
      <c r="AK628" s="66"/>
      <c r="AL628" s="66"/>
      <c r="AM628" s="66"/>
      <c r="AN628" s="66"/>
      <c r="AO628" s="66"/>
      <c r="AP628" s="66"/>
      <c r="AQ628" s="66"/>
      <c r="AR628" s="66"/>
      <c r="AS628" s="66"/>
      <c r="AT628" s="66"/>
      <c r="AU628" s="66"/>
      <c r="AV628" s="66"/>
      <c r="AW628" s="66"/>
      <c r="AX628" s="66"/>
      <c r="AY628" s="66"/>
      <c r="AZ628" s="66"/>
      <c r="BA628" s="66"/>
      <c r="BB628" s="66"/>
      <c r="BC628" s="66"/>
    </row>
    <row r="629" ht="14.2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66"/>
      <c r="AI629" s="66"/>
      <c r="AJ629" s="66"/>
      <c r="AK629" s="66"/>
      <c r="AL629" s="66"/>
      <c r="AM629" s="66"/>
      <c r="AN629" s="66"/>
      <c r="AO629" s="66"/>
      <c r="AP629" s="66"/>
      <c r="AQ629" s="66"/>
      <c r="AR629" s="66"/>
      <c r="AS629" s="66"/>
      <c r="AT629" s="66"/>
      <c r="AU629" s="66"/>
      <c r="AV629" s="66"/>
      <c r="AW629" s="66"/>
      <c r="AX629" s="66"/>
      <c r="AY629" s="66"/>
      <c r="AZ629" s="66"/>
      <c r="BA629" s="66"/>
      <c r="BB629" s="66"/>
      <c r="BC629" s="66"/>
    </row>
    <row r="630" ht="14.2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  <c r="AE630" s="66"/>
      <c r="AF630" s="66"/>
      <c r="AG630" s="66"/>
      <c r="AH630" s="66"/>
      <c r="AI630" s="66"/>
      <c r="AJ630" s="66"/>
      <c r="AK630" s="66"/>
      <c r="AL630" s="66"/>
      <c r="AM630" s="66"/>
      <c r="AN630" s="66"/>
      <c r="AO630" s="66"/>
      <c r="AP630" s="66"/>
      <c r="AQ630" s="66"/>
      <c r="AR630" s="66"/>
      <c r="AS630" s="66"/>
      <c r="AT630" s="66"/>
      <c r="AU630" s="66"/>
      <c r="AV630" s="66"/>
      <c r="AW630" s="66"/>
      <c r="AX630" s="66"/>
      <c r="AY630" s="66"/>
      <c r="AZ630" s="66"/>
      <c r="BA630" s="66"/>
      <c r="BB630" s="66"/>
      <c r="BC630" s="66"/>
    </row>
    <row r="631" ht="14.2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  <c r="AE631" s="66"/>
      <c r="AF631" s="66"/>
      <c r="AG631" s="66"/>
      <c r="AH631" s="66"/>
      <c r="AI631" s="66"/>
      <c r="AJ631" s="66"/>
      <c r="AK631" s="66"/>
      <c r="AL631" s="66"/>
      <c r="AM631" s="66"/>
      <c r="AN631" s="66"/>
      <c r="AO631" s="66"/>
      <c r="AP631" s="66"/>
      <c r="AQ631" s="66"/>
      <c r="AR631" s="66"/>
      <c r="AS631" s="66"/>
      <c r="AT631" s="66"/>
      <c r="AU631" s="66"/>
      <c r="AV631" s="66"/>
      <c r="AW631" s="66"/>
      <c r="AX631" s="66"/>
      <c r="AY631" s="66"/>
      <c r="AZ631" s="66"/>
      <c r="BA631" s="66"/>
      <c r="BB631" s="66"/>
      <c r="BC631" s="66"/>
    </row>
    <row r="632" ht="14.2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  <c r="AE632" s="66"/>
      <c r="AF632" s="66"/>
      <c r="AG632" s="66"/>
      <c r="AH632" s="66"/>
      <c r="AI632" s="66"/>
      <c r="AJ632" s="66"/>
      <c r="AK632" s="66"/>
      <c r="AL632" s="66"/>
      <c r="AM632" s="66"/>
      <c r="AN632" s="66"/>
      <c r="AO632" s="66"/>
      <c r="AP632" s="66"/>
      <c r="AQ632" s="66"/>
      <c r="AR632" s="66"/>
      <c r="AS632" s="66"/>
      <c r="AT632" s="66"/>
      <c r="AU632" s="66"/>
      <c r="AV632" s="66"/>
      <c r="AW632" s="66"/>
      <c r="AX632" s="66"/>
      <c r="AY632" s="66"/>
      <c r="AZ632" s="66"/>
      <c r="BA632" s="66"/>
      <c r="BB632" s="66"/>
      <c r="BC632" s="66"/>
    </row>
    <row r="633" ht="14.2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  <c r="AE633" s="66"/>
      <c r="AF633" s="66"/>
      <c r="AG633" s="66"/>
      <c r="AH633" s="66"/>
      <c r="AI633" s="66"/>
      <c r="AJ633" s="66"/>
      <c r="AK633" s="66"/>
      <c r="AL633" s="66"/>
      <c r="AM633" s="66"/>
      <c r="AN633" s="66"/>
      <c r="AO633" s="66"/>
      <c r="AP633" s="66"/>
      <c r="AQ633" s="66"/>
      <c r="AR633" s="66"/>
      <c r="AS633" s="66"/>
      <c r="AT633" s="66"/>
      <c r="AU633" s="66"/>
      <c r="AV633" s="66"/>
      <c r="AW633" s="66"/>
      <c r="AX633" s="66"/>
      <c r="AY633" s="66"/>
      <c r="AZ633" s="66"/>
      <c r="BA633" s="66"/>
      <c r="BB633" s="66"/>
      <c r="BC633" s="66"/>
    </row>
    <row r="634" ht="14.2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  <c r="AE634" s="66"/>
      <c r="AF634" s="66"/>
      <c r="AG634" s="66"/>
      <c r="AH634" s="66"/>
      <c r="AI634" s="66"/>
      <c r="AJ634" s="66"/>
      <c r="AK634" s="66"/>
      <c r="AL634" s="66"/>
      <c r="AM634" s="66"/>
      <c r="AN634" s="66"/>
      <c r="AO634" s="66"/>
      <c r="AP634" s="66"/>
      <c r="AQ634" s="66"/>
      <c r="AR634" s="66"/>
      <c r="AS634" s="66"/>
      <c r="AT634" s="66"/>
      <c r="AU634" s="66"/>
      <c r="AV634" s="66"/>
      <c r="AW634" s="66"/>
      <c r="AX634" s="66"/>
      <c r="AY634" s="66"/>
      <c r="AZ634" s="66"/>
      <c r="BA634" s="66"/>
      <c r="BB634" s="66"/>
      <c r="BC634" s="66"/>
    </row>
    <row r="635" ht="14.2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  <c r="AE635" s="66"/>
      <c r="AF635" s="66"/>
      <c r="AG635" s="66"/>
      <c r="AH635" s="66"/>
      <c r="AI635" s="66"/>
      <c r="AJ635" s="66"/>
      <c r="AK635" s="66"/>
      <c r="AL635" s="66"/>
      <c r="AM635" s="66"/>
      <c r="AN635" s="66"/>
      <c r="AO635" s="66"/>
      <c r="AP635" s="66"/>
      <c r="AQ635" s="66"/>
      <c r="AR635" s="66"/>
      <c r="AS635" s="66"/>
      <c r="AT635" s="66"/>
      <c r="AU635" s="66"/>
      <c r="AV635" s="66"/>
      <c r="AW635" s="66"/>
      <c r="AX635" s="66"/>
      <c r="AY635" s="66"/>
      <c r="AZ635" s="66"/>
      <c r="BA635" s="66"/>
      <c r="BB635" s="66"/>
      <c r="BC635" s="66"/>
    </row>
    <row r="636" ht="14.2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  <c r="AE636" s="66"/>
      <c r="AF636" s="66"/>
      <c r="AG636" s="66"/>
      <c r="AH636" s="66"/>
      <c r="AI636" s="66"/>
      <c r="AJ636" s="66"/>
      <c r="AK636" s="66"/>
      <c r="AL636" s="66"/>
      <c r="AM636" s="66"/>
      <c r="AN636" s="66"/>
      <c r="AO636" s="66"/>
      <c r="AP636" s="66"/>
      <c r="AQ636" s="66"/>
      <c r="AR636" s="66"/>
      <c r="AS636" s="66"/>
      <c r="AT636" s="66"/>
      <c r="AU636" s="66"/>
      <c r="AV636" s="66"/>
      <c r="AW636" s="66"/>
      <c r="AX636" s="66"/>
      <c r="AY636" s="66"/>
      <c r="AZ636" s="66"/>
      <c r="BA636" s="66"/>
      <c r="BB636" s="66"/>
      <c r="BC636" s="66"/>
    </row>
    <row r="637" ht="14.2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  <c r="AE637" s="66"/>
      <c r="AF637" s="66"/>
      <c r="AG637" s="66"/>
      <c r="AH637" s="66"/>
      <c r="AI637" s="66"/>
      <c r="AJ637" s="66"/>
      <c r="AK637" s="66"/>
      <c r="AL637" s="66"/>
      <c r="AM637" s="66"/>
      <c r="AN637" s="66"/>
      <c r="AO637" s="66"/>
      <c r="AP637" s="66"/>
      <c r="AQ637" s="66"/>
      <c r="AR637" s="66"/>
      <c r="AS637" s="66"/>
      <c r="AT637" s="66"/>
      <c r="AU637" s="66"/>
      <c r="AV637" s="66"/>
      <c r="AW637" s="66"/>
      <c r="AX637" s="66"/>
      <c r="AY637" s="66"/>
      <c r="AZ637" s="66"/>
      <c r="BA637" s="66"/>
      <c r="BB637" s="66"/>
      <c r="BC637" s="66"/>
    </row>
    <row r="638" ht="14.2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  <c r="AE638" s="66"/>
      <c r="AF638" s="66"/>
      <c r="AG638" s="66"/>
      <c r="AH638" s="66"/>
      <c r="AI638" s="66"/>
      <c r="AJ638" s="66"/>
      <c r="AK638" s="66"/>
      <c r="AL638" s="66"/>
      <c r="AM638" s="66"/>
      <c r="AN638" s="66"/>
      <c r="AO638" s="66"/>
      <c r="AP638" s="66"/>
      <c r="AQ638" s="66"/>
      <c r="AR638" s="66"/>
      <c r="AS638" s="66"/>
      <c r="AT638" s="66"/>
      <c r="AU638" s="66"/>
      <c r="AV638" s="66"/>
      <c r="AW638" s="66"/>
      <c r="AX638" s="66"/>
      <c r="AY638" s="66"/>
      <c r="AZ638" s="66"/>
      <c r="BA638" s="66"/>
      <c r="BB638" s="66"/>
      <c r="BC638" s="66"/>
    </row>
    <row r="639" ht="14.2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  <c r="AE639" s="66"/>
      <c r="AF639" s="66"/>
      <c r="AG639" s="66"/>
      <c r="AH639" s="66"/>
      <c r="AI639" s="66"/>
      <c r="AJ639" s="66"/>
      <c r="AK639" s="66"/>
      <c r="AL639" s="66"/>
      <c r="AM639" s="66"/>
      <c r="AN639" s="66"/>
      <c r="AO639" s="66"/>
      <c r="AP639" s="66"/>
      <c r="AQ639" s="66"/>
      <c r="AR639" s="66"/>
      <c r="AS639" s="66"/>
      <c r="AT639" s="66"/>
      <c r="AU639" s="66"/>
      <c r="AV639" s="66"/>
      <c r="AW639" s="66"/>
      <c r="AX639" s="66"/>
      <c r="AY639" s="66"/>
      <c r="AZ639" s="66"/>
      <c r="BA639" s="66"/>
      <c r="BB639" s="66"/>
      <c r="BC639" s="66"/>
    </row>
    <row r="640" ht="14.2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  <c r="AE640" s="66"/>
      <c r="AF640" s="66"/>
      <c r="AG640" s="66"/>
      <c r="AH640" s="66"/>
      <c r="AI640" s="66"/>
      <c r="AJ640" s="66"/>
      <c r="AK640" s="66"/>
      <c r="AL640" s="66"/>
      <c r="AM640" s="66"/>
      <c r="AN640" s="66"/>
      <c r="AO640" s="66"/>
      <c r="AP640" s="66"/>
      <c r="AQ640" s="66"/>
      <c r="AR640" s="66"/>
      <c r="AS640" s="66"/>
      <c r="AT640" s="66"/>
      <c r="AU640" s="66"/>
      <c r="AV640" s="66"/>
      <c r="AW640" s="66"/>
      <c r="AX640" s="66"/>
      <c r="AY640" s="66"/>
      <c r="AZ640" s="66"/>
      <c r="BA640" s="66"/>
      <c r="BB640" s="66"/>
      <c r="BC640" s="66"/>
    </row>
    <row r="641" ht="14.2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  <c r="AE641" s="66"/>
      <c r="AF641" s="66"/>
      <c r="AG641" s="66"/>
      <c r="AH641" s="66"/>
      <c r="AI641" s="66"/>
      <c r="AJ641" s="66"/>
      <c r="AK641" s="66"/>
      <c r="AL641" s="66"/>
      <c r="AM641" s="66"/>
      <c r="AN641" s="66"/>
      <c r="AO641" s="66"/>
      <c r="AP641" s="66"/>
      <c r="AQ641" s="66"/>
      <c r="AR641" s="66"/>
      <c r="AS641" s="66"/>
      <c r="AT641" s="66"/>
      <c r="AU641" s="66"/>
      <c r="AV641" s="66"/>
      <c r="AW641" s="66"/>
      <c r="AX641" s="66"/>
      <c r="AY641" s="66"/>
      <c r="AZ641" s="66"/>
      <c r="BA641" s="66"/>
      <c r="BB641" s="66"/>
      <c r="BC641" s="66"/>
    </row>
    <row r="642" ht="14.2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  <c r="AE642" s="66"/>
      <c r="AF642" s="66"/>
      <c r="AG642" s="66"/>
      <c r="AH642" s="66"/>
      <c r="AI642" s="66"/>
      <c r="AJ642" s="66"/>
      <c r="AK642" s="66"/>
      <c r="AL642" s="66"/>
      <c r="AM642" s="66"/>
      <c r="AN642" s="66"/>
      <c r="AO642" s="66"/>
      <c r="AP642" s="66"/>
      <c r="AQ642" s="66"/>
      <c r="AR642" s="66"/>
      <c r="AS642" s="66"/>
      <c r="AT642" s="66"/>
      <c r="AU642" s="66"/>
      <c r="AV642" s="66"/>
      <c r="AW642" s="66"/>
      <c r="AX642" s="66"/>
      <c r="AY642" s="66"/>
      <c r="AZ642" s="66"/>
      <c r="BA642" s="66"/>
      <c r="BB642" s="66"/>
      <c r="BC642" s="66"/>
    </row>
    <row r="643" ht="14.2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  <c r="AE643" s="66"/>
      <c r="AF643" s="66"/>
      <c r="AG643" s="66"/>
      <c r="AH643" s="66"/>
      <c r="AI643" s="66"/>
      <c r="AJ643" s="66"/>
      <c r="AK643" s="66"/>
      <c r="AL643" s="66"/>
      <c r="AM643" s="66"/>
      <c r="AN643" s="66"/>
      <c r="AO643" s="66"/>
      <c r="AP643" s="66"/>
      <c r="AQ643" s="66"/>
      <c r="AR643" s="66"/>
      <c r="AS643" s="66"/>
      <c r="AT643" s="66"/>
      <c r="AU643" s="66"/>
      <c r="AV643" s="66"/>
      <c r="AW643" s="66"/>
      <c r="AX643" s="66"/>
      <c r="AY643" s="66"/>
      <c r="AZ643" s="66"/>
      <c r="BA643" s="66"/>
      <c r="BB643" s="66"/>
      <c r="BC643" s="66"/>
    </row>
    <row r="644" ht="14.2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  <c r="AE644" s="66"/>
      <c r="AF644" s="66"/>
      <c r="AG644" s="66"/>
      <c r="AH644" s="66"/>
      <c r="AI644" s="66"/>
      <c r="AJ644" s="66"/>
      <c r="AK644" s="66"/>
      <c r="AL644" s="66"/>
      <c r="AM644" s="66"/>
      <c r="AN644" s="66"/>
      <c r="AO644" s="66"/>
      <c r="AP644" s="66"/>
      <c r="AQ644" s="66"/>
      <c r="AR644" s="66"/>
      <c r="AS644" s="66"/>
      <c r="AT644" s="66"/>
      <c r="AU644" s="66"/>
      <c r="AV644" s="66"/>
      <c r="AW644" s="66"/>
      <c r="AX644" s="66"/>
      <c r="AY644" s="66"/>
      <c r="AZ644" s="66"/>
      <c r="BA644" s="66"/>
      <c r="BB644" s="66"/>
      <c r="BC644" s="66"/>
    </row>
    <row r="645" ht="14.2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  <c r="AE645" s="66"/>
      <c r="AF645" s="66"/>
      <c r="AG645" s="66"/>
      <c r="AH645" s="66"/>
      <c r="AI645" s="66"/>
      <c r="AJ645" s="66"/>
      <c r="AK645" s="66"/>
      <c r="AL645" s="66"/>
      <c r="AM645" s="66"/>
      <c r="AN645" s="66"/>
      <c r="AO645" s="66"/>
      <c r="AP645" s="66"/>
      <c r="AQ645" s="66"/>
      <c r="AR645" s="66"/>
      <c r="AS645" s="66"/>
      <c r="AT645" s="66"/>
      <c r="AU645" s="66"/>
      <c r="AV645" s="66"/>
      <c r="AW645" s="66"/>
      <c r="AX645" s="66"/>
      <c r="AY645" s="66"/>
      <c r="AZ645" s="66"/>
      <c r="BA645" s="66"/>
      <c r="BB645" s="66"/>
      <c r="BC645" s="66"/>
    </row>
    <row r="646" ht="14.2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  <c r="AE646" s="66"/>
      <c r="AF646" s="66"/>
      <c r="AG646" s="66"/>
      <c r="AH646" s="66"/>
      <c r="AI646" s="66"/>
      <c r="AJ646" s="66"/>
      <c r="AK646" s="66"/>
      <c r="AL646" s="66"/>
      <c r="AM646" s="66"/>
      <c r="AN646" s="66"/>
      <c r="AO646" s="66"/>
      <c r="AP646" s="66"/>
      <c r="AQ646" s="66"/>
      <c r="AR646" s="66"/>
      <c r="AS646" s="66"/>
      <c r="AT646" s="66"/>
      <c r="AU646" s="66"/>
      <c r="AV646" s="66"/>
      <c r="AW646" s="66"/>
      <c r="AX646" s="66"/>
      <c r="AY646" s="66"/>
      <c r="AZ646" s="66"/>
      <c r="BA646" s="66"/>
      <c r="BB646" s="66"/>
      <c r="BC646" s="66"/>
    </row>
    <row r="647" ht="14.2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  <c r="AE647" s="66"/>
      <c r="AF647" s="66"/>
      <c r="AG647" s="66"/>
      <c r="AH647" s="66"/>
      <c r="AI647" s="66"/>
      <c r="AJ647" s="66"/>
      <c r="AK647" s="66"/>
      <c r="AL647" s="66"/>
      <c r="AM647" s="66"/>
      <c r="AN647" s="66"/>
      <c r="AO647" s="66"/>
      <c r="AP647" s="66"/>
      <c r="AQ647" s="66"/>
      <c r="AR647" s="66"/>
      <c r="AS647" s="66"/>
      <c r="AT647" s="66"/>
      <c r="AU647" s="66"/>
      <c r="AV647" s="66"/>
      <c r="AW647" s="66"/>
      <c r="AX647" s="66"/>
      <c r="AY647" s="66"/>
      <c r="AZ647" s="66"/>
      <c r="BA647" s="66"/>
      <c r="BB647" s="66"/>
      <c r="BC647" s="66"/>
    </row>
    <row r="648" ht="14.2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  <c r="AE648" s="66"/>
      <c r="AF648" s="66"/>
      <c r="AG648" s="66"/>
      <c r="AH648" s="66"/>
      <c r="AI648" s="66"/>
      <c r="AJ648" s="66"/>
      <c r="AK648" s="66"/>
      <c r="AL648" s="66"/>
      <c r="AM648" s="66"/>
      <c r="AN648" s="66"/>
      <c r="AO648" s="66"/>
      <c r="AP648" s="66"/>
      <c r="AQ648" s="66"/>
      <c r="AR648" s="66"/>
      <c r="AS648" s="66"/>
      <c r="AT648" s="66"/>
      <c r="AU648" s="66"/>
      <c r="AV648" s="66"/>
      <c r="AW648" s="66"/>
      <c r="AX648" s="66"/>
      <c r="AY648" s="66"/>
      <c r="AZ648" s="66"/>
      <c r="BA648" s="66"/>
      <c r="BB648" s="66"/>
      <c r="BC648" s="66"/>
    </row>
    <row r="649" ht="14.2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  <c r="AE649" s="66"/>
      <c r="AF649" s="66"/>
      <c r="AG649" s="66"/>
      <c r="AH649" s="66"/>
      <c r="AI649" s="66"/>
      <c r="AJ649" s="66"/>
      <c r="AK649" s="66"/>
      <c r="AL649" s="66"/>
      <c r="AM649" s="66"/>
      <c r="AN649" s="66"/>
      <c r="AO649" s="66"/>
      <c r="AP649" s="66"/>
      <c r="AQ649" s="66"/>
      <c r="AR649" s="66"/>
      <c r="AS649" s="66"/>
      <c r="AT649" s="66"/>
      <c r="AU649" s="66"/>
      <c r="AV649" s="66"/>
      <c r="AW649" s="66"/>
      <c r="AX649" s="66"/>
      <c r="AY649" s="66"/>
      <c r="AZ649" s="66"/>
      <c r="BA649" s="66"/>
      <c r="BB649" s="66"/>
      <c r="BC649" s="66"/>
    </row>
    <row r="650" ht="14.2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  <c r="AE650" s="66"/>
      <c r="AF650" s="66"/>
      <c r="AG650" s="66"/>
      <c r="AH650" s="66"/>
      <c r="AI650" s="66"/>
      <c r="AJ650" s="66"/>
      <c r="AK650" s="66"/>
      <c r="AL650" s="66"/>
      <c r="AM650" s="66"/>
      <c r="AN650" s="66"/>
      <c r="AO650" s="66"/>
      <c r="AP650" s="66"/>
      <c r="AQ650" s="66"/>
      <c r="AR650" s="66"/>
      <c r="AS650" s="66"/>
      <c r="AT650" s="66"/>
      <c r="AU650" s="66"/>
      <c r="AV650" s="66"/>
      <c r="AW650" s="66"/>
      <c r="AX650" s="66"/>
      <c r="AY650" s="66"/>
      <c r="AZ650" s="66"/>
      <c r="BA650" s="66"/>
      <c r="BB650" s="66"/>
      <c r="BC650" s="66"/>
    </row>
    <row r="651" ht="14.2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  <c r="AE651" s="66"/>
      <c r="AF651" s="66"/>
      <c r="AG651" s="66"/>
      <c r="AH651" s="66"/>
      <c r="AI651" s="66"/>
      <c r="AJ651" s="66"/>
      <c r="AK651" s="66"/>
      <c r="AL651" s="66"/>
      <c r="AM651" s="66"/>
      <c r="AN651" s="66"/>
      <c r="AO651" s="66"/>
      <c r="AP651" s="66"/>
      <c r="AQ651" s="66"/>
      <c r="AR651" s="66"/>
      <c r="AS651" s="66"/>
      <c r="AT651" s="66"/>
      <c r="AU651" s="66"/>
      <c r="AV651" s="66"/>
      <c r="AW651" s="66"/>
      <c r="AX651" s="66"/>
      <c r="AY651" s="66"/>
      <c r="AZ651" s="66"/>
      <c r="BA651" s="66"/>
      <c r="BB651" s="66"/>
      <c r="BC651" s="66"/>
    </row>
    <row r="652" ht="14.2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  <c r="AE652" s="66"/>
      <c r="AF652" s="66"/>
      <c r="AG652" s="66"/>
      <c r="AH652" s="66"/>
      <c r="AI652" s="66"/>
      <c r="AJ652" s="66"/>
      <c r="AK652" s="66"/>
      <c r="AL652" s="66"/>
      <c r="AM652" s="66"/>
      <c r="AN652" s="66"/>
      <c r="AO652" s="66"/>
      <c r="AP652" s="66"/>
      <c r="AQ652" s="66"/>
      <c r="AR652" s="66"/>
      <c r="AS652" s="66"/>
      <c r="AT652" s="66"/>
      <c r="AU652" s="66"/>
      <c r="AV652" s="66"/>
      <c r="AW652" s="66"/>
      <c r="AX652" s="66"/>
      <c r="AY652" s="66"/>
      <c r="AZ652" s="66"/>
      <c r="BA652" s="66"/>
      <c r="BB652" s="66"/>
      <c r="BC652" s="66"/>
    </row>
    <row r="653" ht="14.2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  <c r="AE653" s="66"/>
      <c r="AF653" s="66"/>
      <c r="AG653" s="66"/>
      <c r="AH653" s="66"/>
      <c r="AI653" s="66"/>
      <c r="AJ653" s="66"/>
      <c r="AK653" s="66"/>
      <c r="AL653" s="66"/>
      <c r="AM653" s="66"/>
      <c r="AN653" s="66"/>
      <c r="AO653" s="66"/>
      <c r="AP653" s="66"/>
      <c r="AQ653" s="66"/>
      <c r="AR653" s="66"/>
      <c r="AS653" s="66"/>
      <c r="AT653" s="66"/>
      <c r="AU653" s="66"/>
      <c r="AV653" s="66"/>
      <c r="AW653" s="66"/>
      <c r="AX653" s="66"/>
      <c r="AY653" s="66"/>
      <c r="AZ653" s="66"/>
      <c r="BA653" s="66"/>
      <c r="BB653" s="66"/>
      <c r="BC653" s="66"/>
    </row>
    <row r="654" ht="14.2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  <c r="AE654" s="66"/>
      <c r="AF654" s="66"/>
      <c r="AG654" s="66"/>
      <c r="AH654" s="66"/>
      <c r="AI654" s="66"/>
      <c r="AJ654" s="66"/>
      <c r="AK654" s="66"/>
      <c r="AL654" s="66"/>
      <c r="AM654" s="66"/>
      <c r="AN654" s="66"/>
      <c r="AO654" s="66"/>
      <c r="AP654" s="66"/>
      <c r="AQ654" s="66"/>
      <c r="AR654" s="66"/>
      <c r="AS654" s="66"/>
      <c r="AT654" s="66"/>
      <c r="AU654" s="66"/>
      <c r="AV654" s="66"/>
      <c r="AW654" s="66"/>
      <c r="AX654" s="66"/>
      <c r="AY654" s="66"/>
      <c r="AZ654" s="66"/>
      <c r="BA654" s="66"/>
      <c r="BB654" s="66"/>
      <c r="BC654" s="66"/>
    </row>
    <row r="655" ht="14.2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  <c r="AE655" s="66"/>
      <c r="AF655" s="66"/>
      <c r="AG655" s="66"/>
      <c r="AH655" s="66"/>
      <c r="AI655" s="66"/>
      <c r="AJ655" s="66"/>
      <c r="AK655" s="66"/>
      <c r="AL655" s="66"/>
      <c r="AM655" s="66"/>
      <c r="AN655" s="66"/>
      <c r="AO655" s="66"/>
      <c r="AP655" s="66"/>
      <c r="AQ655" s="66"/>
      <c r="AR655" s="66"/>
      <c r="AS655" s="66"/>
      <c r="AT655" s="66"/>
      <c r="AU655" s="66"/>
      <c r="AV655" s="66"/>
      <c r="AW655" s="66"/>
      <c r="AX655" s="66"/>
      <c r="AY655" s="66"/>
      <c r="AZ655" s="66"/>
      <c r="BA655" s="66"/>
      <c r="BB655" s="66"/>
      <c r="BC655" s="66"/>
    </row>
    <row r="656" ht="14.2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  <c r="AE656" s="66"/>
      <c r="AF656" s="66"/>
      <c r="AG656" s="66"/>
      <c r="AH656" s="66"/>
      <c r="AI656" s="66"/>
      <c r="AJ656" s="66"/>
      <c r="AK656" s="66"/>
      <c r="AL656" s="66"/>
      <c r="AM656" s="66"/>
      <c r="AN656" s="66"/>
      <c r="AO656" s="66"/>
      <c r="AP656" s="66"/>
      <c r="AQ656" s="66"/>
      <c r="AR656" s="66"/>
      <c r="AS656" s="66"/>
      <c r="AT656" s="66"/>
      <c r="AU656" s="66"/>
      <c r="AV656" s="66"/>
      <c r="AW656" s="66"/>
      <c r="AX656" s="66"/>
      <c r="AY656" s="66"/>
      <c r="AZ656" s="66"/>
      <c r="BA656" s="66"/>
      <c r="BB656" s="66"/>
      <c r="BC656" s="66"/>
    </row>
    <row r="657" ht="14.2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  <c r="AE657" s="66"/>
      <c r="AF657" s="66"/>
      <c r="AG657" s="66"/>
      <c r="AH657" s="66"/>
      <c r="AI657" s="66"/>
      <c r="AJ657" s="66"/>
      <c r="AK657" s="66"/>
      <c r="AL657" s="66"/>
      <c r="AM657" s="66"/>
      <c r="AN657" s="66"/>
      <c r="AO657" s="66"/>
      <c r="AP657" s="66"/>
      <c r="AQ657" s="66"/>
      <c r="AR657" s="66"/>
      <c r="AS657" s="66"/>
      <c r="AT657" s="66"/>
      <c r="AU657" s="66"/>
      <c r="AV657" s="66"/>
      <c r="AW657" s="66"/>
      <c r="AX657" s="66"/>
      <c r="AY657" s="66"/>
      <c r="AZ657" s="66"/>
      <c r="BA657" s="66"/>
      <c r="BB657" s="66"/>
      <c r="BC657" s="66"/>
    </row>
    <row r="658" ht="14.2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  <c r="AE658" s="66"/>
      <c r="AF658" s="66"/>
      <c r="AG658" s="66"/>
      <c r="AH658" s="66"/>
      <c r="AI658" s="66"/>
      <c r="AJ658" s="66"/>
      <c r="AK658" s="66"/>
      <c r="AL658" s="66"/>
      <c r="AM658" s="66"/>
      <c r="AN658" s="66"/>
      <c r="AO658" s="66"/>
      <c r="AP658" s="66"/>
      <c r="AQ658" s="66"/>
      <c r="AR658" s="66"/>
      <c r="AS658" s="66"/>
      <c r="AT658" s="66"/>
      <c r="AU658" s="66"/>
      <c r="AV658" s="66"/>
      <c r="AW658" s="66"/>
      <c r="AX658" s="66"/>
      <c r="AY658" s="66"/>
      <c r="AZ658" s="66"/>
      <c r="BA658" s="66"/>
      <c r="BB658" s="66"/>
      <c r="BC658" s="66"/>
    </row>
    <row r="659" ht="14.2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  <c r="AE659" s="66"/>
      <c r="AF659" s="66"/>
      <c r="AG659" s="66"/>
      <c r="AH659" s="66"/>
      <c r="AI659" s="66"/>
      <c r="AJ659" s="66"/>
      <c r="AK659" s="66"/>
      <c r="AL659" s="66"/>
      <c r="AM659" s="66"/>
      <c r="AN659" s="66"/>
      <c r="AO659" s="66"/>
      <c r="AP659" s="66"/>
      <c r="AQ659" s="66"/>
      <c r="AR659" s="66"/>
      <c r="AS659" s="66"/>
      <c r="AT659" s="66"/>
      <c r="AU659" s="66"/>
      <c r="AV659" s="66"/>
      <c r="AW659" s="66"/>
      <c r="AX659" s="66"/>
      <c r="AY659" s="66"/>
      <c r="AZ659" s="66"/>
      <c r="BA659" s="66"/>
      <c r="BB659" s="66"/>
      <c r="BC659" s="66"/>
    </row>
    <row r="660" ht="14.2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  <c r="AE660" s="66"/>
      <c r="AF660" s="66"/>
      <c r="AG660" s="66"/>
      <c r="AH660" s="66"/>
      <c r="AI660" s="66"/>
      <c r="AJ660" s="66"/>
      <c r="AK660" s="66"/>
      <c r="AL660" s="66"/>
      <c r="AM660" s="66"/>
      <c r="AN660" s="66"/>
      <c r="AO660" s="66"/>
      <c r="AP660" s="66"/>
      <c r="AQ660" s="66"/>
      <c r="AR660" s="66"/>
      <c r="AS660" s="66"/>
      <c r="AT660" s="66"/>
      <c r="AU660" s="66"/>
      <c r="AV660" s="66"/>
      <c r="AW660" s="66"/>
      <c r="AX660" s="66"/>
      <c r="AY660" s="66"/>
      <c r="AZ660" s="66"/>
      <c r="BA660" s="66"/>
      <c r="BB660" s="66"/>
      <c r="BC660" s="66"/>
    </row>
    <row r="661" ht="14.2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  <c r="AE661" s="66"/>
      <c r="AF661" s="66"/>
      <c r="AG661" s="66"/>
      <c r="AH661" s="66"/>
      <c r="AI661" s="66"/>
      <c r="AJ661" s="66"/>
      <c r="AK661" s="66"/>
      <c r="AL661" s="66"/>
      <c r="AM661" s="66"/>
      <c r="AN661" s="66"/>
      <c r="AO661" s="66"/>
      <c r="AP661" s="66"/>
      <c r="AQ661" s="66"/>
      <c r="AR661" s="66"/>
      <c r="AS661" s="66"/>
      <c r="AT661" s="66"/>
      <c r="AU661" s="66"/>
      <c r="AV661" s="66"/>
      <c r="AW661" s="66"/>
      <c r="AX661" s="66"/>
      <c r="AY661" s="66"/>
      <c r="AZ661" s="66"/>
      <c r="BA661" s="66"/>
      <c r="BB661" s="66"/>
      <c r="BC661" s="66"/>
    </row>
    <row r="662" ht="14.2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  <c r="AE662" s="66"/>
      <c r="AF662" s="66"/>
      <c r="AG662" s="66"/>
      <c r="AH662" s="66"/>
      <c r="AI662" s="66"/>
      <c r="AJ662" s="66"/>
      <c r="AK662" s="66"/>
      <c r="AL662" s="66"/>
      <c r="AM662" s="66"/>
      <c r="AN662" s="66"/>
      <c r="AO662" s="66"/>
      <c r="AP662" s="66"/>
      <c r="AQ662" s="66"/>
      <c r="AR662" s="66"/>
      <c r="AS662" s="66"/>
      <c r="AT662" s="66"/>
      <c r="AU662" s="66"/>
      <c r="AV662" s="66"/>
      <c r="AW662" s="66"/>
      <c r="AX662" s="66"/>
      <c r="AY662" s="66"/>
      <c r="AZ662" s="66"/>
      <c r="BA662" s="66"/>
      <c r="BB662" s="66"/>
      <c r="BC662" s="66"/>
    </row>
    <row r="663" ht="14.2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  <c r="AE663" s="66"/>
      <c r="AF663" s="66"/>
      <c r="AG663" s="66"/>
      <c r="AH663" s="66"/>
      <c r="AI663" s="66"/>
      <c r="AJ663" s="66"/>
      <c r="AK663" s="66"/>
      <c r="AL663" s="66"/>
      <c r="AM663" s="66"/>
      <c r="AN663" s="66"/>
      <c r="AO663" s="66"/>
      <c r="AP663" s="66"/>
      <c r="AQ663" s="66"/>
      <c r="AR663" s="66"/>
      <c r="AS663" s="66"/>
      <c r="AT663" s="66"/>
      <c r="AU663" s="66"/>
      <c r="AV663" s="66"/>
      <c r="AW663" s="66"/>
      <c r="AX663" s="66"/>
      <c r="AY663" s="66"/>
      <c r="AZ663" s="66"/>
      <c r="BA663" s="66"/>
      <c r="BB663" s="66"/>
      <c r="BC663" s="66"/>
    </row>
    <row r="664" ht="14.2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  <c r="AE664" s="66"/>
      <c r="AF664" s="66"/>
      <c r="AG664" s="66"/>
      <c r="AH664" s="66"/>
      <c r="AI664" s="66"/>
      <c r="AJ664" s="66"/>
      <c r="AK664" s="66"/>
      <c r="AL664" s="66"/>
      <c r="AM664" s="66"/>
      <c r="AN664" s="66"/>
      <c r="AO664" s="66"/>
      <c r="AP664" s="66"/>
      <c r="AQ664" s="66"/>
      <c r="AR664" s="66"/>
      <c r="AS664" s="66"/>
      <c r="AT664" s="66"/>
      <c r="AU664" s="66"/>
      <c r="AV664" s="66"/>
      <c r="AW664" s="66"/>
      <c r="AX664" s="66"/>
      <c r="AY664" s="66"/>
      <c r="AZ664" s="66"/>
      <c r="BA664" s="66"/>
      <c r="BB664" s="66"/>
      <c r="BC664" s="66"/>
    </row>
    <row r="665" ht="14.2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  <c r="AE665" s="66"/>
      <c r="AF665" s="66"/>
      <c r="AG665" s="66"/>
      <c r="AH665" s="66"/>
      <c r="AI665" s="66"/>
      <c r="AJ665" s="66"/>
      <c r="AK665" s="66"/>
      <c r="AL665" s="66"/>
      <c r="AM665" s="66"/>
      <c r="AN665" s="66"/>
      <c r="AO665" s="66"/>
      <c r="AP665" s="66"/>
      <c r="AQ665" s="66"/>
      <c r="AR665" s="66"/>
      <c r="AS665" s="66"/>
      <c r="AT665" s="66"/>
      <c r="AU665" s="66"/>
      <c r="AV665" s="66"/>
      <c r="AW665" s="66"/>
      <c r="AX665" s="66"/>
      <c r="AY665" s="66"/>
      <c r="AZ665" s="66"/>
      <c r="BA665" s="66"/>
      <c r="BB665" s="66"/>
      <c r="BC665" s="66"/>
    </row>
    <row r="666" ht="14.2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  <c r="AE666" s="66"/>
      <c r="AF666" s="66"/>
      <c r="AG666" s="66"/>
      <c r="AH666" s="66"/>
      <c r="AI666" s="66"/>
      <c r="AJ666" s="66"/>
      <c r="AK666" s="66"/>
      <c r="AL666" s="66"/>
      <c r="AM666" s="66"/>
      <c r="AN666" s="66"/>
      <c r="AO666" s="66"/>
      <c r="AP666" s="66"/>
      <c r="AQ666" s="66"/>
      <c r="AR666" s="66"/>
      <c r="AS666" s="66"/>
      <c r="AT666" s="66"/>
      <c r="AU666" s="66"/>
      <c r="AV666" s="66"/>
      <c r="AW666" s="66"/>
      <c r="AX666" s="66"/>
      <c r="AY666" s="66"/>
      <c r="AZ666" s="66"/>
      <c r="BA666" s="66"/>
      <c r="BB666" s="66"/>
      <c r="BC666" s="66"/>
    </row>
    <row r="667" ht="14.2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  <c r="AE667" s="66"/>
      <c r="AF667" s="66"/>
      <c r="AG667" s="66"/>
      <c r="AH667" s="66"/>
      <c r="AI667" s="66"/>
      <c r="AJ667" s="66"/>
      <c r="AK667" s="66"/>
      <c r="AL667" s="66"/>
      <c r="AM667" s="66"/>
      <c r="AN667" s="66"/>
      <c r="AO667" s="66"/>
      <c r="AP667" s="66"/>
      <c r="AQ667" s="66"/>
      <c r="AR667" s="66"/>
      <c r="AS667" s="66"/>
      <c r="AT667" s="66"/>
      <c r="AU667" s="66"/>
      <c r="AV667" s="66"/>
      <c r="AW667" s="66"/>
      <c r="AX667" s="66"/>
      <c r="AY667" s="66"/>
      <c r="AZ667" s="66"/>
      <c r="BA667" s="66"/>
      <c r="BB667" s="66"/>
      <c r="BC667" s="66"/>
    </row>
    <row r="668" ht="14.2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  <c r="AE668" s="66"/>
      <c r="AF668" s="66"/>
      <c r="AG668" s="66"/>
      <c r="AH668" s="66"/>
      <c r="AI668" s="66"/>
      <c r="AJ668" s="66"/>
      <c r="AK668" s="66"/>
      <c r="AL668" s="66"/>
      <c r="AM668" s="66"/>
      <c r="AN668" s="66"/>
      <c r="AO668" s="66"/>
      <c r="AP668" s="66"/>
      <c r="AQ668" s="66"/>
      <c r="AR668" s="66"/>
      <c r="AS668" s="66"/>
      <c r="AT668" s="66"/>
      <c r="AU668" s="66"/>
      <c r="AV668" s="66"/>
      <c r="AW668" s="66"/>
      <c r="AX668" s="66"/>
      <c r="AY668" s="66"/>
      <c r="AZ668" s="66"/>
      <c r="BA668" s="66"/>
      <c r="BB668" s="66"/>
      <c r="BC668" s="66"/>
    </row>
    <row r="669" ht="14.2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  <c r="AE669" s="66"/>
      <c r="AF669" s="66"/>
      <c r="AG669" s="66"/>
      <c r="AH669" s="66"/>
      <c r="AI669" s="66"/>
      <c r="AJ669" s="66"/>
      <c r="AK669" s="66"/>
      <c r="AL669" s="66"/>
      <c r="AM669" s="66"/>
      <c r="AN669" s="66"/>
      <c r="AO669" s="66"/>
      <c r="AP669" s="66"/>
      <c r="AQ669" s="66"/>
      <c r="AR669" s="66"/>
      <c r="AS669" s="66"/>
      <c r="AT669" s="66"/>
      <c r="AU669" s="66"/>
      <c r="AV669" s="66"/>
      <c r="AW669" s="66"/>
      <c r="AX669" s="66"/>
      <c r="AY669" s="66"/>
      <c r="AZ669" s="66"/>
      <c r="BA669" s="66"/>
      <c r="BB669" s="66"/>
      <c r="BC669" s="66"/>
    </row>
    <row r="670" ht="14.2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  <c r="AE670" s="66"/>
      <c r="AF670" s="66"/>
      <c r="AG670" s="66"/>
      <c r="AH670" s="66"/>
      <c r="AI670" s="66"/>
      <c r="AJ670" s="66"/>
      <c r="AK670" s="66"/>
      <c r="AL670" s="66"/>
      <c r="AM670" s="66"/>
      <c r="AN670" s="66"/>
      <c r="AO670" s="66"/>
      <c r="AP670" s="66"/>
      <c r="AQ670" s="66"/>
      <c r="AR670" s="66"/>
      <c r="AS670" s="66"/>
      <c r="AT670" s="66"/>
      <c r="AU670" s="66"/>
      <c r="AV670" s="66"/>
      <c r="AW670" s="66"/>
      <c r="AX670" s="66"/>
      <c r="AY670" s="66"/>
      <c r="AZ670" s="66"/>
      <c r="BA670" s="66"/>
      <c r="BB670" s="66"/>
      <c r="BC670" s="66"/>
    </row>
    <row r="671" ht="14.2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  <c r="AE671" s="66"/>
      <c r="AF671" s="66"/>
      <c r="AG671" s="66"/>
      <c r="AH671" s="66"/>
      <c r="AI671" s="66"/>
      <c r="AJ671" s="66"/>
      <c r="AK671" s="66"/>
      <c r="AL671" s="66"/>
      <c r="AM671" s="66"/>
      <c r="AN671" s="66"/>
      <c r="AO671" s="66"/>
      <c r="AP671" s="66"/>
      <c r="AQ671" s="66"/>
      <c r="AR671" s="66"/>
      <c r="AS671" s="66"/>
      <c r="AT671" s="66"/>
      <c r="AU671" s="66"/>
      <c r="AV671" s="66"/>
      <c r="AW671" s="66"/>
      <c r="AX671" s="66"/>
      <c r="AY671" s="66"/>
      <c r="AZ671" s="66"/>
      <c r="BA671" s="66"/>
      <c r="BB671" s="66"/>
      <c r="BC671" s="66"/>
    </row>
    <row r="672" ht="14.2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  <c r="AE672" s="66"/>
      <c r="AF672" s="66"/>
      <c r="AG672" s="66"/>
      <c r="AH672" s="66"/>
      <c r="AI672" s="66"/>
      <c r="AJ672" s="66"/>
      <c r="AK672" s="66"/>
      <c r="AL672" s="66"/>
      <c r="AM672" s="66"/>
      <c r="AN672" s="66"/>
      <c r="AO672" s="66"/>
      <c r="AP672" s="66"/>
      <c r="AQ672" s="66"/>
      <c r="AR672" s="66"/>
      <c r="AS672" s="66"/>
      <c r="AT672" s="66"/>
      <c r="AU672" s="66"/>
      <c r="AV672" s="66"/>
      <c r="AW672" s="66"/>
      <c r="AX672" s="66"/>
      <c r="AY672" s="66"/>
      <c r="AZ672" s="66"/>
      <c r="BA672" s="66"/>
      <c r="BB672" s="66"/>
      <c r="BC672" s="66"/>
    </row>
    <row r="673" ht="14.2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  <c r="AE673" s="66"/>
      <c r="AF673" s="66"/>
      <c r="AG673" s="66"/>
      <c r="AH673" s="66"/>
      <c r="AI673" s="66"/>
      <c r="AJ673" s="66"/>
      <c r="AK673" s="66"/>
      <c r="AL673" s="66"/>
      <c r="AM673" s="66"/>
      <c r="AN673" s="66"/>
      <c r="AO673" s="66"/>
      <c r="AP673" s="66"/>
      <c r="AQ673" s="66"/>
      <c r="AR673" s="66"/>
      <c r="AS673" s="66"/>
      <c r="AT673" s="66"/>
      <c r="AU673" s="66"/>
      <c r="AV673" s="66"/>
      <c r="AW673" s="66"/>
      <c r="AX673" s="66"/>
      <c r="AY673" s="66"/>
      <c r="AZ673" s="66"/>
      <c r="BA673" s="66"/>
      <c r="BB673" s="66"/>
      <c r="BC673" s="66"/>
    </row>
    <row r="674" ht="14.2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  <c r="AE674" s="66"/>
      <c r="AF674" s="66"/>
      <c r="AG674" s="66"/>
      <c r="AH674" s="66"/>
      <c r="AI674" s="66"/>
      <c r="AJ674" s="66"/>
      <c r="AK674" s="66"/>
      <c r="AL674" s="66"/>
      <c r="AM674" s="66"/>
      <c r="AN674" s="66"/>
      <c r="AO674" s="66"/>
      <c r="AP674" s="66"/>
      <c r="AQ674" s="66"/>
      <c r="AR674" s="66"/>
      <c r="AS674" s="66"/>
      <c r="AT674" s="66"/>
      <c r="AU674" s="66"/>
      <c r="AV674" s="66"/>
      <c r="AW674" s="66"/>
      <c r="AX674" s="66"/>
      <c r="AY674" s="66"/>
      <c r="AZ674" s="66"/>
      <c r="BA674" s="66"/>
      <c r="BB674" s="66"/>
      <c r="BC674" s="66"/>
    </row>
    <row r="675" ht="14.2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  <c r="AE675" s="66"/>
      <c r="AF675" s="66"/>
      <c r="AG675" s="66"/>
      <c r="AH675" s="66"/>
      <c r="AI675" s="66"/>
      <c r="AJ675" s="66"/>
      <c r="AK675" s="66"/>
      <c r="AL675" s="66"/>
      <c r="AM675" s="66"/>
      <c r="AN675" s="66"/>
      <c r="AO675" s="66"/>
      <c r="AP675" s="66"/>
      <c r="AQ675" s="66"/>
      <c r="AR675" s="66"/>
      <c r="AS675" s="66"/>
      <c r="AT675" s="66"/>
      <c r="AU675" s="66"/>
      <c r="AV675" s="66"/>
      <c r="AW675" s="66"/>
      <c r="AX675" s="66"/>
      <c r="AY675" s="66"/>
      <c r="AZ675" s="66"/>
      <c r="BA675" s="66"/>
      <c r="BB675" s="66"/>
      <c r="BC675" s="66"/>
    </row>
    <row r="676" ht="14.2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  <c r="AE676" s="66"/>
      <c r="AF676" s="66"/>
      <c r="AG676" s="66"/>
      <c r="AH676" s="66"/>
      <c r="AI676" s="66"/>
      <c r="AJ676" s="66"/>
      <c r="AK676" s="66"/>
      <c r="AL676" s="66"/>
      <c r="AM676" s="66"/>
      <c r="AN676" s="66"/>
      <c r="AO676" s="66"/>
      <c r="AP676" s="66"/>
      <c r="AQ676" s="66"/>
      <c r="AR676" s="66"/>
      <c r="AS676" s="66"/>
      <c r="AT676" s="66"/>
      <c r="AU676" s="66"/>
      <c r="AV676" s="66"/>
      <c r="AW676" s="66"/>
      <c r="AX676" s="66"/>
      <c r="AY676" s="66"/>
      <c r="AZ676" s="66"/>
      <c r="BA676" s="66"/>
      <c r="BB676" s="66"/>
      <c r="BC676" s="66"/>
    </row>
    <row r="677" ht="14.2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  <c r="AE677" s="66"/>
      <c r="AF677" s="66"/>
      <c r="AG677" s="66"/>
      <c r="AH677" s="66"/>
      <c r="AI677" s="66"/>
      <c r="AJ677" s="66"/>
      <c r="AK677" s="66"/>
      <c r="AL677" s="66"/>
      <c r="AM677" s="66"/>
      <c r="AN677" s="66"/>
      <c r="AO677" s="66"/>
      <c r="AP677" s="66"/>
      <c r="AQ677" s="66"/>
      <c r="AR677" s="66"/>
      <c r="AS677" s="66"/>
      <c r="AT677" s="66"/>
      <c r="AU677" s="66"/>
      <c r="AV677" s="66"/>
      <c r="AW677" s="66"/>
      <c r="AX677" s="66"/>
      <c r="AY677" s="66"/>
      <c r="AZ677" s="66"/>
      <c r="BA677" s="66"/>
      <c r="BB677" s="66"/>
      <c r="BC677" s="66"/>
    </row>
    <row r="678" ht="14.2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  <c r="AE678" s="66"/>
      <c r="AF678" s="66"/>
      <c r="AG678" s="66"/>
      <c r="AH678" s="66"/>
      <c r="AI678" s="66"/>
      <c r="AJ678" s="66"/>
      <c r="AK678" s="66"/>
      <c r="AL678" s="66"/>
      <c r="AM678" s="66"/>
      <c r="AN678" s="66"/>
      <c r="AO678" s="66"/>
      <c r="AP678" s="66"/>
      <c r="AQ678" s="66"/>
      <c r="AR678" s="66"/>
      <c r="AS678" s="66"/>
      <c r="AT678" s="66"/>
      <c r="AU678" s="66"/>
      <c r="AV678" s="66"/>
      <c r="AW678" s="66"/>
      <c r="AX678" s="66"/>
      <c r="AY678" s="66"/>
      <c r="AZ678" s="66"/>
      <c r="BA678" s="66"/>
      <c r="BB678" s="66"/>
      <c r="BC678" s="66"/>
    </row>
    <row r="679" ht="14.2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  <c r="AE679" s="66"/>
      <c r="AF679" s="66"/>
      <c r="AG679" s="66"/>
      <c r="AH679" s="66"/>
      <c r="AI679" s="66"/>
      <c r="AJ679" s="66"/>
      <c r="AK679" s="66"/>
      <c r="AL679" s="66"/>
      <c r="AM679" s="66"/>
      <c r="AN679" s="66"/>
      <c r="AO679" s="66"/>
      <c r="AP679" s="66"/>
      <c r="AQ679" s="66"/>
      <c r="AR679" s="66"/>
      <c r="AS679" s="66"/>
      <c r="AT679" s="66"/>
      <c r="AU679" s="66"/>
      <c r="AV679" s="66"/>
      <c r="AW679" s="66"/>
      <c r="AX679" s="66"/>
      <c r="AY679" s="66"/>
      <c r="AZ679" s="66"/>
      <c r="BA679" s="66"/>
      <c r="BB679" s="66"/>
      <c r="BC679" s="66"/>
    </row>
    <row r="680" ht="14.2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  <c r="AF680" s="66"/>
      <c r="AG680" s="66"/>
      <c r="AH680" s="66"/>
      <c r="AI680" s="66"/>
      <c r="AJ680" s="66"/>
      <c r="AK680" s="66"/>
      <c r="AL680" s="66"/>
      <c r="AM680" s="66"/>
      <c r="AN680" s="66"/>
      <c r="AO680" s="66"/>
      <c r="AP680" s="66"/>
      <c r="AQ680" s="66"/>
      <c r="AR680" s="66"/>
      <c r="AS680" s="66"/>
      <c r="AT680" s="66"/>
      <c r="AU680" s="66"/>
      <c r="AV680" s="66"/>
      <c r="AW680" s="66"/>
      <c r="AX680" s="66"/>
      <c r="AY680" s="66"/>
      <c r="AZ680" s="66"/>
      <c r="BA680" s="66"/>
      <c r="BB680" s="66"/>
      <c r="BC680" s="66"/>
    </row>
    <row r="681" ht="14.2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  <c r="AF681" s="66"/>
      <c r="AG681" s="66"/>
      <c r="AH681" s="66"/>
      <c r="AI681" s="66"/>
      <c r="AJ681" s="66"/>
      <c r="AK681" s="66"/>
      <c r="AL681" s="66"/>
      <c r="AM681" s="66"/>
      <c r="AN681" s="66"/>
      <c r="AO681" s="66"/>
      <c r="AP681" s="66"/>
      <c r="AQ681" s="66"/>
      <c r="AR681" s="66"/>
      <c r="AS681" s="66"/>
      <c r="AT681" s="66"/>
      <c r="AU681" s="66"/>
      <c r="AV681" s="66"/>
      <c r="AW681" s="66"/>
      <c r="AX681" s="66"/>
      <c r="AY681" s="66"/>
      <c r="AZ681" s="66"/>
      <c r="BA681" s="66"/>
      <c r="BB681" s="66"/>
      <c r="BC681" s="66"/>
    </row>
    <row r="682" ht="14.2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  <c r="AG682" s="66"/>
      <c r="AH682" s="66"/>
      <c r="AI682" s="66"/>
      <c r="AJ682" s="66"/>
      <c r="AK682" s="66"/>
      <c r="AL682" s="66"/>
      <c r="AM682" s="66"/>
      <c r="AN682" s="66"/>
      <c r="AO682" s="66"/>
      <c r="AP682" s="66"/>
      <c r="AQ682" s="66"/>
      <c r="AR682" s="66"/>
      <c r="AS682" s="66"/>
      <c r="AT682" s="66"/>
      <c r="AU682" s="66"/>
      <c r="AV682" s="66"/>
      <c r="AW682" s="66"/>
      <c r="AX682" s="66"/>
      <c r="AY682" s="66"/>
      <c r="AZ682" s="66"/>
      <c r="BA682" s="66"/>
      <c r="BB682" s="66"/>
      <c r="BC682" s="66"/>
    </row>
    <row r="683" ht="14.2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  <c r="AE683" s="66"/>
      <c r="AF683" s="66"/>
      <c r="AG683" s="66"/>
      <c r="AH683" s="66"/>
      <c r="AI683" s="66"/>
      <c r="AJ683" s="66"/>
      <c r="AK683" s="66"/>
      <c r="AL683" s="66"/>
      <c r="AM683" s="66"/>
      <c r="AN683" s="66"/>
      <c r="AO683" s="66"/>
      <c r="AP683" s="66"/>
      <c r="AQ683" s="66"/>
      <c r="AR683" s="66"/>
      <c r="AS683" s="66"/>
      <c r="AT683" s="66"/>
      <c r="AU683" s="66"/>
      <c r="AV683" s="66"/>
      <c r="AW683" s="66"/>
      <c r="AX683" s="66"/>
      <c r="AY683" s="66"/>
      <c r="AZ683" s="66"/>
      <c r="BA683" s="66"/>
      <c r="BB683" s="66"/>
      <c r="BC683" s="66"/>
    </row>
    <row r="684" ht="14.2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  <c r="AE684" s="66"/>
      <c r="AF684" s="66"/>
      <c r="AG684" s="66"/>
      <c r="AH684" s="66"/>
      <c r="AI684" s="66"/>
      <c r="AJ684" s="66"/>
      <c r="AK684" s="66"/>
      <c r="AL684" s="66"/>
      <c r="AM684" s="66"/>
      <c r="AN684" s="66"/>
      <c r="AO684" s="66"/>
      <c r="AP684" s="66"/>
      <c r="AQ684" s="66"/>
      <c r="AR684" s="66"/>
      <c r="AS684" s="66"/>
      <c r="AT684" s="66"/>
      <c r="AU684" s="66"/>
      <c r="AV684" s="66"/>
      <c r="AW684" s="66"/>
      <c r="AX684" s="66"/>
      <c r="AY684" s="66"/>
      <c r="AZ684" s="66"/>
      <c r="BA684" s="66"/>
      <c r="BB684" s="66"/>
      <c r="BC684" s="66"/>
    </row>
    <row r="685" ht="14.2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  <c r="AE685" s="66"/>
      <c r="AF685" s="66"/>
      <c r="AG685" s="66"/>
      <c r="AH685" s="66"/>
      <c r="AI685" s="66"/>
      <c r="AJ685" s="66"/>
      <c r="AK685" s="66"/>
      <c r="AL685" s="66"/>
      <c r="AM685" s="66"/>
      <c r="AN685" s="66"/>
      <c r="AO685" s="66"/>
      <c r="AP685" s="66"/>
      <c r="AQ685" s="66"/>
      <c r="AR685" s="66"/>
      <c r="AS685" s="66"/>
      <c r="AT685" s="66"/>
      <c r="AU685" s="66"/>
      <c r="AV685" s="66"/>
      <c r="AW685" s="66"/>
      <c r="AX685" s="66"/>
      <c r="AY685" s="66"/>
      <c r="AZ685" s="66"/>
      <c r="BA685" s="66"/>
      <c r="BB685" s="66"/>
      <c r="BC685" s="66"/>
    </row>
    <row r="686" ht="14.2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  <c r="AE686" s="66"/>
      <c r="AF686" s="66"/>
      <c r="AG686" s="66"/>
      <c r="AH686" s="66"/>
      <c r="AI686" s="66"/>
      <c r="AJ686" s="66"/>
      <c r="AK686" s="66"/>
      <c r="AL686" s="66"/>
      <c r="AM686" s="66"/>
      <c r="AN686" s="66"/>
      <c r="AO686" s="66"/>
      <c r="AP686" s="66"/>
      <c r="AQ686" s="66"/>
      <c r="AR686" s="66"/>
      <c r="AS686" s="66"/>
      <c r="AT686" s="66"/>
      <c r="AU686" s="66"/>
      <c r="AV686" s="66"/>
      <c r="AW686" s="66"/>
      <c r="AX686" s="66"/>
      <c r="AY686" s="66"/>
      <c r="AZ686" s="66"/>
      <c r="BA686" s="66"/>
      <c r="BB686" s="66"/>
      <c r="BC686" s="66"/>
    </row>
    <row r="687" ht="14.2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  <c r="AE687" s="66"/>
      <c r="AF687" s="66"/>
      <c r="AG687" s="66"/>
      <c r="AH687" s="66"/>
      <c r="AI687" s="66"/>
      <c r="AJ687" s="66"/>
      <c r="AK687" s="66"/>
      <c r="AL687" s="66"/>
      <c r="AM687" s="66"/>
      <c r="AN687" s="66"/>
      <c r="AO687" s="66"/>
      <c r="AP687" s="66"/>
      <c r="AQ687" s="66"/>
      <c r="AR687" s="66"/>
      <c r="AS687" s="66"/>
      <c r="AT687" s="66"/>
      <c r="AU687" s="66"/>
      <c r="AV687" s="66"/>
      <c r="AW687" s="66"/>
      <c r="AX687" s="66"/>
      <c r="AY687" s="66"/>
      <c r="AZ687" s="66"/>
      <c r="BA687" s="66"/>
      <c r="BB687" s="66"/>
      <c r="BC687" s="66"/>
    </row>
    <row r="688" ht="14.2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  <c r="AE688" s="66"/>
      <c r="AF688" s="66"/>
      <c r="AG688" s="66"/>
      <c r="AH688" s="66"/>
      <c r="AI688" s="66"/>
      <c r="AJ688" s="66"/>
      <c r="AK688" s="66"/>
      <c r="AL688" s="66"/>
      <c r="AM688" s="66"/>
      <c r="AN688" s="66"/>
      <c r="AO688" s="66"/>
      <c r="AP688" s="66"/>
      <c r="AQ688" s="66"/>
      <c r="AR688" s="66"/>
      <c r="AS688" s="66"/>
      <c r="AT688" s="66"/>
      <c r="AU688" s="66"/>
      <c r="AV688" s="66"/>
      <c r="AW688" s="66"/>
      <c r="AX688" s="66"/>
      <c r="AY688" s="66"/>
      <c r="AZ688" s="66"/>
      <c r="BA688" s="66"/>
      <c r="BB688" s="66"/>
      <c r="BC688" s="66"/>
    </row>
    <row r="689" ht="14.2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  <c r="AE689" s="66"/>
      <c r="AF689" s="66"/>
      <c r="AG689" s="66"/>
      <c r="AH689" s="66"/>
      <c r="AI689" s="66"/>
      <c r="AJ689" s="66"/>
      <c r="AK689" s="66"/>
      <c r="AL689" s="66"/>
      <c r="AM689" s="66"/>
      <c r="AN689" s="66"/>
      <c r="AO689" s="66"/>
      <c r="AP689" s="66"/>
      <c r="AQ689" s="66"/>
      <c r="AR689" s="66"/>
      <c r="AS689" s="66"/>
      <c r="AT689" s="66"/>
      <c r="AU689" s="66"/>
      <c r="AV689" s="66"/>
      <c r="AW689" s="66"/>
      <c r="AX689" s="66"/>
      <c r="AY689" s="66"/>
      <c r="AZ689" s="66"/>
      <c r="BA689" s="66"/>
      <c r="BB689" s="66"/>
      <c r="BC689" s="66"/>
    </row>
    <row r="690" ht="14.2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  <c r="AE690" s="66"/>
      <c r="AF690" s="66"/>
      <c r="AG690" s="66"/>
      <c r="AH690" s="66"/>
      <c r="AI690" s="66"/>
      <c r="AJ690" s="66"/>
      <c r="AK690" s="66"/>
      <c r="AL690" s="66"/>
      <c r="AM690" s="66"/>
      <c r="AN690" s="66"/>
      <c r="AO690" s="66"/>
      <c r="AP690" s="66"/>
      <c r="AQ690" s="66"/>
      <c r="AR690" s="66"/>
      <c r="AS690" s="66"/>
      <c r="AT690" s="66"/>
      <c r="AU690" s="66"/>
      <c r="AV690" s="66"/>
      <c r="AW690" s="66"/>
      <c r="AX690" s="66"/>
      <c r="AY690" s="66"/>
      <c r="AZ690" s="66"/>
      <c r="BA690" s="66"/>
      <c r="BB690" s="66"/>
      <c r="BC690" s="66"/>
    </row>
    <row r="691" ht="14.2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  <c r="AE691" s="66"/>
      <c r="AF691" s="66"/>
      <c r="AG691" s="66"/>
      <c r="AH691" s="66"/>
      <c r="AI691" s="66"/>
      <c r="AJ691" s="66"/>
      <c r="AK691" s="66"/>
      <c r="AL691" s="66"/>
      <c r="AM691" s="66"/>
      <c r="AN691" s="66"/>
      <c r="AO691" s="66"/>
      <c r="AP691" s="66"/>
      <c r="AQ691" s="66"/>
      <c r="AR691" s="66"/>
      <c r="AS691" s="66"/>
      <c r="AT691" s="66"/>
      <c r="AU691" s="66"/>
      <c r="AV691" s="66"/>
      <c r="AW691" s="66"/>
      <c r="AX691" s="66"/>
      <c r="AY691" s="66"/>
      <c r="AZ691" s="66"/>
      <c r="BA691" s="66"/>
      <c r="BB691" s="66"/>
      <c r="BC691" s="66"/>
    </row>
    <row r="692" ht="14.2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  <c r="AE692" s="66"/>
      <c r="AF692" s="66"/>
      <c r="AG692" s="66"/>
      <c r="AH692" s="66"/>
      <c r="AI692" s="66"/>
      <c r="AJ692" s="66"/>
      <c r="AK692" s="66"/>
      <c r="AL692" s="66"/>
      <c r="AM692" s="66"/>
      <c r="AN692" s="66"/>
      <c r="AO692" s="66"/>
      <c r="AP692" s="66"/>
      <c r="AQ692" s="66"/>
      <c r="AR692" s="66"/>
      <c r="AS692" s="66"/>
      <c r="AT692" s="66"/>
      <c r="AU692" s="66"/>
      <c r="AV692" s="66"/>
      <c r="AW692" s="66"/>
      <c r="AX692" s="66"/>
      <c r="AY692" s="66"/>
      <c r="AZ692" s="66"/>
      <c r="BA692" s="66"/>
      <c r="BB692" s="66"/>
      <c r="BC692" s="66"/>
    </row>
    <row r="693" ht="14.2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  <c r="AE693" s="66"/>
      <c r="AF693" s="66"/>
      <c r="AG693" s="66"/>
      <c r="AH693" s="66"/>
      <c r="AI693" s="66"/>
      <c r="AJ693" s="66"/>
      <c r="AK693" s="66"/>
      <c r="AL693" s="66"/>
      <c r="AM693" s="66"/>
      <c r="AN693" s="66"/>
      <c r="AO693" s="66"/>
      <c r="AP693" s="66"/>
      <c r="AQ693" s="66"/>
      <c r="AR693" s="66"/>
      <c r="AS693" s="66"/>
      <c r="AT693" s="66"/>
      <c r="AU693" s="66"/>
      <c r="AV693" s="66"/>
      <c r="AW693" s="66"/>
      <c r="AX693" s="66"/>
      <c r="AY693" s="66"/>
      <c r="AZ693" s="66"/>
      <c r="BA693" s="66"/>
      <c r="BB693" s="66"/>
      <c r="BC693" s="66"/>
    </row>
    <row r="694" ht="14.2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  <c r="AE694" s="66"/>
      <c r="AF694" s="66"/>
      <c r="AG694" s="66"/>
      <c r="AH694" s="66"/>
      <c r="AI694" s="66"/>
      <c r="AJ694" s="66"/>
      <c r="AK694" s="66"/>
      <c r="AL694" s="66"/>
      <c r="AM694" s="66"/>
      <c r="AN694" s="66"/>
      <c r="AO694" s="66"/>
      <c r="AP694" s="66"/>
      <c r="AQ694" s="66"/>
      <c r="AR694" s="66"/>
      <c r="AS694" s="66"/>
      <c r="AT694" s="66"/>
      <c r="AU694" s="66"/>
      <c r="AV694" s="66"/>
      <c r="AW694" s="66"/>
      <c r="AX694" s="66"/>
      <c r="AY694" s="66"/>
      <c r="AZ694" s="66"/>
      <c r="BA694" s="66"/>
      <c r="BB694" s="66"/>
      <c r="BC694" s="66"/>
    </row>
    <row r="695" ht="14.2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  <c r="AE695" s="66"/>
      <c r="AF695" s="66"/>
      <c r="AG695" s="66"/>
      <c r="AH695" s="66"/>
      <c r="AI695" s="66"/>
      <c r="AJ695" s="66"/>
      <c r="AK695" s="66"/>
      <c r="AL695" s="66"/>
      <c r="AM695" s="66"/>
      <c r="AN695" s="66"/>
      <c r="AO695" s="66"/>
      <c r="AP695" s="66"/>
      <c r="AQ695" s="66"/>
      <c r="AR695" s="66"/>
      <c r="AS695" s="66"/>
      <c r="AT695" s="66"/>
      <c r="AU695" s="66"/>
      <c r="AV695" s="66"/>
      <c r="AW695" s="66"/>
      <c r="AX695" s="66"/>
      <c r="AY695" s="66"/>
      <c r="AZ695" s="66"/>
      <c r="BA695" s="66"/>
      <c r="BB695" s="66"/>
      <c r="BC695" s="66"/>
    </row>
    <row r="696" ht="14.2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  <c r="AE696" s="66"/>
      <c r="AF696" s="66"/>
      <c r="AG696" s="66"/>
      <c r="AH696" s="66"/>
      <c r="AI696" s="66"/>
      <c r="AJ696" s="66"/>
      <c r="AK696" s="66"/>
      <c r="AL696" s="66"/>
      <c r="AM696" s="66"/>
      <c r="AN696" s="66"/>
      <c r="AO696" s="66"/>
      <c r="AP696" s="66"/>
      <c r="AQ696" s="66"/>
      <c r="AR696" s="66"/>
      <c r="AS696" s="66"/>
      <c r="AT696" s="66"/>
      <c r="AU696" s="66"/>
      <c r="AV696" s="66"/>
      <c r="AW696" s="66"/>
      <c r="AX696" s="66"/>
      <c r="AY696" s="66"/>
      <c r="AZ696" s="66"/>
      <c r="BA696" s="66"/>
      <c r="BB696" s="66"/>
      <c r="BC696" s="66"/>
    </row>
    <row r="697" ht="14.2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  <c r="AE697" s="66"/>
      <c r="AF697" s="66"/>
      <c r="AG697" s="66"/>
      <c r="AH697" s="66"/>
      <c r="AI697" s="66"/>
      <c r="AJ697" s="66"/>
      <c r="AK697" s="66"/>
      <c r="AL697" s="66"/>
      <c r="AM697" s="66"/>
      <c r="AN697" s="66"/>
      <c r="AO697" s="66"/>
      <c r="AP697" s="66"/>
      <c r="AQ697" s="66"/>
      <c r="AR697" s="66"/>
      <c r="AS697" s="66"/>
      <c r="AT697" s="66"/>
      <c r="AU697" s="66"/>
      <c r="AV697" s="66"/>
      <c r="AW697" s="66"/>
      <c r="AX697" s="66"/>
      <c r="AY697" s="66"/>
      <c r="AZ697" s="66"/>
      <c r="BA697" s="66"/>
      <c r="BB697" s="66"/>
      <c r="BC697" s="66"/>
    </row>
    <row r="698" ht="14.2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  <c r="AE698" s="66"/>
      <c r="AF698" s="66"/>
      <c r="AG698" s="66"/>
      <c r="AH698" s="66"/>
      <c r="AI698" s="66"/>
      <c r="AJ698" s="66"/>
      <c r="AK698" s="66"/>
      <c r="AL698" s="66"/>
      <c r="AM698" s="66"/>
      <c r="AN698" s="66"/>
      <c r="AO698" s="66"/>
      <c r="AP698" s="66"/>
      <c r="AQ698" s="66"/>
      <c r="AR698" s="66"/>
      <c r="AS698" s="66"/>
      <c r="AT698" s="66"/>
      <c r="AU698" s="66"/>
      <c r="AV698" s="66"/>
      <c r="AW698" s="66"/>
      <c r="AX698" s="66"/>
      <c r="AY698" s="66"/>
      <c r="AZ698" s="66"/>
      <c r="BA698" s="66"/>
      <c r="BB698" s="66"/>
      <c r="BC698" s="66"/>
    </row>
    <row r="699" ht="14.2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  <c r="AE699" s="66"/>
      <c r="AF699" s="66"/>
      <c r="AG699" s="66"/>
      <c r="AH699" s="66"/>
      <c r="AI699" s="66"/>
      <c r="AJ699" s="66"/>
      <c r="AK699" s="66"/>
      <c r="AL699" s="66"/>
      <c r="AM699" s="66"/>
      <c r="AN699" s="66"/>
      <c r="AO699" s="66"/>
      <c r="AP699" s="66"/>
      <c r="AQ699" s="66"/>
      <c r="AR699" s="66"/>
      <c r="AS699" s="66"/>
      <c r="AT699" s="66"/>
      <c r="AU699" s="66"/>
      <c r="AV699" s="66"/>
      <c r="AW699" s="66"/>
      <c r="AX699" s="66"/>
      <c r="AY699" s="66"/>
      <c r="AZ699" s="66"/>
      <c r="BA699" s="66"/>
      <c r="BB699" s="66"/>
      <c r="BC699" s="66"/>
    </row>
    <row r="700" ht="14.2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  <c r="AE700" s="66"/>
      <c r="AF700" s="66"/>
      <c r="AG700" s="66"/>
      <c r="AH700" s="66"/>
      <c r="AI700" s="66"/>
      <c r="AJ700" s="66"/>
      <c r="AK700" s="66"/>
      <c r="AL700" s="66"/>
      <c r="AM700" s="66"/>
      <c r="AN700" s="66"/>
      <c r="AO700" s="66"/>
      <c r="AP700" s="66"/>
      <c r="AQ700" s="66"/>
      <c r="AR700" s="66"/>
      <c r="AS700" s="66"/>
      <c r="AT700" s="66"/>
      <c r="AU700" s="66"/>
      <c r="AV700" s="66"/>
      <c r="AW700" s="66"/>
      <c r="AX700" s="66"/>
      <c r="AY700" s="66"/>
      <c r="AZ700" s="66"/>
      <c r="BA700" s="66"/>
      <c r="BB700" s="66"/>
      <c r="BC700" s="66"/>
    </row>
    <row r="701" ht="14.2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  <c r="AE701" s="66"/>
      <c r="AF701" s="66"/>
      <c r="AG701" s="66"/>
      <c r="AH701" s="66"/>
      <c r="AI701" s="66"/>
      <c r="AJ701" s="66"/>
      <c r="AK701" s="66"/>
      <c r="AL701" s="66"/>
      <c r="AM701" s="66"/>
      <c r="AN701" s="66"/>
      <c r="AO701" s="66"/>
      <c r="AP701" s="66"/>
      <c r="AQ701" s="66"/>
      <c r="AR701" s="66"/>
      <c r="AS701" s="66"/>
      <c r="AT701" s="66"/>
      <c r="AU701" s="66"/>
      <c r="AV701" s="66"/>
      <c r="AW701" s="66"/>
      <c r="AX701" s="66"/>
      <c r="AY701" s="66"/>
      <c r="AZ701" s="66"/>
      <c r="BA701" s="66"/>
      <c r="BB701" s="66"/>
      <c r="BC701" s="66"/>
    </row>
    <row r="702" ht="14.2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  <c r="AE702" s="66"/>
      <c r="AF702" s="66"/>
      <c r="AG702" s="66"/>
      <c r="AH702" s="66"/>
      <c r="AI702" s="66"/>
      <c r="AJ702" s="66"/>
      <c r="AK702" s="66"/>
      <c r="AL702" s="66"/>
      <c r="AM702" s="66"/>
      <c r="AN702" s="66"/>
      <c r="AO702" s="66"/>
      <c r="AP702" s="66"/>
      <c r="AQ702" s="66"/>
      <c r="AR702" s="66"/>
      <c r="AS702" s="66"/>
      <c r="AT702" s="66"/>
      <c r="AU702" s="66"/>
      <c r="AV702" s="66"/>
      <c r="AW702" s="66"/>
      <c r="AX702" s="66"/>
      <c r="AY702" s="66"/>
      <c r="AZ702" s="66"/>
      <c r="BA702" s="66"/>
      <c r="BB702" s="66"/>
      <c r="BC702" s="66"/>
    </row>
    <row r="703" ht="14.2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  <c r="AE703" s="66"/>
      <c r="AF703" s="66"/>
      <c r="AG703" s="66"/>
      <c r="AH703" s="66"/>
      <c r="AI703" s="66"/>
      <c r="AJ703" s="66"/>
      <c r="AK703" s="66"/>
      <c r="AL703" s="66"/>
      <c r="AM703" s="66"/>
      <c r="AN703" s="66"/>
      <c r="AO703" s="66"/>
      <c r="AP703" s="66"/>
      <c r="AQ703" s="66"/>
      <c r="AR703" s="66"/>
      <c r="AS703" s="66"/>
      <c r="AT703" s="66"/>
      <c r="AU703" s="66"/>
      <c r="AV703" s="66"/>
      <c r="AW703" s="66"/>
      <c r="AX703" s="66"/>
      <c r="AY703" s="66"/>
      <c r="AZ703" s="66"/>
      <c r="BA703" s="66"/>
      <c r="BB703" s="66"/>
      <c r="BC703" s="66"/>
    </row>
    <row r="704" ht="14.2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  <c r="AE704" s="66"/>
      <c r="AF704" s="66"/>
      <c r="AG704" s="66"/>
      <c r="AH704" s="66"/>
      <c r="AI704" s="66"/>
      <c r="AJ704" s="66"/>
      <c r="AK704" s="66"/>
      <c r="AL704" s="66"/>
      <c r="AM704" s="66"/>
      <c r="AN704" s="66"/>
      <c r="AO704" s="66"/>
      <c r="AP704" s="66"/>
      <c r="AQ704" s="66"/>
      <c r="AR704" s="66"/>
      <c r="AS704" s="66"/>
      <c r="AT704" s="66"/>
      <c r="AU704" s="66"/>
      <c r="AV704" s="66"/>
      <c r="AW704" s="66"/>
      <c r="AX704" s="66"/>
      <c r="AY704" s="66"/>
      <c r="AZ704" s="66"/>
      <c r="BA704" s="66"/>
      <c r="BB704" s="66"/>
      <c r="BC704" s="66"/>
    </row>
    <row r="705" ht="14.2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  <c r="AE705" s="66"/>
      <c r="AF705" s="66"/>
      <c r="AG705" s="66"/>
      <c r="AH705" s="66"/>
      <c r="AI705" s="66"/>
      <c r="AJ705" s="66"/>
      <c r="AK705" s="66"/>
      <c r="AL705" s="66"/>
      <c r="AM705" s="66"/>
      <c r="AN705" s="66"/>
      <c r="AO705" s="66"/>
      <c r="AP705" s="66"/>
      <c r="AQ705" s="66"/>
      <c r="AR705" s="66"/>
      <c r="AS705" s="66"/>
      <c r="AT705" s="66"/>
      <c r="AU705" s="66"/>
      <c r="AV705" s="66"/>
      <c r="AW705" s="66"/>
      <c r="AX705" s="66"/>
      <c r="AY705" s="66"/>
      <c r="AZ705" s="66"/>
      <c r="BA705" s="66"/>
      <c r="BB705" s="66"/>
      <c r="BC705" s="66"/>
    </row>
    <row r="706" ht="14.2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  <c r="AE706" s="66"/>
      <c r="AF706" s="66"/>
      <c r="AG706" s="66"/>
      <c r="AH706" s="66"/>
      <c r="AI706" s="66"/>
      <c r="AJ706" s="66"/>
      <c r="AK706" s="66"/>
      <c r="AL706" s="66"/>
      <c r="AM706" s="66"/>
      <c r="AN706" s="66"/>
      <c r="AO706" s="66"/>
      <c r="AP706" s="66"/>
      <c r="AQ706" s="66"/>
      <c r="AR706" s="66"/>
      <c r="AS706" s="66"/>
      <c r="AT706" s="66"/>
      <c r="AU706" s="66"/>
      <c r="AV706" s="66"/>
      <c r="AW706" s="66"/>
      <c r="AX706" s="66"/>
      <c r="AY706" s="66"/>
      <c r="AZ706" s="66"/>
      <c r="BA706" s="66"/>
      <c r="BB706" s="66"/>
      <c r="BC706" s="66"/>
    </row>
    <row r="707" ht="14.2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  <c r="AE707" s="66"/>
      <c r="AF707" s="66"/>
      <c r="AG707" s="66"/>
      <c r="AH707" s="66"/>
      <c r="AI707" s="66"/>
      <c r="AJ707" s="66"/>
      <c r="AK707" s="66"/>
      <c r="AL707" s="66"/>
      <c r="AM707" s="66"/>
      <c r="AN707" s="66"/>
      <c r="AO707" s="66"/>
      <c r="AP707" s="66"/>
      <c r="AQ707" s="66"/>
      <c r="AR707" s="66"/>
      <c r="AS707" s="66"/>
      <c r="AT707" s="66"/>
      <c r="AU707" s="66"/>
      <c r="AV707" s="66"/>
      <c r="AW707" s="66"/>
      <c r="AX707" s="66"/>
      <c r="AY707" s="66"/>
      <c r="AZ707" s="66"/>
      <c r="BA707" s="66"/>
      <c r="BB707" s="66"/>
      <c r="BC707" s="66"/>
    </row>
    <row r="708" ht="14.2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  <c r="AE708" s="66"/>
      <c r="AF708" s="66"/>
      <c r="AG708" s="66"/>
      <c r="AH708" s="66"/>
      <c r="AI708" s="66"/>
      <c r="AJ708" s="66"/>
      <c r="AK708" s="66"/>
      <c r="AL708" s="66"/>
      <c r="AM708" s="66"/>
      <c r="AN708" s="66"/>
      <c r="AO708" s="66"/>
      <c r="AP708" s="66"/>
      <c r="AQ708" s="66"/>
      <c r="AR708" s="66"/>
      <c r="AS708" s="66"/>
      <c r="AT708" s="66"/>
      <c r="AU708" s="66"/>
      <c r="AV708" s="66"/>
      <c r="AW708" s="66"/>
      <c r="AX708" s="66"/>
      <c r="AY708" s="66"/>
      <c r="AZ708" s="66"/>
      <c r="BA708" s="66"/>
      <c r="BB708" s="66"/>
      <c r="BC708" s="66"/>
    </row>
    <row r="709" ht="14.2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  <c r="AE709" s="66"/>
      <c r="AF709" s="66"/>
      <c r="AG709" s="66"/>
      <c r="AH709" s="66"/>
      <c r="AI709" s="66"/>
      <c r="AJ709" s="66"/>
      <c r="AK709" s="66"/>
      <c r="AL709" s="66"/>
      <c r="AM709" s="66"/>
      <c r="AN709" s="66"/>
      <c r="AO709" s="66"/>
      <c r="AP709" s="66"/>
      <c r="AQ709" s="66"/>
      <c r="AR709" s="66"/>
      <c r="AS709" s="66"/>
      <c r="AT709" s="66"/>
      <c r="AU709" s="66"/>
      <c r="AV709" s="66"/>
      <c r="AW709" s="66"/>
      <c r="AX709" s="66"/>
      <c r="AY709" s="66"/>
      <c r="AZ709" s="66"/>
      <c r="BA709" s="66"/>
      <c r="BB709" s="66"/>
      <c r="BC709" s="66"/>
    </row>
    <row r="710" ht="14.2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  <c r="AE710" s="66"/>
      <c r="AF710" s="66"/>
      <c r="AG710" s="66"/>
      <c r="AH710" s="66"/>
      <c r="AI710" s="66"/>
      <c r="AJ710" s="66"/>
      <c r="AK710" s="66"/>
      <c r="AL710" s="66"/>
      <c r="AM710" s="66"/>
      <c r="AN710" s="66"/>
      <c r="AO710" s="66"/>
      <c r="AP710" s="66"/>
      <c r="AQ710" s="66"/>
      <c r="AR710" s="66"/>
      <c r="AS710" s="66"/>
      <c r="AT710" s="66"/>
      <c r="AU710" s="66"/>
      <c r="AV710" s="66"/>
      <c r="AW710" s="66"/>
      <c r="AX710" s="66"/>
      <c r="AY710" s="66"/>
      <c r="AZ710" s="66"/>
      <c r="BA710" s="66"/>
      <c r="BB710" s="66"/>
      <c r="BC710" s="66"/>
    </row>
    <row r="711" ht="14.2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  <c r="AE711" s="66"/>
      <c r="AF711" s="66"/>
      <c r="AG711" s="66"/>
      <c r="AH711" s="66"/>
      <c r="AI711" s="66"/>
      <c r="AJ711" s="66"/>
      <c r="AK711" s="66"/>
      <c r="AL711" s="66"/>
      <c r="AM711" s="66"/>
      <c r="AN711" s="66"/>
      <c r="AO711" s="66"/>
      <c r="AP711" s="66"/>
      <c r="AQ711" s="66"/>
      <c r="AR711" s="66"/>
      <c r="AS711" s="66"/>
      <c r="AT711" s="66"/>
      <c r="AU711" s="66"/>
      <c r="AV711" s="66"/>
      <c r="AW711" s="66"/>
      <c r="AX711" s="66"/>
      <c r="AY711" s="66"/>
      <c r="AZ711" s="66"/>
      <c r="BA711" s="66"/>
      <c r="BB711" s="66"/>
      <c r="BC711" s="66"/>
    </row>
    <row r="712" ht="14.2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  <c r="AE712" s="66"/>
      <c r="AF712" s="66"/>
      <c r="AG712" s="66"/>
      <c r="AH712" s="66"/>
      <c r="AI712" s="66"/>
      <c r="AJ712" s="66"/>
      <c r="AK712" s="66"/>
      <c r="AL712" s="66"/>
      <c r="AM712" s="66"/>
      <c r="AN712" s="66"/>
      <c r="AO712" s="66"/>
      <c r="AP712" s="66"/>
      <c r="AQ712" s="66"/>
      <c r="AR712" s="66"/>
      <c r="AS712" s="66"/>
      <c r="AT712" s="66"/>
      <c r="AU712" s="66"/>
      <c r="AV712" s="66"/>
      <c r="AW712" s="66"/>
      <c r="AX712" s="66"/>
      <c r="AY712" s="66"/>
      <c r="AZ712" s="66"/>
      <c r="BA712" s="66"/>
      <c r="BB712" s="66"/>
      <c r="BC712" s="66"/>
    </row>
    <row r="713" ht="14.2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  <c r="AE713" s="66"/>
      <c r="AF713" s="66"/>
      <c r="AG713" s="66"/>
      <c r="AH713" s="66"/>
      <c r="AI713" s="66"/>
      <c r="AJ713" s="66"/>
      <c r="AK713" s="66"/>
      <c r="AL713" s="66"/>
      <c r="AM713" s="66"/>
      <c r="AN713" s="66"/>
      <c r="AO713" s="66"/>
      <c r="AP713" s="66"/>
      <c r="AQ713" s="66"/>
      <c r="AR713" s="66"/>
      <c r="AS713" s="66"/>
      <c r="AT713" s="66"/>
      <c r="AU713" s="66"/>
      <c r="AV713" s="66"/>
      <c r="AW713" s="66"/>
      <c r="AX713" s="66"/>
      <c r="AY713" s="66"/>
      <c r="AZ713" s="66"/>
      <c r="BA713" s="66"/>
      <c r="BB713" s="66"/>
      <c r="BC713" s="66"/>
    </row>
    <row r="714" ht="14.2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  <c r="AE714" s="66"/>
      <c r="AF714" s="66"/>
      <c r="AG714" s="66"/>
      <c r="AH714" s="66"/>
      <c r="AI714" s="66"/>
      <c r="AJ714" s="66"/>
      <c r="AK714" s="66"/>
      <c r="AL714" s="66"/>
      <c r="AM714" s="66"/>
      <c r="AN714" s="66"/>
      <c r="AO714" s="66"/>
      <c r="AP714" s="66"/>
      <c r="AQ714" s="66"/>
      <c r="AR714" s="66"/>
      <c r="AS714" s="66"/>
      <c r="AT714" s="66"/>
      <c r="AU714" s="66"/>
      <c r="AV714" s="66"/>
      <c r="AW714" s="66"/>
      <c r="AX714" s="66"/>
      <c r="AY714" s="66"/>
      <c r="AZ714" s="66"/>
      <c r="BA714" s="66"/>
      <c r="BB714" s="66"/>
      <c r="BC714" s="66"/>
    </row>
    <row r="715" ht="14.2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  <c r="AE715" s="66"/>
      <c r="AF715" s="66"/>
      <c r="AG715" s="66"/>
      <c r="AH715" s="66"/>
      <c r="AI715" s="66"/>
      <c r="AJ715" s="66"/>
      <c r="AK715" s="66"/>
      <c r="AL715" s="66"/>
      <c r="AM715" s="66"/>
      <c r="AN715" s="66"/>
      <c r="AO715" s="66"/>
      <c r="AP715" s="66"/>
      <c r="AQ715" s="66"/>
      <c r="AR715" s="66"/>
      <c r="AS715" s="66"/>
      <c r="AT715" s="66"/>
      <c r="AU715" s="66"/>
      <c r="AV715" s="66"/>
      <c r="AW715" s="66"/>
      <c r="AX715" s="66"/>
      <c r="AY715" s="66"/>
      <c r="AZ715" s="66"/>
      <c r="BA715" s="66"/>
      <c r="BB715" s="66"/>
      <c r="BC715" s="66"/>
    </row>
    <row r="716" ht="14.2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  <c r="AE716" s="66"/>
      <c r="AF716" s="66"/>
      <c r="AG716" s="66"/>
      <c r="AH716" s="66"/>
      <c r="AI716" s="66"/>
      <c r="AJ716" s="66"/>
      <c r="AK716" s="66"/>
      <c r="AL716" s="66"/>
      <c r="AM716" s="66"/>
      <c r="AN716" s="66"/>
      <c r="AO716" s="66"/>
      <c r="AP716" s="66"/>
      <c r="AQ716" s="66"/>
      <c r="AR716" s="66"/>
      <c r="AS716" s="66"/>
      <c r="AT716" s="66"/>
      <c r="AU716" s="66"/>
      <c r="AV716" s="66"/>
      <c r="AW716" s="66"/>
      <c r="AX716" s="66"/>
      <c r="AY716" s="66"/>
      <c r="AZ716" s="66"/>
      <c r="BA716" s="66"/>
      <c r="BB716" s="66"/>
      <c r="BC716" s="66"/>
    </row>
    <row r="717" ht="14.2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  <c r="AE717" s="66"/>
      <c r="AF717" s="66"/>
      <c r="AG717" s="66"/>
      <c r="AH717" s="66"/>
      <c r="AI717" s="66"/>
      <c r="AJ717" s="66"/>
      <c r="AK717" s="66"/>
      <c r="AL717" s="66"/>
      <c r="AM717" s="66"/>
      <c r="AN717" s="66"/>
      <c r="AO717" s="66"/>
      <c r="AP717" s="66"/>
      <c r="AQ717" s="66"/>
      <c r="AR717" s="66"/>
      <c r="AS717" s="66"/>
      <c r="AT717" s="66"/>
      <c r="AU717" s="66"/>
      <c r="AV717" s="66"/>
      <c r="AW717" s="66"/>
      <c r="AX717" s="66"/>
      <c r="AY717" s="66"/>
      <c r="AZ717" s="66"/>
      <c r="BA717" s="66"/>
      <c r="BB717" s="66"/>
      <c r="BC717" s="66"/>
    </row>
    <row r="718" ht="14.2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  <c r="AE718" s="66"/>
      <c r="AF718" s="66"/>
      <c r="AG718" s="66"/>
      <c r="AH718" s="66"/>
      <c r="AI718" s="66"/>
      <c r="AJ718" s="66"/>
      <c r="AK718" s="66"/>
      <c r="AL718" s="66"/>
      <c r="AM718" s="66"/>
      <c r="AN718" s="66"/>
      <c r="AO718" s="66"/>
      <c r="AP718" s="66"/>
      <c r="AQ718" s="66"/>
      <c r="AR718" s="66"/>
      <c r="AS718" s="66"/>
      <c r="AT718" s="66"/>
      <c r="AU718" s="66"/>
      <c r="AV718" s="66"/>
      <c r="AW718" s="66"/>
      <c r="AX718" s="66"/>
      <c r="AY718" s="66"/>
      <c r="AZ718" s="66"/>
      <c r="BA718" s="66"/>
      <c r="BB718" s="66"/>
      <c r="BC718" s="66"/>
    </row>
    <row r="719" ht="14.2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  <c r="AE719" s="66"/>
      <c r="AF719" s="66"/>
      <c r="AG719" s="66"/>
      <c r="AH719" s="66"/>
      <c r="AI719" s="66"/>
      <c r="AJ719" s="66"/>
      <c r="AK719" s="66"/>
      <c r="AL719" s="66"/>
      <c r="AM719" s="66"/>
      <c r="AN719" s="66"/>
      <c r="AO719" s="66"/>
      <c r="AP719" s="66"/>
      <c r="AQ719" s="66"/>
      <c r="AR719" s="66"/>
      <c r="AS719" s="66"/>
      <c r="AT719" s="66"/>
      <c r="AU719" s="66"/>
      <c r="AV719" s="66"/>
      <c r="AW719" s="66"/>
      <c r="AX719" s="66"/>
      <c r="AY719" s="66"/>
      <c r="AZ719" s="66"/>
      <c r="BA719" s="66"/>
      <c r="BB719" s="66"/>
      <c r="BC719" s="66"/>
    </row>
    <row r="720" ht="14.2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  <c r="AE720" s="66"/>
      <c r="AF720" s="66"/>
      <c r="AG720" s="66"/>
      <c r="AH720" s="66"/>
      <c r="AI720" s="66"/>
      <c r="AJ720" s="66"/>
      <c r="AK720" s="66"/>
      <c r="AL720" s="66"/>
      <c r="AM720" s="66"/>
      <c r="AN720" s="66"/>
      <c r="AO720" s="66"/>
      <c r="AP720" s="66"/>
      <c r="AQ720" s="66"/>
      <c r="AR720" s="66"/>
      <c r="AS720" s="66"/>
      <c r="AT720" s="66"/>
      <c r="AU720" s="66"/>
      <c r="AV720" s="66"/>
      <c r="AW720" s="66"/>
      <c r="AX720" s="66"/>
      <c r="AY720" s="66"/>
      <c r="AZ720" s="66"/>
      <c r="BA720" s="66"/>
      <c r="BB720" s="66"/>
      <c r="BC720" s="66"/>
    </row>
    <row r="721" ht="14.2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  <c r="AE721" s="66"/>
      <c r="AF721" s="66"/>
      <c r="AG721" s="66"/>
      <c r="AH721" s="66"/>
      <c r="AI721" s="66"/>
      <c r="AJ721" s="66"/>
      <c r="AK721" s="66"/>
      <c r="AL721" s="66"/>
      <c r="AM721" s="66"/>
      <c r="AN721" s="66"/>
      <c r="AO721" s="66"/>
      <c r="AP721" s="66"/>
      <c r="AQ721" s="66"/>
      <c r="AR721" s="66"/>
      <c r="AS721" s="66"/>
      <c r="AT721" s="66"/>
      <c r="AU721" s="66"/>
      <c r="AV721" s="66"/>
      <c r="AW721" s="66"/>
      <c r="AX721" s="66"/>
      <c r="AY721" s="66"/>
      <c r="AZ721" s="66"/>
      <c r="BA721" s="66"/>
      <c r="BB721" s="66"/>
      <c r="BC721" s="66"/>
    </row>
    <row r="722" ht="14.2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  <c r="AE722" s="66"/>
      <c r="AF722" s="66"/>
      <c r="AG722" s="66"/>
      <c r="AH722" s="66"/>
      <c r="AI722" s="66"/>
      <c r="AJ722" s="66"/>
      <c r="AK722" s="66"/>
      <c r="AL722" s="66"/>
      <c r="AM722" s="66"/>
      <c r="AN722" s="66"/>
      <c r="AO722" s="66"/>
      <c r="AP722" s="66"/>
      <c r="AQ722" s="66"/>
      <c r="AR722" s="66"/>
      <c r="AS722" s="66"/>
      <c r="AT722" s="66"/>
      <c r="AU722" s="66"/>
      <c r="AV722" s="66"/>
      <c r="AW722" s="66"/>
      <c r="AX722" s="66"/>
      <c r="AY722" s="66"/>
      <c r="AZ722" s="66"/>
      <c r="BA722" s="66"/>
      <c r="BB722" s="66"/>
      <c r="BC722" s="66"/>
    </row>
    <row r="723" ht="14.2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  <c r="AE723" s="66"/>
      <c r="AF723" s="66"/>
      <c r="AG723" s="66"/>
      <c r="AH723" s="66"/>
      <c r="AI723" s="66"/>
      <c r="AJ723" s="66"/>
      <c r="AK723" s="66"/>
      <c r="AL723" s="66"/>
      <c r="AM723" s="66"/>
      <c r="AN723" s="66"/>
      <c r="AO723" s="66"/>
      <c r="AP723" s="66"/>
      <c r="AQ723" s="66"/>
      <c r="AR723" s="66"/>
      <c r="AS723" s="66"/>
      <c r="AT723" s="66"/>
      <c r="AU723" s="66"/>
      <c r="AV723" s="66"/>
      <c r="AW723" s="66"/>
      <c r="AX723" s="66"/>
      <c r="AY723" s="66"/>
      <c r="AZ723" s="66"/>
      <c r="BA723" s="66"/>
      <c r="BB723" s="66"/>
      <c r="BC723" s="66"/>
    </row>
    <row r="724" ht="14.2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  <c r="AE724" s="66"/>
      <c r="AF724" s="66"/>
      <c r="AG724" s="66"/>
      <c r="AH724" s="66"/>
      <c r="AI724" s="66"/>
      <c r="AJ724" s="66"/>
      <c r="AK724" s="66"/>
      <c r="AL724" s="66"/>
      <c r="AM724" s="66"/>
      <c r="AN724" s="66"/>
      <c r="AO724" s="66"/>
      <c r="AP724" s="66"/>
      <c r="AQ724" s="66"/>
      <c r="AR724" s="66"/>
      <c r="AS724" s="66"/>
      <c r="AT724" s="66"/>
      <c r="AU724" s="66"/>
      <c r="AV724" s="66"/>
      <c r="AW724" s="66"/>
      <c r="AX724" s="66"/>
      <c r="AY724" s="66"/>
      <c r="AZ724" s="66"/>
      <c r="BA724" s="66"/>
      <c r="BB724" s="66"/>
      <c r="BC724" s="66"/>
    </row>
    <row r="725" ht="14.2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  <c r="AE725" s="66"/>
      <c r="AF725" s="66"/>
      <c r="AG725" s="66"/>
      <c r="AH725" s="66"/>
      <c r="AI725" s="66"/>
      <c r="AJ725" s="66"/>
      <c r="AK725" s="66"/>
      <c r="AL725" s="66"/>
      <c r="AM725" s="66"/>
      <c r="AN725" s="66"/>
      <c r="AO725" s="66"/>
      <c r="AP725" s="66"/>
      <c r="AQ725" s="66"/>
      <c r="AR725" s="66"/>
      <c r="AS725" s="66"/>
      <c r="AT725" s="66"/>
      <c r="AU725" s="66"/>
      <c r="AV725" s="66"/>
      <c r="AW725" s="66"/>
      <c r="AX725" s="66"/>
      <c r="AY725" s="66"/>
      <c r="AZ725" s="66"/>
      <c r="BA725" s="66"/>
      <c r="BB725" s="66"/>
      <c r="BC725" s="66"/>
    </row>
    <row r="726" ht="14.2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  <c r="AE726" s="66"/>
      <c r="AF726" s="66"/>
      <c r="AG726" s="66"/>
      <c r="AH726" s="66"/>
      <c r="AI726" s="66"/>
      <c r="AJ726" s="66"/>
      <c r="AK726" s="66"/>
      <c r="AL726" s="66"/>
      <c r="AM726" s="66"/>
      <c r="AN726" s="66"/>
      <c r="AO726" s="66"/>
      <c r="AP726" s="66"/>
      <c r="AQ726" s="66"/>
      <c r="AR726" s="66"/>
      <c r="AS726" s="66"/>
      <c r="AT726" s="66"/>
      <c r="AU726" s="66"/>
      <c r="AV726" s="66"/>
      <c r="AW726" s="66"/>
      <c r="AX726" s="66"/>
      <c r="AY726" s="66"/>
      <c r="AZ726" s="66"/>
      <c r="BA726" s="66"/>
      <c r="BB726" s="66"/>
      <c r="BC726" s="66"/>
    </row>
    <row r="727" ht="14.2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  <c r="AE727" s="66"/>
      <c r="AF727" s="66"/>
      <c r="AG727" s="66"/>
      <c r="AH727" s="66"/>
      <c r="AI727" s="66"/>
      <c r="AJ727" s="66"/>
      <c r="AK727" s="66"/>
      <c r="AL727" s="66"/>
      <c r="AM727" s="66"/>
      <c r="AN727" s="66"/>
      <c r="AO727" s="66"/>
      <c r="AP727" s="66"/>
      <c r="AQ727" s="66"/>
      <c r="AR727" s="66"/>
      <c r="AS727" s="66"/>
      <c r="AT727" s="66"/>
      <c r="AU727" s="66"/>
      <c r="AV727" s="66"/>
      <c r="AW727" s="66"/>
      <c r="AX727" s="66"/>
      <c r="AY727" s="66"/>
      <c r="AZ727" s="66"/>
      <c r="BA727" s="66"/>
      <c r="BB727" s="66"/>
      <c r="BC727" s="66"/>
    </row>
    <row r="728" ht="14.2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  <c r="AE728" s="66"/>
      <c r="AF728" s="66"/>
      <c r="AG728" s="66"/>
      <c r="AH728" s="66"/>
      <c r="AI728" s="66"/>
      <c r="AJ728" s="66"/>
      <c r="AK728" s="66"/>
      <c r="AL728" s="66"/>
      <c r="AM728" s="66"/>
      <c r="AN728" s="66"/>
      <c r="AO728" s="66"/>
      <c r="AP728" s="66"/>
      <c r="AQ728" s="66"/>
      <c r="AR728" s="66"/>
      <c r="AS728" s="66"/>
      <c r="AT728" s="66"/>
      <c r="AU728" s="66"/>
      <c r="AV728" s="66"/>
      <c r="AW728" s="66"/>
      <c r="AX728" s="66"/>
      <c r="AY728" s="66"/>
      <c r="AZ728" s="66"/>
      <c r="BA728" s="66"/>
      <c r="BB728" s="66"/>
      <c r="BC728" s="66"/>
    </row>
    <row r="729" ht="14.2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  <c r="AE729" s="66"/>
      <c r="AF729" s="66"/>
      <c r="AG729" s="66"/>
      <c r="AH729" s="66"/>
      <c r="AI729" s="66"/>
      <c r="AJ729" s="66"/>
      <c r="AK729" s="66"/>
      <c r="AL729" s="66"/>
      <c r="AM729" s="66"/>
      <c r="AN729" s="66"/>
      <c r="AO729" s="66"/>
      <c r="AP729" s="66"/>
      <c r="AQ729" s="66"/>
      <c r="AR729" s="66"/>
      <c r="AS729" s="66"/>
      <c r="AT729" s="66"/>
      <c r="AU729" s="66"/>
      <c r="AV729" s="66"/>
      <c r="AW729" s="66"/>
      <c r="AX729" s="66"/>
      <c r="AY729" s="66"/>
      <c r="AZ729" s="66"/>
      <c r="BA729" s="66"/>
      <c r="BB729" s="66"/>
      <c r="BC729" s="66"/>
    </row>
    <row r="730" ht="14.2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  <c r="AE730" s="66"/>
      <c r="AF730" s="66"/>
      <c r="AG730" s="66"/>
      <c r="AH730" s="66"/>
      <c r="AI730" s="66"/>
      <c r="AJ730" s="66"/>
      <c r="AK730" s="66"/>
      <c r="AL730" s="66"/>
      <c r="AM730" s="66"/>
      <c r="AN730" s="66"/>
      <c r="AO730" s="66"/>
      <c r="AP730" s="66"/>
      <c r="AQ730" s="66"/>
      <c r="AR730" s="66"/>
      <c r="AS730" s="66"/>
      <c r="AT730" s="66"/>
      <c r="AU730" s="66"/>
      <c r="AV730" s="66"/>
      <c r="AW730" s="66"/>
      <c r="AX730" s="66"/>
      <c r="AY730" s="66"/>
      <c r="AZ730" s="66"/>
      <c r="BA730" s="66"/>
      <c r="BB730" s="66"/>
      <c r="BC730" s="66"/>
    </row>
    <row r="731" ht="14.2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  <c r="AE731" s="66"/>
      <c r="AF731" s="66"/>
      <c r="AG731" s="66"/>
      <c r="AH731" s="66"/>
      <c r="AI731" s="66"/>
      <c r="AJ731" s="66"/>
      <c r="AK731" s="66"/>
      <c r="AL731" s="66"/>
      <c r="AM731" s="66"/>
      <c r="AN731" s="66"/>
      <c r="AO731" s="66"/>
      <c r="AP731" s="66"/>
      <c r="AQ731" s="66"/>
      <c r="AR731" s="66"/>
      <c r="AS731" s="66"/>
      <c r="AT731" s="66"/>
      <c r="AU731" s="66"/>
      <c r="AV731" s="66"/>
      <c r="AW731" s="66"/>
      <c r="AX731" s="66"/>
      <c r="AY731" s="66"/>
      <c r="AZ731" s="66"/>
      <c r="BA731" s="66"/>
      <c r="BB731" s="66"/>
      <c r="BC731" s="66"/>
    </row>
    <row r="732" ht="14.2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  <c r="AE732" s="66"/>
      <c r="AF732" s="66"/>
      <c r="AG732" s="66"/>
      <c r="AH732" s="66"/>
      <c r="AI732" s="66"/>
      <c r="AJ732" s="66"/>
      <c r="AK732" s="66"/>
      <c r="AL732" s="66"/>
      <c r="AM732" s="66"/>
      <c r="AN732" s="66"/>
      <c r="AO732" s="66"/>
      <c r="AP732" s="66"/>
      <c r="AQ732" s="66"/>
      <c r="AR732" s="66"/>
      <c r="AS732" s="66"/>
      <c r="AT732" s="66"/>
      <c r="AU732" s="66"/>
      <c r="AV732" s="66"/>
      <c r="AW732" s="66"/>
      <c r="AX732" s="66"/>
      <c r="AY732" s="66"/>
      <c r="AZ732" s="66"/>
      <c r="BA732" s="66"/>
      <c r="BB732" s="66"/>
      <c r="BC732" s="66"/>
    </row>
    <row r="733" ht="14.2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  <c r="AF733" s="66"/>
      <c r="AG733" s="66"/>
      <c r="AH733" s="66"/>
      <c r="AI733" s="66"/>
      <c r="AJ733" s="66"/>
      <c r="AK733" s="66"/>
      <c r="AL733" s="66"/>
      <c r="AM733" s="66"/>
      <c r="AN733" s="66"/>
      <c r="AO733" s="66"/>
      <c r="AP733" s="66"/>
      <c r="AQ733" s="66"/>
      <c r="AR733" s="66"/>
      <c r="AS733" s="66"/>
      <c r="AT733" s="66"/>
      <c r="AU733" s="66"/>
      <c r="AV733" s="66"/>
      <c r="AW733" s="66"/>
      <c r="AX733" s="66"/>
      <c r="AY733" s="66"/>
      <c r="AZ733" s="66"/>
      <c r="BA733" s="66"/>
      <c r="BB733" s="66"/>
      <c r="BC733" s="66"/>
    </row>
    <row r="734" ht="14.2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  <c r="AE734" s="66"/>
      <c r="AF734" s="66"/>
      <c r="AG734" s="66"/>
      <c r="AH734" s="66"/>
      <c r="AI734" s="66"/>
      <c r="AJ734" s="66"/>
      <c r="AK734" s="66"/>
      <c r="AL734" s="66"/>
      <c r="AM734" s="66"/>
      <c r="AN734" s="66"/>
      <c r="AO734" s="66"/>
      <c r="AP734" s="66"/>
      <c r="AQ734" s="66"/>
      <c r="AR734" s="66"/>
      <c r="AS734" s="66"/>
      <c r="AT734" s="66"/>
      <c r="AU734" s="66"/>
      <c r="AV734" s="66"/>
      <c r="AW734" s="66"/>
      <c r="AX734" s="66"/>
      <c r="AY734" s="66"/>
      <c r="AZ734" s="66"/>
      <c r="BA734" s="66"/>
      <c r="BB734" s="66"/>
      <c r="BC734" s="66"/>
    </row>
    <row r="735" ht="14.2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  <c r="AE735" s="66"/>
      <c r="AF735" s="66"/>
      <c r="AG735" s="66"/>
      <c r="AH735" s="66"/>
      <c r="AI735" s="66"/>
      <c r="AJ735" s="66"/>
      <c r="AK735" s="66"/>
      <c r="AL735" s="66"/>
      <c r="AM735" s="66"/>
      <c r="AN735" s="66"/>
      <c r="AO735" s="66"/>
      <c r="AP735" s="66"/>
      <c r="AQ735" s="66"/>
      <c r="AR735" s="66"/>
      <c r="AS735" s="66"/>
      <c r="AT735" s="66"/>
      <c r="AU735" s="66"/>
      <c r="AV735" s="66"/>
      <c r="AW735" s="66"/>
      <c r="AX735" s="66"/>
      <c r="AY735" s="66"/>
      <c r="AZ735" s="66"/>
      <c r="BA735" s="66"/>
      <c r="BB735" s="66"/>
      <c r="BC735" s="66"/>
    </row>
    <row r="736" ht="14.2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  <c r="AE736" s="66"/>
      <c r="AF736" s="66"/>
      <c r="AG736" s="66"/>
      <c r="AH736" s="66"/>
      <c r="AI736" s="66"/>
      <c r="AJ736" s="66"/>
      <c r="AK736" s="66"/>
      <c r="AL736" s="66"/>
      <c r="AM736" s="66"/>
      <c r="AN736" s="66"/>
      <c r="AO736" s="66"/>
      <c r="AP736" s="66"/>
      <c r="AQ736" s="66"/>
      <c r="AR736" s="66"/>
      <c r="AS736" s="66"/>
      <c r="AT736" s="66"/>
      <c r="AU736" s="66"/>
      <c r="AV736" s="66"/>
      <c r="AW736" s="66"/>
      <c r="AX736" s="66"/>
      <c r="AY736" s="66"/>
      <c r="AZ736" s="66"/>
      <c r="BA736" s="66"/>
      <c r="BB736" s="66"/>
      <c r="BC736" s="66"/>
    </row>
    <row r="737" ht="14.2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  <c r="AE737" s="66"/>
      <c r="AF737" s="66"/>
      <c r="AG737" s="66"/>
      <c r="AH737" s="66"/>
      <c r="AI737" s="66"/>
      <c r="AJ737" s="66"/>
      <c r="AK737" s="66"/>
      <c r="AL737" s="66"/>
      <c r="AM737" s="66"/>
      <c r="AN737" s="66"/>
      <c r="AO737" s="66"/>
      <c r="AP737" s="66"/>
      <c r="AQ737" s="66"/>
      <c r="AR737" s="66"/>
      <c r="AS737" s="66"/>
      <c r="AT737" s="66"/>
      <c r="AU737" s="66"/>
      <c r="AV737" s="66"/>
      <c r="AW737" s="66"/>
      <c r="AX737" s="66"/>
      <c r="AY737" s="66"/>
      <c r="AZ737" s="66"/>
      <c r="BA737" s="66"/>
      <c r="BB737" s="66"/>
      <c r="BC737" s="66"/>
    </row>
    <row r="738" ht="14.2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  <c r="AE738" s="66"/>
      <c r="AF738" s="66"/>
      <c r="AG738" s="66"/>
      <c r="AH738" s="66"/>
      <c r="AI738" s="66"/>
      <c r="AJ738" s="66"/>
      <c r="AK738" s="66"/>
      <c r="AL738" s="66"/>
      <c r="AM738" s="66"/>
      <c r="AN738" s="66"/>
      <c r="AO738" s="66"/>
      <c r="AP738" s="66"/>
      <c r="AQ738" s="66"/>
      <c r="AR738" s="66"/>
      <c r="AS738" s="66"/>
      <c r="AT738" s="66"/>
      <c r="AU738" s="66"/>
      <c r="AV738" s="66"/>
      <c r="AW738" s="66"/>
      <c r="AX738" s="66"/>
      <c r="AY738" s="66"/>
      <c r="AZ738" s="66"/>
      <c r="BA738" s="66"/>
      <c r="BB738" s="66"/>
      <c r="BC738" s="66"/>
    </row>
    <row r="739" ht="14.2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  <c r="AE739" s="66"/>
      <c r="AF739" s="66"/>
      <c r="AG739" s="66"/>
      <c r="AH739" s="66"/>
      <c r="AI739" s="66"/>
      <c r="AJ739" s="66"/>
      <c r="AK739" s="66"/>
      <c r="AL739" s="66"/>
      <c r="AM739" s="66"/>
      <c r="AN739" s="66"/>
      <c r="AO739" s="66"/>
      <c r="AP739" s="66"/>
      <c r="AQ739" s="66"/>
      <c r="AR739" s="66"/>
      <c r="AS739" s="66"/>
      <c r="AT739" s="66"/>
      <c r="AU739" s="66"/>
      <c r="AV739" s="66"/>
      <c r="AW739" s="66"/>
      <c r="AX739" s="66"/>
      <c r="AY739" s="66"/>
      <c r="AZ739" s="66"/>
      <c r="BA739" s="66"/>
      <c r="BB739" s="66"/>
      <c r="BC739" s="66"/>
    </row>
    <row r="740" ht="14.2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  <c r="AE740" s="66"/>
      <c r="AF740" s="66"/>
      <c r="AG740" s="66"/>
      <c r="AH740" s="66"/>
      <c r="AI740" s="66"/>
      <c r="AJ740" s="66"/>
      <c r="AK740" s="66"/>
      <c r="AL740" s="66"/>
      <c r="AM740" s="66"/>
      <c r="AN740" s="66"/>
      <c r="AO740" s="66"/>
      <c r="AP740" s="66"/>
      <c r="AQ740" s="66"/>
      <c r="AR740" s="66"/>
      <c r="AS740" s="66"/>
      <c r="AT740" s="66"/>
      <c r="AU740" s="66"/>
      <c r="AV740" s="66"/>
      <c r="AW740" s="66"/>
      <c r="AX740" s="66"/>
      <c r="AY740" s="66"/>
      <c r="AZ740" s="66"/>
      <c r="BA740" s="66"/>
      <c r="BB740" s="66"/>
      <c r="BC740" s="66"/>
    </row>
    <row r="741" ht="14.2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  <c r="AE741" s="66"/>
      <c r="AF741" s="66"/>
      <c r="AG741" s="66"/>
      <c r="AH741" s="66"/>
      <c r="AI741" s="66"/>
      <c r="AJ741" s="66"/>
      <c r="AK741" s="66"/>
      <c r="AL741" s="66"/>
      <c r="AM741" s="66"/>
      <c r="AN741" s="66"/>
      <c r="AO741" s="66"/>
      <c r="AP741" s="66"/>
      <c r="AQ741" s="66"/>
      <c r="AR741" s="66"/>
      <c r="AS741" s="66"/>
      <c r="AT741" s="66"/>
      <c r="AU741" s="66"/>
      <c r="AV741" s="66"/>
      <c r="AW741" s="66"/>
      <c r="AX741" s="66"/>
      <c r="AY741" s="66"/>
      <c r="AZ741" s="66"/>
      <c r="BA741" s="66"/>
      <c r="BB741" s="66"/>
      <c r="BC741" s="66"/>
    </row>
    <row r="742" ht="14.2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  <c r="AE742" s="66"/>
      <c r="AF742" s="66"/>
      <c r="AG742" s="66"/>
      <c r="AH742" s="66"/>
      <c r="AI742" s="66"/>
      <c r="AJ742" s="66"/>
      <c r="AK742" s="66"/>
      <c r="AL742" s="66"/>
      <c r="AM742" s="66"/>
      <c r="AN742" s="66"/>
      <c r="AO742" s="66"/>
      <c r="AP742" s="66"/>
      <c r="AQ742" s="66"/>
      <c r="AR742" s="66"/>
      <c r="AS742" s="66"/>
      <c r="AT742" s="66"/>
      <c r="AU742" s="66"/>
      <c r="AV742" s="66"/>
      <c r="AW742" s="66"/>
      <c r="AX742" s="66"/>
      <c r="AY742" s="66"/>
      <c r="AZ742" s="66"/>
      <c r="BA742" s="66"/>
      <c r="BB742" s="66"/>
      <c r="BC742" s="66"/>
    </row>
    <row r="743" ht="14.2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  <c r="AD743" s="66"/>
      <c r="AE743" s="66"/>
      <c r="AF743" s="66"/>
      <c r="AG743" s="66"/>
      <c r="AH743" s="66"/>
      <c r="AI743" s="66"/>
      <c r="AJ743" s="66"/>
      <c r="AK743" s="66"/>
      <c r="AL743" s="66"/>
      <c r="AM743" s="66"/>
      <c r="AN743" s="66"/>
      <c r="AO743" s="66"/>
      <c r="AP743" s="66"/>
      <c r="AQ743" s="66"/>
      <c r="AR743" s="66"/>
      <c r="AS743" s="66"/>
      <c r="AT743" s="66"/>
      <c r="AU743" s="66"/>
      <c r="AV743" s="66"/>
      <c r="AW743" s="66"/>
      <c r="AX743" s="66"/>
      <c r="AY743" s="66"/>
      <c r="AZ743" s="66"/>
      <c r="BA743" s="66"/>
      <c r="BB743" s="66"/>
      <c r="BC743" s="66"/>
    </row>
    <row r="744" ht="14.2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  <c r="AD744" s="66"/>
      <c r="AE744" s="66"/>
      <c r="AF744" s="66"/>
      <c r="AG744" s="66"/>
      <c r="AH744" s="66"/>
      <c r="AI744" s="66"/>
      <c r="AJ744" s="66"/>
      <c r="AK744" s="66"/>
      <c r="AL744" s="66"/>
      <c r="AM744" s="66"/>
      <c r="AN744" s="66"/>
      <c r="AO744" s="66"/>
      <c r="AP744" s="66"/>
      <c r="AQ744" s="66"/>
      <c r="AR744" s="66"/>
      <c r="AS744" s="66"/>
      <c r="AT744" s="66"/>
      <c r="AU744" s="66"/>
      <c r="AV744" s="66"/>
      <c r="AW744" s="66"/>
      <c r="AX744" s="66"/>
      <c r="AY744" s="66"/>
      <c r="AZ744" s="66"/>
      <c r="BA744" s="66"/>
      <c r="BB744" s="66"/>
      <c r="BC744" s="66"/>
    </row>
    <row r="745" ht="14.2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  <c r="AD745" s="66"/>
      <c r="AE745" s="66"/>
      <c r="AF745" s="66"/>
      <c r="AG745" s="66"/>
      <c r="AH745" s="66"/>
      <c r="AI745" s="66"/>
      <c r="AJ745" s="66"/>
      <c r="AK745" s="66"/>
      <c r="AL745" s="66"/>
      <c r="AM745" s="66"/>
      <c r="AN745" s="66"/>
      <c r="AO745" s="66"/>
      <c r="AP745" s="66"/>
      <c r="AQ745" s="66"/>
      <c r="AR745" s="66"/>
      <c r="AS745" s="66"/>
      <c r="AT745" s="66"/>
      <c r="AU745" s="66"/>
      <c r="AV745" s="66"/>
      <c r="AW745" s="66"/>
      <c r="AX745" s="66"/>
      <c r="AY745" s="66"/>
      <c r="AZ745" s="66"/>
      <c r="BA745" s="66"/>
      <c r="BB745" s="66"/>
      <c r="BC745" s="66"/>
    </row>
    <row r="746" ht="14.2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  <c r="AD746" s="66"/>
      <c r="AE746" s="66"/>
      <c r="AF746" s="66"/>
      <c r="AG746" s="66"/>
      <c r="AH746" s="66"/>
      <c r="AI746" s="66"/>
      <c r="AJ746" s="66"/>
      <c r="AK746" s="66"/>
      <c r="AL746" s="66"/>
      <c r="AM746" s="66"/>
      <c r="AN746" s="66"/>
      <c r="AO746" s="66"/>
      <c r="AP746" s="66"/>
      <c r="AQ746" s="66"/>
      <c r="AR746" s="66"/>
      <c r="AS746" s="66"/>
      <c r="AT746" s="66"/>
      <c r="AU746" s="66"/>
      <c r="AV746" s="66"/>
      <c r="AW746" s="66"/>
      <c r="AX746" s="66"/>
      <c r="AY746" s="66"/>
      <c r="AZ746" s="66"/>
      <c r="BA746" s="66"/>
      <c r="BB746" s="66"/>
      <c r="BC746" s="66"/>
    </row>
    <row r="747" ht="14.2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  <c r="AD747" s="66"/>
      <c r="AE747" s="66"/>
      <c r="AF747" s="66"/>
      <c r="AG747" s="66"/>
      <c r="AH747" s="66"/>
      <c r="AI747" s="66"/>
      <c r="AJ747" s="66"/>
      <c r="AK747" s="66"/>
      <c r="AL747" s="66"/>
      <c r="AM747" s="66"/>
      <c r="AN747" s="66"/>
      <c r="AO747" s="66"/>
      <c r="AP747" s="66"/>
      <c r="AQ747" s="66"/>
      <c r="AR747" s="66"/>
      <c r="AS747" s="66"/>
      <c r="AT747" s="66"/>
      <c r="AU747" s="66"/>
      <c r="AV747" s="66"/>
      <c r="AW747" s="66"/>
      <c r="AX747" s="66"/>
      <c r="AY747" s="66"/>
      <c r="AZ747" s="66"/>
      <c r="BA747" s="66"/>
      <c r="BB747" s="66"/>
      <c r="BC747" s="66"/>
    </row>
    <row r="748" ht="14.2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  <c r="AD748" s="66"/>
      <c r="AE748" s="66"/>
      <c r="AF748" s="66"/>
      <c r="AG748" s="66"/>
      <c r="AH748" s="66"/>
      <c r="AI748" s="66"/>
      <c r="AJ748" s="66"/>
      <c r="AK748" s="66"/>
      <c r="AL748" s="66"/>
      <c r="AM748" s="66"/>
      <c r="AN748" s="66"/>
      <c r="AO748" s="66"/>
      <c r="AP748" s="66"/>
      <c r="AQ748" s="66"/>
      <c r="AR748" s="66"/>
      <c r="AS748" s="66"/>
      <c r="AT748" s="66"/>
      <c r="AU748" s="66"/>
      <c r="AV748" s="66"/>
      <c r="AW748" s="66"/>
      <c r="AX748" s="66"/>
      <c r="AY748" s="66"/>
      <c r="AZ748" s="66"/>
      <c r="BA748" s="66"/>
      <c r="BB748" s="66"/>
      <c r="BC748" s="66"/>
    </row>
    <row r="749" ht="14.2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  <c r="AD749" s="66"/>
      <c r="AE749" s="66"/>
      <c r="AF749" s="66"/>
      <c r="AG749" s="66"/>
      <c r="AH749" s="66"/>
      <c r="AI749" s="66"/>
      <c r="AJ749" s="66"/>
      <c r="AK749" s="66"/>
      <c r="AL749" s="66"/>
      <c r="AM749" s="66"/>
      <c r="AN749" s="66"/>
      <c r="AO749" s="66"/>
      <c r="AP749" s="66"/>
      <c r="AQ749" s="66"/>
      <c r="AR749" s="66"/>
      <c r="AS749" s="66"/>
      <c r="AT749" s="66"/>
      <c r="AU749" s="66"/>
      <c r="AV749" s="66"/>
      <c r="AW749" s="66"/>
      <c r="AX749" s="66"/>
      <c r="AY749" s="66"/>
      <c r="AZ749" s="66"/>
      <c r="BA749" s="66"/>
      <c r="BB749" s="66"/>
      <c r="BC749" s="66"/>
    </row>
    <row r="750" ht="14.2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  <c r="AD750" s="66"/>
      <c r="AE750" s="66"/>
      <c r="AF750" s="66"/>
      <c r="AG750" s="66"/>
      <c r="AH750" s="66"/>
      <c r="AI750" s="66"/>
      <c r="AJ750" s="66"/>
      <c r="AK750" s="66"/>
      <c r="AL750" s="66"/>
      <c r="AM750" s="66"/>
      <c r="AN750" s="66"/>
      <c r="AO750" s="66"/>
      <c r="AP750" s="66"/>
      <c r="AQ750" s="66"/>
      <c r="AR750" s="66"/>
      <c r="AS750" s="66"/>
      <c r="AT750" s="66"/>
      <c r="AU750" s="66"/>
      <c r="AV750" s="66"/>
      <c r="AW750" s="66"/>
      <c r="AX750" s="66"/>
      <c r="AY750" s="66"/>
      <c r="AZ750" s="66"/>
      <c r="BA750" s="66"/>
      <c r="BB750" s="66"/>
      <c r="BC750" s="66"/>
    </row>
    <row r="751" ht="14.2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  <c r="AD751" s="66"/>
      <c r="AE751" s="66"/>
      <c r="AF751" s="66"/>
      <c r="AG751" s="66"/>
      <c r="AH751" s="66"/>
      <c r="AI751" s="66"/>
      <c r="AJ751" s="66"/>
      <c r="AK751" s="66"/>
      <c r="AL751" s="66"/>
      <c r="AM751" s="66"/>
      <c r="AN751" s="66"/>
      <c r="AO751" s="66"/>
      <c r="AP751" s="66"/>
      <c r="AQ751" s="66"/>
      <c r="AR751" s="66"/>
      <c r="AS751" s="66"/>
      <c r="AT751" s="66"/>
      <c r="AU751" s="66"/>
      <c r="AV751" s="66"/>
      <c r="AW751" s="66"/>
      <c r="AX751" s="66"/>
      <c r="AY751" s="66"/>
      <c r="AZ751" s="66"/>
      <c r="BA751" s="66"/>
      <c r="BB751" s="66"/>
      <c r="BC751" s="66"/>
    </row>
    <row r="752" ht="14.2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  <c r="AD752" s="66"/>
      <c r="AE752" s="66"/>
      <c r="AF752" s="66"/>
      <c r="AG752" s="66"/>
      <c r="AH752" s="66"/>
      <c r="AI752" s="66"/>
      <c r="AJ752" s="66"/>
      <c r="AK752" s="66"/>
      <c r="AL752" s="66"/>
      <c r="AM752" s="66"/>
      <c r="AN752" s="66"/>
      <c r="AO752" s="66"/>
      <c r="AP752" s="66"/>
      <c r="AQ752" s="66"/>
      <c r="AR752" s="66"/>
      <c r="AS752" s="66"/>
      <c r="AT752" s="66"/>
      <c r="AU752" s="66"/>
      <c r="AV752" s="66"/>
      <c r="AW752" s="66"/>
      <c r="AX752" s="66"/>
      <c r="AY752" s="66"/>
      <c r="AZ752" s="66"/>
      <c r="BA752" s="66"/>
      <c r="BB752" s="66"/>
      <c r="BC752" s="66"/>
    </row>
    <row r="753" ht="14.2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  <c r="AD753" s="66"/>
      <c r="AE753" s="66"/>
      <c r="AF753" s="66"/>
      <c r="AG753" s="66"/>
      <c r="AH753" s="66"/>
      <c r="AI753" s="66"/>
      <c r="AJ753" s="66"/>
      <c r="AK753" s="66"/>
      <c r="AL753" s="66"/>
      <c r="AM753" s="66"/>
      <c r="AN753" s="66"/>
      <c r="AO753" s="66"/>
      <c r="AP753" s="66"/>
      <c r="AQ753" s="66"/>
      <c r="AR753" s="66"/>
      <c r="AS753" s="66"/>
      <c r="AT753" s="66"/>
      <c r="AU753" s="66"/>
      <c r="AV753" s="66"/>
      <c r="AW753" s="66"/>
      <c r="AX753" s="66"/>
      <c r="AY753" s="66"/>
      <c r="AZ753" s="66"/>
      <c r="BA753" s="66"/>
      <c r="BB753" s="66"/>
      <c r="BC753" s="66"/>
    </row>
    <row r="754" ht="14.2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  <c r="AD754" s="66"/>
      <c r="AE754" s="66"/>
      <c r="AF754" s="66"/>
      <c r="AG754" s="66"/>
      <c r="AH754" s="66"/>
      <c r="AI754" s="66"/>
      <c r="AJ754" s="66"/>
      <c r="AK754" s="66"/>
      <c r="AL754" s="66"/>
      <c r="AM754" s="66"/>
      <c r="AN754" s="66"/>
      <c r="AO754" s="66"/>
      <c r="AP754" s="66"/>
      <c r="AQ754" s="66"/>
      <c r="AR754" s="66"/>
      <c r="AS754" s="66"/>
      <c r="AT754" s="66"/>
      <c r="AU754" s="66"/>
      <c r="AV754" s="66"/>
      <c r="AW754" s="66"/>
      <c r="AX754" s="66"/>
      <c r="AY754" s="66"/>
      <c r="AZ754" s="66"/>
      <c r="BA754" s="66"/>
      <c r="BB754" s="66"/>
      <c r="BC754" s="66"/>
    </row>
    <row r="755" ht="14.2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  <c r="AD755" s="66"/>
      <c r="AE755" s="66"/>
      <c r="AF755" s="66"/>
      <c r="AG755" s="66"/>
      <c r="AH755" s="66"/>
      <c r="AI755" s="66"/>
      <c r="AJ755" s="66"/>
      <c r="AK755" s="66"/>
      <c r="AL755" s="66"/>
      <c r="AM755" s="66"/>
      <c r="AN755" s="66"/>
      <c r="AO755" s="66"/>
      <c r="AP755" s="66"/>
      <c r="AQ755" s="66"/>
      <c r="AR755" s="66"/>
      <c r="AS755" s="66"/>
      <c r="AT755" s="66"/>
      <c r="AU755" s="66"/>
      <c r="AV755" s="66"/>
      <c r="AW755" s="66"/>
      <c r="AX755" s="66"/>
      <c r="AY755" s="66"/>
      <c r="AZ755" s="66"/>
      <c r="BA755" s="66"/>
      <c r="BB755" s="66"/>
      <c r="BC755" s="66"/>
    </row>
    <row r="756" ht="14.2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  <c r="AE756" s="66"/>
      <c r="AF756" s="66"/>
      <c r="AG756" s="66"/>
      <c r="AH756" s="66"/>
      <c r="AI756" s="66"/>
      <c r="AJ756" s="66"/>
      <c r="AK756" s="66"/>
      <c r="AL756" s="66"/>
      <c r="AM756" s="66"/>
      <c r="AN756" s="66"/>
      <c r="AO756" s="66"/>
      <c r="AP756" s="66"/>
      <c r="AQ756" s="66"/>
      <c r="AR756" s="66"/>
      <c r="AS756" s="66"/>
      <c r="AT756" s="66"/>
      <c r="AU756" s="66"/>
      <c r="AV756" s="66"/>
      <c r="AW756" s="66"/>
      <c r="AX756" s="66"/>
      <c r="AY756" s="66"/>
      <c r="AZ756" s="66"/>
      <c r="BA756" s="66"/>
      <c r="BB756" s="66"/>
      <c r="BC756" s="66"/>
    </row>
    <row r="757" ht="14.2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  <c r="AD757" s="66"/>
      <c r="AE757" s="66"/>
      <c r="AF757" s="66"/>
      <c r="AG757" s="66"/>
      <c r="AH757" s="66"/>
      <c r="AI757" s="66"/>
      <c r="AJ757" s="66"/>
      <c r="AK757" s="66"/>
      <c r="AL757" s="66"/>
      <c r="AM757" s="66"/>
      <c r="AN757" s="66"/>
      <c r="AO757" s="66"/>
      <c r="AP757" s="66"/>
      <c r="AQ757" s="66"/>
      <c r="AR757" s="66"/>
      <c r="AS757" s="66"/>
      <c r="AT757" s="66"/>
      <c r="AU757" s="66"/>
      <c r="AV757" s="66"/>
      <c r="AW757" s="66"/>
      <c r="AX757" s="66"/>
      <c r="AY757" s="66"/>
      <c r="AZ757" s="66"/>
      <c r="BA757" s="66"/>
      <c r="BB757" s="66"/>
      <c r="BC757" s="66"/>
    </row>
    <row r="758" ht="14.2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  <c r="AD758" s="66"/>
      <c r="AE758" s="66"/>
      <c r="AF758" s="66"/>
      <c r="AG758" s="66"/>
      <c r="AH758" s="66"/>
      <c r="AI758" s="66"/>
      <c r="AJ758" s="66"/>
      <c r="AK758" s="66"/>
      <c r="AL758" s="66"/>
      <c r="AM758" s="66"/>
      <c r="AN758" s="66"/>
      <c r="AO758" s="66"/>
      <c r="AP758" s="66"/>
      <c r="AQ758" s="66"/>
      <c r="AR758" s="66"/>
      <c r="AS758" s="66"/>
      <c r="AT758" s="66"/>
      <c r="AU758" s="66"/>
      <c r="AV758" s="66"/>
      <c r="AW758" s="66"/>
      <c r="AX758" s="66"/>
      <c r="AY758" s="66"/>
      <c r="AZ758" s="66"/>
      <c r="BA758" s="66"/>
      <c r="BB758" s="66"/>
      <c r="BC758" s="66"/>
    </row>
    <row r="759" ht="14.2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  <c r="AD759" s="66"/>
      <c r="AE759" s="66"/>
      <c r="AF759" s="66"/>
      <c r="AG759" s="66"/>
      <c r="AH759" s="66"/>
      <c r="AI759" s="66"/>
      <c r="AJ759" s="66"/>
      <c r="AK759" s="66"/>
      <c r="AL759" s="66"/>
      <c r="AM759" s="66"/>
      <c r="AN759" s="66"/>
      <c r="AO759" s="66"/>
      <c r="AP759" s="66"/>
      <c r="AQ759" s="66"/>
      <c r="AR759" s="66"/>
      <c r="AS759" s="66"/>
      <c r="AT759" s="66"/>
      <c r="AU759" s="66"/>
      <c r="AV759" s="66"/>
      <c r="AW759" s="66"/>
      <c r="AX759" s="66"/>
      <c r="AY759" s="66"/>
      <c r="AZ759" s="66"/>
      <c r="BA759" s="66"/>
      <c r="BB759" s="66"/>
      <c r="BC759" s="66"/>
    </row>
    <row r="760" ht="14.2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  <c r="AD760" s="66"/>
      <c r="AE760" s="66"/>
      <c r="AF760" s="66"/>
      <c r="AG760" s="66"/>
      <c r="AH760" s="66"/>
      <c r="AI760" s="66"/>
      <c r="AJ760" s="66"/>
      <c r="AK760" s="66"/>
      <c r="AL760" s="66"/>
      <c r="AM760" s="66"/>
      <c r="AN760" s="66"/>
      <c r="AO760" s="66"/>
      <c r="AP760" s="66"/>
      <c r="AQ760" s="66"/>
      <c r="AR760" s="66"/>
      <c r="AS760" s="66"/>
      <c r="AT760" s="66"/>
      <c r="AU760" s="66"/>
      <c r="AV760" s="66"/>
      <c r="AW760" s="66"/>
      <c r="AX760" s="66"/>
      <c r="AY760" s="66"/>
      <c r="AZ760" s="66"/>
      <c r="BA760" s="66"/>
      <c r="BB760" s="66"/>
      <c r="BC760" s="66"/>
    </row>
    <row r="761" ht="14.2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  <c r="AD761" s="66"/>
      <c r="AE761" s="66"/>
      <c r="AF761" s="66"/>
      <c r="AG761" s="66"/>
      <c r="AH761" s="66"/>
      <c r="AI761" s="66"/>
      <c r="AJ761" s="66"/>
      <c r="AK761" s="66"/>
      <c r="AL761" s="66"/>
      <c r="AM761" s="66"/>
      <c r="AN761" s="66"/>
      <c r="AO761" s="66"/>
      <c r="AP761" s="66"/>
      <c r="AQ761" s="66"/>
      <c r="AR761" s="66"/>
      <c r="AS761" s="66"/>
      <c r="AT761" s="66"/>
      <c r="AU761" s="66"/>
      <c r="AV761" s="66"/>
      <c r="AW761" s="66"/>
      <c r="AX761" s="66"/>
      <c r="AY761" s="66"/>
      <c r="AZ761" s="66"/>
      <c r="BA761" s="66"/>
      <c r="BB761" s="66"/>
      <c r="BC761" s="66"/>
    </row>
    <row r="762" ht="14.2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  <c r="AD762" s="66"/>
      <c r="AE762" s="66"/>
      <c r="AF762" s="66"/>
      <c r="AG762" s="66"/>
      <c r="AH762" s="66"/>
      <c r="AI762" s="66"/>
      <c r="AJ762" s="66"/>
      <c r="AK762" s="66"/>
      <c r="AL762" s="66"/>
      <c r="AM762" s="66"/>
      <c r="AN762" s="66"/>
      <c r="AO762" s="66"/>
      <c r="AP762" s="66"/>
      <c r="AQ762" s="66"/>
      <c r="AR762" s="66"/>
      <c r="AS762" s="66"/>
      <c r="AT762" s="66"/>
      <c r="AU762" s="66"/>
      <c r="AV762" s="66"/>
      <c r="AW762" s="66"/>
      <c r="AX762" s="66"/>
      <c r="AY762" s="66"/>
      <c r="AZ762" s="66"/>
      <c r="BA762" s="66"/>
      <c r="BB762" s="66"/>
      <c r="BC762" s="66"/>
    </row>
    <row r="763" ht="14.2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  <c r="AD763" s="66"/>
      <c r="AE763" s="66"/>
      <c r="AF763" s="66"/>
      <c r="AG763" s="66"/>
      <c r="AH763" s="66"/>
      <c r="AI763" s="66"/>
      <c r="AJ763" s="66"/>
      <c r="AK763" s="66"/>
      <c r="AL763" s="66"/>
      <c r="AM763" s="66"/>
      <c r="AN763" s="66"/>
      <c r="AO763" s="66"/>
      <c r="AP763" s="66"/>
      <c r="AQ763" s="66"/>
      <c r="AR763" s="66"/>
      <c r="AS763" s="66"/>
      <c r="AT763" s="66"/>
      <c r="AU763" s="66"/>
      <c r="AV763" s="66"/>
      <c r="AW763" s="66"/>
      <c r="AX763" s="66"/>
      <c r="AY763" s="66"/>
      <c r="AZ763" s="66"/>
      <c r="BA763" s="66"/>
      <c r="BB763" s="66"/>
      <c r="BC763" s="66"/>
    </row>
    <row r="764" ht="14.2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  <c r="AE764" s="66"/>
      <c r="AF764" s="66"/>
      <c r="AG764" s="66"/>
      <c r="AH764" s="66"/>
      <c r="AI764" s="66"/>
      <c r="AJ764" s="66"/>
      <c r="AK764" s="66"/>
      <c r="AL764" s="66"/>
      <c r="AM764" s="66"/>
      <c r="AN764" s="66"/>
      <c r="AO764" s="66"/>
      <c r="AP764" s="66"/>
      <c r="AQ764" s="66"/>
      <c r="AR764" s="66"/>
      <c r="AS764" s="66"/>
      <c r="AT764" s="66"/>
      <c r="AU764" s="66"/>
      <c r="AV764" s="66"/>
      <c r="AW764" s="66"/>
      <c r="AX764" s="66"/>
      <c r="AY764" s="66"/>
      <c r="AZ764" s="66"/>
      <c r="BA764" s="66"/>
      <c r="BB764" s="66"/>
      <c r="BC764" s="66"/>
    </row>
    <row r="765" ht="14.2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  <c r="AE765" s="66"/>
      <c r="AF765" s="66"/>
      <c r="AG765" s="66"/>
      <c r="AH765" s="66"/>
      <c r="AI765" s="66"/>
      <c r="AJ765" s="66"/>
      <c r="AK765" s="66"/>
      <c r="AL765" s="66"/>
      <c r="AM765" s="66"/>
      <c r="AN765" s="66"/>
      <c r="AO765" s="66"/>
      <c r="AP765" s="66"/>
      <c r="AQ765" s="66"/>
      <c r="AR765" s="66"/>
      <c r="AS765" s="66"/>
      <c r="AT765" s="66"/>
      <c r="AU765" s="66"/>
      <c r="AV765" s="66"/>
      <c r="AW765" s="66"/>
      <c r="AX765" s="66"/>
      <c r="AY765" s="66"/>
      <c r="AZ765" s="66"/>
      <c r="BA765" s="66"/>
      <c r="BB765" s="66"/>
      <c r="BC765" s="66"/>
    </row>
    <row r="766" ht="14.2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  <c r="AE766" s="66"/>
      <c r="AF766" s="66"/>
      <c r="AG766" s="66"/>
      <c r="AH766" s="66"/>
      <c r="AI766" s="66"/>
      <c r="AJ766" s="66"/>
      <c r="AK766" s="66"/>
      <c r="AL766" s="66"/>
      <c r="AM766" s="66"/>
      <c r="AN766" s="66"/>
      <c r="AO766" s="66"/>
      <c r="AP766" s="66"/>
      <c r="AQ766" s="66"/>
      <c r="AR766" s="66"/>
      <c r="AS766" s="66"/>
      <c r="AT766" s="66"/>
      <c r="AU766" s="66"/>
      <c r="AV766" s="66"/>
      <c r="AW766" s="66"/>
      <c r="AX766" s="66"/>
      <c r="AY766" s="66"/>
      <c r="AZ766" s="66"/>
      <c r="BA766" s="66"/>
      <c r="BB766" s="66"/>
      <c r="BC766" s="66"/>
    </row>
    <row r="767" ht="14.2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  <c r="AE767" s="66"/>
      <c r="AF767" s="66"/>
      <c r="AG767" s="66"/>
      <c r="AH767" s="66"/>
      <c r="AI767" s="66"/>
      <c r="AJ767" s="66"/>
      <c r="AK767" s="66"/>
      <c r="AL767" s="66"/>
      <c r="AM767" s="66"/>
      <c r="AN767" s="66"/>
      <c r="AO767" s="66"/>
      <c r="AP767" s="66"/>
      <c r="AQ767" s="66"/>
      <c r="AR767" s="66"/>
      <c r="AS767" s="66"/>
      <c r="AT767" s="66"/>
      <c r="AU767" s="66"/>
      <c r="AV767" s="66"/>
      <c r="AW767" s="66"/>
      <c r="AX767" s="66"/>
      <c r="AY767" s="66"/>
      <c r="AZ767" s="66"/>
      <c r="BA767" s="66"/>
      <c r="BB767" s="66"/>
      <c r="BC767" s="66"/>
    </row>
    <row r="768" ht="14.2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  <c r="AE768" s="66"/>
      <c r="AF768" s="66"/>
      <c r="AG768" s="66"/>
      <c r="AH768" s="66"/>
      <c r="AI768" s="66"/>
      <c r="AJ768" s="66"/>
      <c r="AK768" s="66"/>
      <c r="AL768" s="66"/>
      <c r="AM768" s="66"/>
      <c r="AN768" s="66"/>
      <c r="AO768" s="66"/>
      <c r="AP768" s="66"/>
      <c r="AQ768" s="66"/>
      <c r="AR768" s="66"/>
      <c r="AS768" s="66"/>
      <c r="AT768" s="66"/>
      <c r="AU768" s="66"/>
      <c r="AV768" s="66"/>
      <c r="AW768" s="66"/>
      <c r="AX768" s="66"/>
      <c r="AY768" s="66"/>
      <c r="AZ768" s="66"/>
      <c r="BA768" s="66"/>
      <c r="BB768" s="66"/>
      <c r="BC768" s="66"/>
    </row>
    <row r="769" ht="14.2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  <c r="AD769" s="66"/>
      <c r="AE769" s="66"/>
      <c r="AF769" s="66"/>
      <c r="AG769" s="66"/>
      <c r="AH769" s="66"/>
      <c r="AI769" s="66"/>
      <c r="AJ769" s="66"/>
      <c r="AK769" s="66"/>
      <c r="AL769" s="66"/>
      <c r="AM769" s="66"/>
      <c r="AN769" s="66"/>
      <c r="AO769" s="66"/>
      <c r="AP769" s="66"/>
      <c r="AQ769" s="66"/>
      <c r="AR769" s="66"/>
      <c r="AS769" s="66"/>
      <c r="AT769" s="66"/>
      <c r="AU769" s="66"/>
      <c r="AV769" s="66"/>
      <c r="AW769" s="66"/>
      <c r="AX769" s="66"/>
      <c r="AY769" s="66"/>
      <c r="AZ769" s="66"/>
      <c r="BA769" s="66"/>
      <c r="BB769" s="66"/>
      <c r="BC769" s="66"/>
    </row>
    <row r="770" ht="14.2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  <c r="AE770" s="66"/>
      <c r="AF770" s="66"/>
      <c r="AG770" s="66"/>
      <c r="AH770" s="66"/>
      <c r="AI770" s="66"/>
      <c r="AJ770" s="66"/>
      <c r="AK770" s="66"/>
      <c r="AL770" s="66"/>
      <c r="AM770" s="66"/>
      <c r="AN770" s="66"/>
      <c r="AO770" s="66"/>
      <c r="AP770" s="66"/>
      <c r="AQ770" s="66"/>
      <c r="AR770" s="66"/>
      <c r="AS770" s="66"/>
      <c r="AT770" s="66"/>
      <c r="AU770" s="66"/>
      <c r="AV770" s="66"/>
      <c r="AW770" s="66"/>
      <c r="AX770" s="66"/>
      <c r="AY770" s="66"/>
      <c r="AZ770" s="66"/>
      <c r="BA770" s="66"/>
      <c r="BB770" s="66"/>
      <c r="BC770" s="66"/>
    </row>
    <row r="771" ht="14.2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  <c r="AD771" s="66"/>
      <c r="AE771" s="66"/>
      <c r="AF771" s="66"/>
      <c r="AG771" s="66"/>
      <c r="AH771" s="66"/>
      <c r="AI771" s="66"/>
      <c r="AJ771" s="66"/>
      <c r="AK771" s="66"/>
      <c r="AL771" s="66"/>
      <c r="AM771" s="66"/>
      <c r="AN771" s="66"/>
      <c r="AO771" s="66"/>
      <c r="AP771" s="66"/>
      <c r="AQ771" s="66"/>
      <c r="AR771" s="66"/>
      <c r="AS771" s="66"/>
      <c r="AT771" s="66"/>
      <c r="AU771" s="66"/>
      <c r="AV771" s="66"/>
      <c r="AW771" s="66"/>
      <c r="AX771" s="66"/>
      <c r="AY771" s="66"/>
      <c r="AZ771" s="66"/>
      <c r="BA771" s="66"/>
      <c r="BB771" s="66"/>
      <c r="BC771" s="66"/>
    </row>
    <row r="772" ht="14.2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  <c r="AE772" s="66"/>
      <c r="AF772" s="66"/>
      <c r="AG772" s="66"/>
      <c r="AH772" s="66"/>
      <c r="AI772" s="66"/>
      <c r="AJ772" s="66"/>
      <c r="AK772" s="66"/>
      <c r="AL772" s="66"/>
      <c r="AM772" s="66"/>
      <c r="AN772" s="66"/>
      <c r="AO772" s="66"/>
      <c r="AP772" s="66"/>
      <c r="AQ772" s="66"/>
      <c r="AR772" s="66"/>
      <c r="AS772" s="66"/>
      <c r="AT772" s="66"/>
      <c r="AU772" s="66"/>
      <c r="AV772" s="66"/>
      <c r="AW772" s="66"/>
      <c r="AX772" s="66"/>
      <c r="AY772" s="66"/>
      <c r="AZ772" s="66"/>
      <c r="BA772" s="66"/>
      <c r="BB772" s="66"/>
      <c r="BC772" s="66"/>
    </row>
    <row r="773" ht="14.2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  <c r="AE773" s="66"/>
      <c r="AF773" s="66"/>
      <c r="AG773" s="66"/>
      <c r="AH773" s="66"/>
      <c r="AI773" s="66"/>
      <c r="AJ773" s="66"/>
      <c r="AK773" s="66"/>
      <c r="AL773" s="66"/>
      <c r="AM773" s="66"/>
      <c r="AN773" s="66"/>
      <c r="AO773" s="66"/>
      <c r="AP773" s="66"/>
      <c r="AQ773" s="66"/>
      <c r="AR773" s="66"/>
      <c r="AS773" s="66"/>
      <c r="AT773" s="66"/>
      <c r="AU773" s="66"/>
      <c r="AV773" s="66"/>
      <c r="AW773" s="66"/>
      <c r="AX773" s="66"/>
      <c r="AY773" s="66"/>
      <c r="AZ773" s="66"/>
      <c r="BA773" s="66"/>
      <c r="BB773" s="66"/>
      <c r="BC773" s="66"/>
    </row>
    <row r="774" ht="14.2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  <c r="AE774" s="66"/>
      <c r="AF774" s="66"/>
      <c r="AG774" s="66"/>
      <c r="AH774" s="66"/>
      <c r="AI774" s="66"/>
      <c r="AJ774" s="66"/>
      <c r="AK774" s="66"/>
      <c r="AL774" s="66"/>
      <c r="AM774" s="66"/>
      <c r="AN774" s="66"/>
      <c r="AO774" s="66"/>
      <c r="AP774" s="66"/>
      <c r="AQ774" s="66"/>
      <c r="AR774" s="66"/>
      <c r="AS774" s="66"/>
      <c r="AT774" s="66"/>
      <c r="AU774" s="66"/>
      <c r="AV774" s="66"/>
      <c r="AW774" s="66"/>
      <c r="AX774" s="66"/>
      <c r="AY774" s="66"/>
      <c r="AZ774" s="66"/>
      <c r="BA774" s="66"/>
      <c r="BB774" s="66"/>
      <c r="BC774" s="66"/>
    </row>
    <row r="775" ht="14.2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  <c r="AE775" s="66"/>
      <c r="AF775" s="66"/>
      <c r="AG775" s="66"/>
      <c r="AH775" s="66"/>
      <c r="AI775" s="66"/>
      <c r="AJ775" s="66"/>
      <c r="AK775" s="66"/>
      <c r="AL775" s="66"/>
      <c r="AM775" s="66"/>
      <c r="AN775" s="66"/>
      <c r="AO775" s="66"/>
      <c r="AP775" s="66"/>
      <c r="AQ775" s="66"/>
      <c r="AR775" s="66"/>
      <c r="AS775" s="66"/>
      <c r="AT775" s="66"/>
      <c r="AU775" s="66"/>
      <c r="AV775" s="66"/>
      <c r="AW775" s="66"/>
      <c r="AX775" s="66"/>
      <c r="AY775" s="66"/>
      <c r="AZ775" s="66"/>
      <c r="BA775" s="66"/>
      <c r="BB775" s="66"/>
      <c r="BC775" s="66"/>
    </row>
    <row r="776" ht="14.2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  <c r="AE776" s="66"/>
      <c r="AF776" s="66"/>
      <c r="AG776" s="66"/>
      <c r="AH776" s="66"/>
      <c r="AI776" s="66"/>
      <c r="AJ776" s="66"/>
      <c r="AK776" s="66"/>
      <c r="AL776" s="66"/>
      <c r="AM776" s="66"/>
      <c r="AN776" s="66"/>
      <c r="AO776" s="66"/>
      <c r="AP776" s="66"/>
      <c r="AQ776" s="66"/>
      <c r="AR776" s="66"/>
      <c r="AS776" s="66"/>
      <c r="AT776" s="66"/>
      <c r="AU776" s="66"/>
      <c r="AV776" s="66"/>
      <c r="AW776" s="66"/>
      <c r="AX776" s="66"/>
      <c r="AY776" s="66"/>
      <c r="AZ776" s="66"/>
      <c r="BA776" s="66"/>
      <c r="BB776" s="66"/>
      <c r="BC776" s="66"/>
    </row>
    <row r="777" ht="14.2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  <c r="AD777" s="66"/>
      <c r="AE777" s="66"/>
      <c r="AF777" s="66"/>
      <c r="AG777" s="66"/>
      <c r="AH777" s="66"/>
      <c r="AI777" s="66"/>
      <c r="AJ777" s="66"/>
      <c r="AK777" s="66"/>
      <c r="AL777" s="66"/>
      <c r="AM777" s="66"/>
      <c r="AN777" s="66"/>
      <c r="AO777" s="66"/>
      <c r="AP777" s="66"/>
      <c r="AQ777" s="66"/>
      <c r="AR777" s="66"/>
      <c r="AS777" s="66"/>
      <c r="AT777" s="66"/>
      <c r="AU777" s="66"/>
      <c r="AV777" s="66"/>
      <c r="AW777" s="66"/>
      <c r="AX777" s="66"/>
      <c r="AY777" s="66"/>
      <c r="AZ777" s="66"/>
      <c r="BA777" s="66"/>
      <c r="BB777" s="66"/>
      <c r="BC777" s="66"/>
    </row>
    <row r="778" ht="14.2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  <c r="AE778" s="66"/>
      <c r="AF778" s="66"/>
      <c r="AG778" s="66"/>
      <c r="AH778" s="66"/>
      <c r="AI778" s="66"/>
      <c r="AJ778" s="66"/>
      <c r="AK778" s="66"/>
      <c r="AL778" s="66"/>
      <c r="AM778" s="66"/>
      <c r="AN778" s="66"/>
      <c r="AO778" s="66"/>
      <c r="AP778" s="66"/>
      <c r="AQ778" s="66"/>
      <c r="AR778" s="66"/>
      <c r="AS778" s="66"/>
      <c r="AT778" s="66"/>
      <c r="AU778" s="66"/>
      <c r="AV778" s="66"/>
      <c r="AW778" s="66"/>
      <c r="AX778" s="66"/>
      <c r="AY778" s="66"/>
      <c r="AZ778" s="66"/>
      <c r="BA778" s="66"/>
      <c r="BB778" s="66"/>
      <c r="BC778" s="66"/>
    </row>
    <row r="779" ht="14.2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6"/>
      <c r="AE779" s="66"/>
      <c r="AF779" s="66"/>
      <c r="AG779" s="66"/>
      <c r="AH779" s="66"/>
      <c r="AI779" s="66"/>
      <c r="AJ779" s="66"/>
      <c r="AK779" s="66"/>
      <c r="AL779" s="66"/>
      <c r="AM779" s="66"/>
      <c r="AN779" s="66"/>
      <c r="AO779" s="66"/>
      <c r="AP779" s="66"/>
      <c r="AQ779" s="66"/>
      <c r="AR779" s="66"/>
      <c r="AS779" s="66"/>
      <c r="AT779" s="66"/>
      <c r="AU779" s="66"/>
      <c r="AV779" s="66"/>
      <c r="AW779" s="66"/>
      <c r="AX779" s="66"/>
      <c r="AY779" s="66"/>
      <c r="AZ779" s="66"/>
      <c r="BA779" s="66"/>
      <c r="BB779" s="66"/>
      <c r="BC779" s="66"/>
    </row>
    <row r="780" ht="14.2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  <c r="AE780" s="66"/>
      <c r="AF780" s="66"/>
      <c r="AG780" s="66"/>
      <c r="AH780" s="66"/>
      <c r="AI780" s="66"/>
      <c r="AJ780" s="66"/>
      <c r="AK780" s="66"/>
      <c r="AL780" s="66"/>
      <c r="AM780" s="66"/>
      <c r="AN780" s="66"/>
      <c r="AO780" s="66"/>
      <c r="AP780" s="66"/>
      <c r="AQ780" s="66"/>
      <c r="AR780" s="66"/>
      <c r="AS780" s="66"/>
      <c r="AT780" s="66"/>
      <c r="AU780" s="66"/>
      <c r="AV780" s="66"/>
      <c r="AW780" s="66"/>
      <c r="AX780" s="66"/>
      <c r="AY780" s="66"/>
      <c r="AZ780" s="66"/>
      <c r="BA780" s="66"/>
      <c r="BB780" s="66"/>
      <c r="BC780" s="66"/>
    </row>
    <row r="781" ht="14.2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  <c r="AE781" s="66"/>
      <c r="AF781" s="66"/>
      <c r="AG781" s="66"/>
      <c r="AH781" s="66"/>
      <c r="AI781" s="66"/>
      <c r="AJ781" s="66"/>
      <c r="AK781" s="66"/>
      <c r="AL781" s="66"/>
      <c r="AM781" s="66"/>
      <c r="AN781" s="66"/>
      <c r="AO781" s="66"/>
      <c r="AP781" s="66"/>
      <c r="AQ781" s="66"/>
      <c r="AR781" s="66"/>
      <c r="AS781" s="66"/>
      <c r="AT781" s="66"/>
      <c r="AU781" s="66"/>
      <c r="AV781" s="66"/>
      <c r="AW781" s="66"/>
      <c r="AX781" s="66"/>
      <c r="AY781" s="66"/>
      <c r="AZ781" s="66"/>
      <c r="BA781" s="66"/>
      <c r="BB781" s="66"/>
      <c r="BC781" s="66"/>
    </row>
    <row r="782" ht="14.2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6"/>
      <c r="AE782" s="66"/>
      <c r="AF782" s="66"/>
      <c r="AG782" s="66"/>
      <c r="AH782" s="66"/>
      <c r="AI782" s="66"/>
      <c r="AJ782" s="66"/>
      <c r="AK782" s="66"/>
      <c r="AL782" s="66"/>
      <c r="AM782" s="66"/>
      <c r="AN782" s="66"/>
      <c r="AO782" s="66"/>
      <c r="AP782" s="66"/>
      <c r="AQ782" s="66"/>
      <c r="AR782" s="66"/>
      <c r="AS782" s="66"/>
      <c r="AT782" s="66"/>
      <c r="AU782" s="66"/>
      <c r="AV782" s="66"/>
      <c r="AW782" s="66"/>
      <c r="AX782" s="66"/>
      <c r="AY782" s="66"/>
      <c r="AZ782" s="66"/>
      <c r="BA782" s="66"/>
      <c r="BB782" s="66"/>
      <c r="BC782" s="66"/>
    </row>
    <row r="783" ht="14.2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  <c r="AD783" s="66"/>
      <c r="AE783" s="66"/>
      <c r="AF783" s="66"/>
      <c r="AG783" s="66"/>
      <c r="AH783" s="66"/>
      <c r="AI783" s="66"/>
      <c r="AJ783" s="66"/>
      <c r="AK783" s="66"/>
      <c r="AL783" s="66"/>
      <c r="AM783" s="66"/>
      <c r="AN783" s="66"/>
      <c r="AO783" s="66"/>
      <c r="AP783" s="66"/>
      <c r="AQ783" s="66"/>
      <c r="AR783" s="66"/>
      <c r="AS783" s="66"/>
      <c r="AT783" s="66"/>
      <c r="AU783" s="66"/>
      <c r="AV783" s="66"/>
      <c r="AW783" s="66"/>
      <c r="AX783" s="66"/>
      <c r="AY783" s="66"/>
      <c r="AZ783" s="66"/>
      <c r="BA783" s="66"/>
      <c r="BB783" s="66"/>
      <c r="BC783" s="66"/>
    </row>
    <row r="784" ht="14.2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6"/>
      <c r="AE784" s="66"/>
      <c r="AF784" s="66"/>
      <c r="AG784" s="66"/>
      <c r="AH784" s="66"/>
      <c r="AI784" s="66"/>
      <c r="AJ784" s="66"/>
      <c r="AK784" s="66"/>
      <c r="AL784" s="66"/>
      <c r="AM784" s="66"/>
      <c r="AN784" s="66"/>
      <c r="AO784" s="66"/>
      <c r="AP784" s="66"/>
      <c r="AQ784" s="66"/>
      <c r="AR784" s="66"/>
      <c r="AS784" s="66"/>
      <c r="AT784" s="66"/>
      <c r="AU784" s="66"/>
      <c r="AV784" s="66"/>
      <c r="AW784" s="66"/>
      <c r="AX784" s="66"/>
      <c r="AY784" s="66"/>
      <c r="AZ784" s="66"/>
      <c r="BA784" s="66"/>
      <c r="BB784" s="66"/>
      <c r="BC784" s="66"/>
    </row>
    <row r="785" ht="14.2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  <c r="AD785" s="66"/>
      <c r="AE785" s="66"/>
      <c r="AF785" s="66"/>
      <c r="AG785" s="66"/>
      <c r="AH785" s="66"/>
      <c r="AI785" s="66"/>
      <c r="AJ785" s="66"/>
      <c r="AK785" s="66"/>
      <c r="AL785" s="66"/>
      <c r="AM785" s="66"/>
      <c r="AN785" s="66"/>
      <c r="AO785" s="66"/>
      <c r="AP785" s="66"/>
      <c r="AQ785" s="66"/>
      <c r="AR785" s="66"/>
      <c r="AS785" s="66"/>
      <c r="AT785" s="66"/>
      <c r="AU785" s="66"/>
      <c r="AV785" s="66"/>
      <c r="AW785" s="66"/>
      <c r="AX785" s="66"/>
      <c r="AY785" s="66"/>
      <c r="AZ785" s="66"/>
      <c r="BA785" s="66"/>
      <c r="BB785" s="66"/>
      <c r="BC785" s="66"/>
    </row>
    <row r="786" ht="14.2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  <c r="AE786" s="66"/>
      <c r="AF786" s="66"/>
      <c r="AG786" s="66"/>
      <c r="AH786" s="66"/>
      <c r="AI786" s="66"/>
      <c r="AJ786" s="66"/>
      <c r="AK786" s="66"/>
      <c r="AL786" s="66"/>
      <c r="AM786" s="66"/>
      <c r="AN786" s="66"/>
      <c r="AO786" s="66"/>
      <c r="AP786" s="66"/>
      <c r="AQ786" s="66"/>
      <c r="AR786" s="66"/>
      <c r="AS786" s="66"/>
      <c r="AT786" s="66"/>
      <c r="AU786" s="66"/>
      <c r="AV786" s="66"/>
      <c r="AW786" s="66"/>
      <c r="AX786" s="66"/>
      <c r="AY786" s="66"/>
      <c r="AZ786" s="66"/>
      <c r="BA786" s="66"/>
      <c r="BB786" s="66"/>
      <c r="BC786" s="66"/>
    </row>
    <row r="787" ht="14.2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  <c r="AE787" s="66"/>
      <c r="AF787" s="66"/>
      <c r="AG787" s="66"/>
      <c r="AH787" s="66"/>
      <c r="AI787" s="66"/>
      <c r="AJ787" s="66"/>
      <c r="AK787" s="66"/>
      <c r="AL787" s="66"/>
      <c r="AM787" s="66"/>
      <c r="AN787" s="66"/>
      <c r="AO787" s="66"/>
      <c r="AP787" s="66"/>
      <c r="AQ787" s="66"/>
      <c r="AR787" s="66"/>
      <c r="AS787" s="66"/>
      <c r="AT787" s="66"/>
      <c r="AU787" s="66"/>
      <c r="AV787" s="66"/>
      <c r="AW787" s="66"/>
      <c r="AX787" s="66"/>
      <c r="AY787" s="66"/>
      <c r="AZ787" s="66"/>
      <c r="BA787" s="66"/>
      <c r="BB787" s="66"/>
      <c r="BC787" s="66"/>
    </row>
    <row r="788" ht="14.2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  <c r="AE788" s="66"/>
      <c r="AF788" s="66"/>
      <c r="AG788" s="66"/>
      <c r="AH788" s="66"/>
      <c r="AI788" s="66"/>
      <c r="AJ788" s="66"/>
      <c r="AK788" s="66"/>
      <c r="AL788" s="66"/>
      <c r="AM788" s="66"/>
      <c r="AN788" s="66"/>
      <c r="AO788" s="66"/>
      <c r="AP788" s="66"/>
      <c r="AQ788" s="66"/>
      <c r="AR788" s="66"/>
      <c r="AS788" s="66"/>
      <c r="AT788" s="66"/>
      <c r="AU788" s="66"/>
      <c r="AV788" s="66"/>
      <c r="AW788" s="66"/>
      <c r="AX788" s="66"/>
      <c r="AY788" s="66"/>
      <c r="AZ788" s="66"/>
      <c r="BA788" s="66"/>
      <c r="BB788" s="66"/>
      <c r="BC788" s="66"/>
    </row>
    <row r="789" ht="14.2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  <c r="AD789" s="66"/>
      <c r="AE789" s="66"/>
      <c r="AF789" s="66"/>
      <c r="AG789" s="66"/>
      <c r="AH789" s="66"/>
      <c r="AI789" s="66"/>
      <c r="AJ789" s="66"/>
      <c r="AK789" s="66"/>
      <c r="AL789" s="66"/>
      <c r="AM789" s="66"/>
      <c r="AN789" s="66"/>
      <c r="AO789" s="66"/>
      <c r="AP789" s="66"/>
      <c r="AQ789" s="66"/>
      <c r="AR789" s="66"/>
      <c r="AS789" s="66"/>
      <c r="AT789" s="66"/>
      <c r="AU789" s="66"/>
      <c r="AV789" s="66"/>
      <c r="AW789" s="66"/>
      <c r="AX789" s="66"/>
      <c r="AY789" s="66"/>
      <c r="AZ789" s="66"/>
      <c r="BA789" s="66"/>
      <c r="BB789" s="66"/>
      <c r="BC789" s="66"/>
    </row>
    <row r="790" ht="14.2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6"/>
      <c r="AE790" s="66"/>
      <c r="AF790" s="66"/>
      <c r="AG790" s="66"/>
      <c r="AH790" s="66"/>
      <c r="AI790" s="66"/>
      <c r="AJ790" s="66"/>
      <c r="AK790" s="66"/>
      <c r="AL790" s="66"/>
      <c r="AM790" s="66"/>
      <c r="AN790" s="66"/>
      <c r="AO790" s="66"/>
      <c r="AP790" s="66"/>
      <c r="AQ790" s="66"/>
      <c r="AR790" s="66"/>
      <c r="AS790" s="66"/>
      <c r="AT790" s="66"/>
      <c r="AU790" s="66"/>
      <c r="AV790" s="66"/>
      <c r="AW790" s="66"/>
      <c r="AX790" s="66"/>
      <c r="AY790" s="66"/>
      <c r="AZ790" s="66"/>
      <c r="BA790" s="66"/>
      <c r="BB790" s="66"/>
      <c r="BC790" s="66"/>
    </row>
    <row r="791" ht="14.2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  <c r="AD791" s="66"/>
      <c r="AE791" s="66"/>
      <c r="AF791" s="66"/>
      <c r="AG791" s="66"/>
      <c r="AH791" s="66"/>
      <c r="AI791" s="66"/>
      <c r="AJ791" s="66"/>
      <c r="AK791" s="66"/>
      <c r="AL791" s="66"/>
      <c r="AM791" s="66"/>
      <c r="AN791" s="66"/>
      <c r="AO791" s="66"/>
      <c r="AP791" s="66"/>
      <c r="AQ791" s="66"/>
      <c r="AR791" s="66"/>
      <c r="AS791" s="66"/>
      <c r="AT791" s="66"/>
      <c r="AU791" s="66"/>
      <c r="AV791" s="66"/>
      <c r="AW791" s="66"/>
      <c r="AX791" s="66"/>
      <c r="AY791" s="66"/>
      <c r="AZ791" s="66"/>
      <c r="BA791" s="66"/>
      <c r="BB791" s="66"/>
      <c r="BC791" s="66"/>
    </row>
    <row r="792" ht="14.2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  <c r="AD792" s="66"/>
      <c r="AE792" s="66"/>
      <c r="AF792" s="66"/>
      <c r="AG792" s="66"/>
      <c r="AH792" s="66"/>
      <c r="AI792" s="66"/>
      <c r="AJ792" s="66"/>
      <c r="AK792" s="66"/>
      <c r="AL792" s="66"/>
      <c r="AM792" s="66"/>
      <c r="AN792" s="66"/>
      <c r="AO792" s="66"/>
      <c r="AP792" s="66"/>
      <c r="AQ792" s="66"/>
      <c r="AR792" s="66"/>
      <c r="AS792" s="66"/>
      <c r="AT792" s="66"/>
      <c r="AU792" s="66"/>
      <c r="AV792" s="66"/>
      <c r="AW792" s="66"/>
      <c r="AX792" s="66"/>
      <c r="AY792" s="66"/>
      <c r="AZ792" s="66"/>
      <c r="BA792" s="66"/>
      <c r="BB792" s="66"/>
      <c r="BC792" s="66"/>
    </row>
    <row r="793" ht="14.2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  <c r="AD793" s="66"/>
      <c r="AE793" s="66"/>
      <c r="AF793" s="66"/>
      <c r="AG793" s="66"/>
      <c r="AH793" s="66"/>
      <c r="AI793" s="66"/>
      <c r="AJ793" s="66"/>
      <c r="AK793" s="66"/>
      <c r="AL793" s="66"/>
      <c r="AM793" s="66"/>
      <c r="AN793" s="66"/>
      <c r="AO793" s="66"/>
      <c r="AP793" s="66"/>
      <c r="AQ793" s="66"/>
      <c r="AR793" s="66"/>
      <c r="AS793" s="66"/>
      <c r="AT793" s="66"/>
      <c r="AU793" s="66"/>
      <c r="AV793" s="66"/>
      <c r="AW793" s="66"/>
      <c r="AX793" s="66"/>
      <c r="AY793" s="66"/>
      <c r="AZ793" s="66"/>
      <c r="BA793" s="66"/>
      <c r="BB793" s="66"/>
      <c r="BC793" s="66"/>
    </row>
    <row r="794" ht="14.2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6"/>
      <c r="AE794" s="66"/>
      <c r="AF794" s="66"/>
      <c r="AG794" s="66"/>
      <c r="AH794" s="66"/>
      <c r="AI794" s="66"/>
      <c r="AJ794" s="66"/>
      <c r="AK794" s="66"/>
      <c r="AL794" s="66"/>
      <c r="AM794" s="66"/>
      <c r="AN794" s="66"/>
      <c r="AO794" s="66"/>
      <c r="AP794" s="66"/>
      <c r="AQ794" s="66"/>
      <c r="AR794" s="66"/>
      <c r="AS794" s="66"/>
      <c r="AT794" s="66"/>
      <c r="AU794" s="66"/>
      <c r="AV794" s="66"/>
      <c r="AW794" s="66"/>
      <c r="AX794" s="66"/>
      <c r="AY794" s="66"/>
      <c r="AZ794" s="66"/>
      <c r="BA794" s="66"/>
      <c r="BB794" s="66"/>
      <c r="BC794" s="66"/>
    </row>
    <row r="795" ht="14.2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  <c r="AD795" s="66"/>
      <c r="AE795" s="66"/>
      <c r="AF795" s="66"/>
      <c r="AG795" s="66"/>
      <c r="AH795" s="66"/>
      <c r="AI795" s="66"/>
      <c r="AJ795" s="66"/>
      <c r="AK795" s="66"/>
      <c r="AL795" s="66"/>
      <c r="AM795" s="66"/>
      <c r="AN795" s="66"/>
      <c r="AO795" s="66"/>
      <c r="AP795" s="66"/>
      <c r="AQ795" s="66"/>
      <c r="AR795" s="66"/>
      <c r="AS795" s="66"/>
      <c r="AT795" s="66"/>
      <c r="AU795" s="66"/>
      <c r="AV795" s="66"/>
      <c r="AW795" s="66"/>
      <c r="AX795" s="66"/>
      <c r="AY795" s="66"/>
      <c r="AZ795" s="66"/>
      <c r="BA795" s="66"/>
      <c r="BB795" s="66"/>
      <c r="BC795" s="66"/>
    </row>
    <row r="796" ht="14.2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  <c r="AD796" s="66"/>
      <c r="AE796" s="66"/>
      <c r="AF796" s="66"/>
      <c r="AG796" s="66"/>
      <c r="AH796" s="66"/>
      <c r="AI796" s="66"/>
      <c r="AJ796" s="66"/>
      <c r="AK796" s="66"/>
      <c r="AL796" s="66"/>
      <c r="AM796" s="66"/>
      <c r="AN796" s="66"/>
      <c r="AO796" s="66"/>
      <c r="AP796" s="66"/>
      <c r="AQ796" s="66"/>
      <c r="AR796" s="66"/>
      <c r="AS796" s="66"/>
      <c r="AT796" s="66"/>
      <c r="AU796" s="66"/>
      <c r="AV796" s="66"/>
      <c r="AW796" s="66"/>
      <c r="AX796" s="66"/>
      <c r="AY796" s="66"/>
      <c r="AZ796" s="66"/>
      <c r="BA796" s="66"/>
      <c r="BB796" s="66"/>
      <c r="BC796" s="66"/>
    </row>
    <row r="797" ht="14.2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  <c r="AD797" s="66"/>
      <c r="AE797" s="66"/>
      <c r="AF797" s="66"/>
      <c r="AG797" s="66"/>
      <c r="AH797" s="66"/>
      <c r="AI797" s="66"/>
      <c r="AJ797" s="66"/>
      <c r="AK797" s="66"/>
      <c r="AL797" s="66"/>
      <c r="AM797" s="66"/>
      <c r="AN797" s="66"/>
      <c r="AO797" s="66"/>
      <c r="AP797" s="66"/>
      <c r="AQ797" s="66"/>
      <c r="AR797" s="66"/>
      <c r="AS797" s="66"/>
      <c r="AT797" s="66"/>
      <c r="AU797" s="66"/>
      <c r="AV797" s="66"/>
      <c r="AW797" s="66"/>
      <c r="AX797" s="66"/>
      <c r="AY797" s="66"/>
      <c r="AZ797" s="66"/>
      <c r="BA797" s="66"/>
      <c r="BB797" s="66"/>
      <c r="BC797" s="66"/>
    </row>
    <row r="798" ht="14.2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  <c r="AD798" s="66"/>
      <c r="AE798" s="66"/>
      <c r="AF798" s="66"/>
      <c r="AG798" s="66"/>
      <c r="AH798" s="66"/>
      <c r="AI798" s="66"/>
      <c r="AJ798" s="66"/>
      <c r="AK798" s="66"/>
      <c r="AL798" s="66"/>
      <c r="AM798" s="66"/>
      <c r="AN798" s="66"/>
      <c r="AO798" s="66"/>
      <c r="AP798" s="66"/>
      <c r="AQ798" s="66"/>
      <c r="AR798" s="66"/>
      <c r="AS798" s="66"/>
      <c r="AT798" s="66"/>
      <c r="AU798" s="66"/>
      <c r="AV798" s="66"/>
      <c r="AW798" s="66"/>
      <c r="AX798" s="66"/>
      <c r="AY798" s="66"/>
      <c r="AZ798" s="66"/>
      <c r="BA798" s="66"/>
      <c r="BB798" s="66"/>
      <c r="BC798" s="66"/>
    </row>
    <row r="799" ht="14.2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  <c r="AD799" s="66"/>
      <c r="AE799" s="66"/>
      <c r="AF799" s="66"/>
      <c r="AG799" s="66"/>
      <c r="AH799" s="66"/>
      <c r="AI799" s="66"/>
      <c r="AJ799" s="66"/>
      <c r="AK799" s="66"/>
      <c r="AL799" s="66"/>
      <c r="AM799" s="66"/>
      <c r="AN799" s="66"/>
      <c r="AO799" s="66"/>
      <c r="AP799" s="66"/>
      <c r="AQ799" s="66"/>
      <c r="AR799" s="66"/>
      <c r="AS799" s="66"/>
      <c r="AT799" s="66"/>
      <c r="AU799" s="66"/>
      <c r="AV799" s="66"/>
      <c r="AW799" s="66"/>
      <c r="AX799" s="66"/>
      <c r="AY799" s="66"/>
      <c r="AZ799" s="66"/>
      <c r="BA799" s="66"/>
      <c r="BB799" s="66"/>
      <c r="BC799" s="66"/>
    </row>
    <row r="800" ht="14.2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  <c r="AD800" s="66"/>
      <c r="AE800" s="66"/>
      <c r="AF800" s="66"/>
      <c r="AG800" s="66"/>
      <c r="AH800" s="66"/>
      <c r="AI800" s="66"/>
      <c r="AJ800" s="66"/>
      <c r="AK800" s="66"/>
      <c r="AL800" s="66"/>
      <c r="AM800" s="66"/>
      <c r="AN800" s="66"/>
      <c r="AO800" s="66"/>
      <c r="AP800" s="66"/>
      <c r="AQ800" s="66"/>
      <c r="AR800" s="66"/>
      <c r="AS800" s="66"/>
      <c r="AT800" s="66"/>
      <c r="AU800" s="66"/>
      <c r="AV800" s="66"/>
      <c r="AW800" s="66"/>
      <c r="AX800" s="66"/>
      <c r="AY800" s="66"/>
      <c r="AZ800" s="66"/>
      <c r="BA800" s="66"/>
      <c r="BB800" s="66"/>
      <c r="BC800" s="66"/>
    </row>
    <row r="801" ht="14.2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  <c r="AD801" s="66"/>
      <c r="AE801" s="66"/>
      <c r="AF801" s="66"/>
      <c r="AG801" s="66"/>
      <c r="AH801" s="66"/>
      <c r="AI801" s="66"/>
      <c r="AJ801" s="66"/>
      <c r="AK801" s="66"/>
      <c r="AL801" s="66"/>
      <c r="AM801" s="66"/>
      <c r="AN801" s="66"/>
      <c r="AO801" s="66"/>
      <c r="AP801" s="66"/>
      <c r="AQ801" s="66"/>
      <c r="AR801" s="66"/>
      <c r="AS801" s="66"/>
      <c r="AT801" s="66"/>
      <c r="AU801" s="66"/>
      <c r="AV801" s="66"/>
      <c r="AW801" s="66"/>
      <c r="AX801" s="66"/>
      <c r="AY801" s="66"/>
      <c r="AZ801" s="66"/>
      <c r="BA801" s="66"/>
      <c r="BB801" s="66"/>
      <c r="BC801" s="66"/>
    </row>
    <row r="802" ht="14.2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  <c r="AD802" s="66"/>
      <c r="AE802" s="66"/>
      <c r="AF802" s="66"/>
      <c r="AG802" s="66"/>
      <c r="AH802" s="66"/>
      <c r="AI802" s="66"/>
      <c r="AJ802" s="66"/>
      <c r="AK802" s="66"/>
      <c r="AL802" s="66"/>
      <c r="AM802" s="66"/>
      <c r="AN802" s="66"/>
      <c r="AO802" s="66"/>
      <c r="AP802" s="66"/>
      <c r="AQ802" s="66"/>
      <c r="AR802" s="66"/>
      <c r="AS802" s="66"/>
      <c r="AT802" s="66"/>
      <c r="AU802" s="66"/>
      <c r="AV802" s="66"/>
      <c r="AW802" s="66"/>
      <c r="AX802" s="66"/>
      <c r="AY802" s="66"/>
      <c r="AZ802" s="66"/>
      <c r="BA802" s="66"/>
      <c r="BB802" s="66"/>
      <c r="BC802" s="66"/>
    </row>
    <row r="803" ht="14.2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  <c r="AD803" s="66"/>
      <c r="AE803" s="66"/>
      <c r="AF803" s="66"/>
      <c r="AG803" s="66"/>
      <c r="AH803" s="66"/>
      <c r="AI803" s="66"/>
      <c r="AJ803" s="66"/>
      <c r="AK803" s="66"/>
      <c r="AL803" s="66"/>
      <c r="AM803" s="66"/>
      <c r="AN803" s="66"/>
      <c r="AO803" s="66"/>
      <c r="AP803" s="66"/>
      <c r="AQ803" s="66"/>
      <c r="AR803" s="66"/>
      <c r="AS803" s="66"/>
      <c r="AT803" s="66"/>
      <c r="AU803" s="66"/>
      <c r="AV803" s="66"/>
      <c r="AW803" s="66"/>
      <c r="AX803" s="66"/>
      <c r="AY803" s="66"/>
      <c r="AZ803" s="66"/>
      <c r="BA803" s="66"/>
      <c r="BB803" s="66"/>
      <c r="BC803" s="66"/>
    </row>
    <row r="804" ht="14.2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  <c r="AD804" s="66"/>
      <c r="AE804" s="66"/>
      <c r="AF804" s="66"/>
      <c r="AG804" s="66"/>
      <c r="AH804" s="66"/>
      <c r="AI804" s="66"/>
      <c r="AJ804" s="66"/>
      <c r="AK804" s="66"/>
      <c r="AL804" s="66"/>
      <c r="AM804" s="66"/>
      <c r="AN804" s="66"/>
      <c r="AO804" s="66"/>
      <c r="AP804" s="66"/>
      <c r="AQ804" s="66"/>
      <c r="AR804" s="66"/>
      <c r="AS804" s="66"/>
      <c r="AT804" s="66"/>
      <c r="AU804" s="66"/>
      <c r="AV804" s="66"/>
      <c r="AW804" s="66"/>
      <c r="AX804" s="66"/>
      <c r="AY804" s="66"/>
      <c r="AZ804" s="66"/>
      <c r="BA804" s="66"/>
      <c r="BB804" s="66"/>
      <c r="BC804" s="66"/>
    </row>
    <row r="805" ht="14.2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  <c r="AD805" s="66"/>
      <c r="AE805" s="66"/>
      <c r="AF805" s="66"/>
      <c r="AG805" s="66"/>
      <c r="AH805" s="66"/>
      <c r="AI805" s="66"/>
      <c r="AJ805" s="66"/>
      <c r="AK805" s="66"/>
      <c r="AL805" s="66"/>
      <c r="AM805" s="66"/>
      <c r="AN805" s="66"/>
      <c r="AO805" s="66"/>
      <c r="AP805" s="66"/>
      <c r="AQ805" s="66"/>
      <c r="AR805" s="66"/>
      <c r="AS805" s="66"/>
      <c r="AT805" s="66"/>
      <c r="AU805" s="66"/>
      <c r="AV805" s="66"/>
      <c r="AW805" s="66"/>
      <c r="AX805" s="66"/>
      <c r="AY805" s="66"/>
      <c r="AZ805" s="66"/>
      <c r="BA805" s="66"/>
      <c r="BB805" s="66"/>
      <c r="BC805" s="66"/>
    </row>
    <row r="806" ht="14.2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  <c r="AD806" s="66"/>
      <c r="AE806" s="66"/>
      <c r="AF806" s="66"/>
      <c r="AG806" s="66"/>
      <c r="AH806" s="66"/>
      <c r="AI806" s="66"/>
      <c r="AJ806" s="66"/>
      <c r="AK806" s="66"/>
      <c r="AL806" s="66"/>
      <c r="AM806" s="66"/>
      <c r="AN806" s="66"/>
      <c r="AO806" s="66"/>
      <c r="AP806" s="66"/>
      <c r="AQ806" s="66"/>
      <c r="AR806" s="66"/>
      <c r="AS806" s="66"/>
      <c r="AT806" s="66"/>
      <c r="AU806" s="66"/>
      <c r="AV806" s="66"/>
      <c r="AW806" s="66"/>
      <c r="AX806" s="66"/>
      <c r="AY806" s="66"/>
      <c r="AZ806" s="66"/>
      <c r="BA806" s="66"/>
      <c r="BB806" s="66"/>
      <c r="BC806" s="66"/>
    </row>
    <row r="807" ht="14.2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  <c r="AD807" s="66"/>
      <c r="AE807" s="66"/>
      <c r="AF807" s="66"/>
      <c r="AG807" s="66"/>
      <c r="AH807" s="66"/>
      <c r="AI807" s="66"/>
      <c r="AJ807" s="66"/>
      <c r="AK807" s="66"/>
      <c r="AL807" s="66"/>
      <c r="AM807" s="66"/>
      <c r="AN807" s="66"/>
      <c r="AO807" s="66"/>
      <c r="AP807" s="66"/>
      <c r="AQ807" s="66"/>
      <c r="AR807" s="66"/>
      <c r="AS807" s="66"/>
      <c r="AT807" s="66"/>
      <c r="AU807" s="66"/>
      <c r="AV807" s="66"/>
      <c r="AW807" s="66"/>
      <c r="AX807" s="66"/>
      <c r="AY807" s="66"/>
      <c r="AZ807" s="66"/>
      <c r="BA807" s="66"/>
      <c r="BB807" s="66"/>
      <c r="BC807" s="66"/>
    </row>
    <row r="808" ht="14.2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  <c r="AD808" s="66"/>
      <c r="AE808" s="66"/>
      <c r="AF808" s="66"/>
      <c r="AG808" s="66"/>
      <c r="AH808" s="66"/>
      <c r="AI808" s="66"/>
      <c r="AJ808" s="66"/>
      <c r="AK808" s="66"/>
      <c r="AL808" s="66"/>
      <c r="AM808" s="66"/>
      <c r="AN808" s="66"/>
      <c r="AO808" s="66"/>
      <c r="AP808" s="66"/>
      <c r="AQ808" s="66"/>
      <c r="AR808" s="66"/>
      <c r="AS808" s="66"/>
      <c r="AT808" s="66"/>
      <c r="AU808" s="66"/>
      <c r="AV808" s="66"/>
      <c r="AW808" s="66"/>
      <c r="AX808" s="66"/>
      <c r="AY808" s="66"/>
      <c r="AZ808" s="66"/>
      <c r="BA808" s="66"/>
      <c r="BB808" s="66"/>
      <c r="BC808" s="66"/>
    </row>
    <row r="809" ht="14.2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  <c r="AD809" s="66"/>
      <c r="AE809" s="66"/>
      <c r="AF809" s="66"/>
      <c r="AG809" s="66"/>
      <c r="AH809" s="66"/>
      <c r="AI809" s="66"/>
      <c r="AJ809" s="66"/>
      <c r="AK809" s="66"/>
      <c r="AL809" s="66"/>
      <c r="AM809" s="66"/>
      <c r="AN809" s="66"/>
      <c r="AO809" s="66"/>
      <c r="AP809" s="66"/>
      <c r="AQ809" s="66"/>
      <c r="AR809" s="66"/>
      <c r="AS809" s="66"/>
      <c r="AT809" s="66"/>
      <c r="AU809" s="66"/>
      <c r="AV809" s="66"/>
      <c r="AW809" s="66"/>
      <c r="AX809" s="66"/>
      <c r="AY809" s="66"/>
      <c r="AZ809" s="66"/>
      <c r="BA809" s="66"/>
      <c r="BB809" s="66"/>
      <c r="BC809" s="66"/>
    </row>
    <row r="810" ht="14.2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  <c r="AD810" s="66"/>
      <c r="AE810" s="66"/>
      <c r="AF810" s="66"/>
      <c r="AG810" s="66"/>
      <c r="AH810" s="66"/>
      <c r="AI810" s="66"/>
      <c r="AJ810" s="66"/>
      <c r="AK810" s="66"/>
      <c r="AL810" s="66"/>
      <c r="AM810" s="66"/>
      <c r="AN810" s="66"/>
      <c r="AO810" s="66"/>
      <c r="AP810" s="66"/>
      <c r="AQ810" s="66"/>
      <c r="AR810" s="66"/>
      <c r="AS810" s="66"/>
      <c r="AT810" s="66"/>
      <c r="AU810" s="66"/>
      <c r="AV810" s="66"/>
      <c r="AW810" s="66"/>
      <c r="AX810" s="66"/>
      <c r="AY810" s="66"/>
      <c r="AZ810" s="66"/>
      <c r="BA810" s="66"/>
      <c r="BB810" s="66"/>
      <c r="BC810" s="66"/>
    </row>
    <row r="811" ht="14.2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  <c r="AD811" s="66"/>
      <c r="AE811" s="66"/>
      <c r="AF811" s="66"/>
      <c r="AG811" s="66"/>
      <c r="AH811" s="66"/>
      <c r="AI811" s="66"/>
      <c r="AJ811" s="66"/>
      <c r="AK811" s="66"/>
      <c r="AL811" s="66"/>
      <c r="AM811" s="66"/>
      <c r="AN811" s="66"/>
      <c r="AO811" s="66"/>
      <c r="AP811" s="66"/>
      <c r="AQ811" s="66"/>
      <c r="AR811" s="66"/>
      <c r="AS811" s="66"/>
      <c r="AT811" s="66"/>
      <c r="AU811" s="66"/>
      <c r="AV811" s="66"/>
      <c r="AW811" s="66"/>
      <c r="AX811" s="66"/>
      <c r="AY811" s="66"/>
      <c r="AZ811" s="66"/>
      <c r="BA811" s="66"/>
      <c r="BB811" s="66"/>
      <c r="BC811" s="66"/>
    </row>
    <row r="812" ht="14.2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6"/>
      <c r="AE812" s="66"/>
      <c r="AF812" s="66"/>
      <c r="AG812" s="66"/>
      <c r="AH812" s="66"/>
      <c r="AI812" s="66"/>
      <c r="AJ812" s="66"/>
      <c r="AK812" s="66"/>
      <c r="AL812" s="66"/>
      <c r="AM812" s="66"/>
      <c r="AN812" s="66"/>
      <c r="AO812" s="66"/>
      <c r="AP812" s="66"/>
      <c r="AQ812" s="66"/>
      <c r="AR812" s="66"/>
      <c r="AS812" s="66"/>
      <c r="AT812" s="66"/>
      <c r="AU812" s="66"/>
      <c r="AV812" s="66"/>
      <c r="AW812" s="66"/>
      <c r="AX812" s="66"/>
      <c r="AY812" s="66"/>
      <c r="AZ812" s="66"/>
      <c r="BA812" s="66"/>
      <c r="BB812" s="66"/>
      <c r="BC812" s="66"/>
    </row>
    <row r="813" ht="14.2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  <c r="AD813" s="66"/>
      <c r="AE813" s="66"/>
      <c r="AF813" s="66"/>
      <c r="AG813" s="66"/>
      <c r="AH813" s="66"/>
      <c r="AI813" s="66"/>
      <c r="AJ813" s="66"/>
      <c r="AK813" s="66"/>
      <c r="AL813" s="66"/>
      <c r="AM813" s="66"/>
      <c r="AN813" s="66"/>
      <c r="AO813" s="66"/>
      <c r="AP813" s="66"/>
      <c r="AQ813" s="66"/>
      <c r="AR813" s="66"/>
      <c r="AS813" s="66"/>
      <c r="AT813" s="66"/>
      <c r="AU813" s="66"/>
      <c r="AV813" s="66"/>
      <c r="AW813" s="66"/>
      <c r="AX813" s="66"/>
      <c r="AY813" s="66"/>
      <c r="AZ813" s="66"/>
      <c r="BA813" s="66"/>
      <c r="BB813" s="66"/>
      <c r="BC813" s="66"/>
    </row>
    <row r="814" ht="14.2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  <c r="AD814" s="66"/>
      <c r="AE814" s="66"/>
      <c r="AF814" s="66"/>
      <c r="AG814" s="66"/>
      <c r="AH814" s="66"/>
      <c r="AI814" s="66"/>
      <c r="AJ814" s="66"/>
      <c r="AK814" s="66"/>
      <c r="AL814" s="66"/>
      <c r="AM814" s="66"/>
      <c r="AN814" s="66"/>
      <c r="AO814" s="66"/>
      <c r="AP814" s="66"/>
      <c r="AQ814" s="66"/>
      <c r="AR814" s="66"/>
      <c r="AS814" s="66"/>
      <c r="AT814" s="66"/>
      <c r="AU814" s="66"/>
      <c r="AV814" s="66"/>
      <c r="AW814" s="66"/>
      <c r="AX814" s="66"/>
      <c r="AY814" s="66"/>
      <c r="AZ814" s="66"/>
      <c r="BA814" s="66"/>
      <c r="BB814" s="66"/>
      <c r="BC814" s="66"/>
    </row>
    <row r="815" ht="14.2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  <c r="AD815" s="66"/>
      <c r="AE815" s="66"/>
      <c r="AF815" s="66"/>
      <c r="AG815" s="66"/>
      <c r="AH815" s="66"/>
      <c r="AI815" s="66"/>
      <c r="AJ815" s="66"/>
      <c r="AK815" s="66"/>
      <c r="AL815" s="66"/>
      <c r="AM815" s="66"/>
      <c r="AN815" s="66"/>
      <c r="AO815" s="66"/>
      <c r="AP815" s="66"/>
      <c r="AQ815" s="66"/>
      <c r="AR815" s="66"/>
      <c r="AS815" s="66"/>
      <c r="AT815" s="66"/>
      <c r="AU815" s="66"/>
      <c r="AV815" s="66"/>
      <c r="AW815" s="66"/>
      <c r="AX815" s="66"/>
      <c r="AY815" s="66"/>
      <c r="AZ815" s="66"/>
      <c r="BA815" s="66"/>
      <c r="BB815" s="66"/>
      <c r="BC815" s="66"/>
    </row>
    <row r="816" ht="14.2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  <c r="AD816" s="66"/>
      <c r="AE816" s="66"/>
      <c r="AF816" s="66"/>
      <c r="AG816" s="66"/>
      <c r="AH816" s="66"/>
      <c r="AI816" s="66"/>
      <c r="AJ816" s="66"/>
      <c r="AK816" s="66"/>
      <c r="AL816" s="66"/>
      <c r="AM816" s="66"/>
      <c r="AN816" s="66"/>
      <c r="AO816" s="66"/>
      <c r="AP816" s="66"/>
      <c r="AQ816" s="66"/>
      <c r="AR816" s="66"/>
      <c r="AS816" s="66"/>
      <c r="AT816" s="66"/>
      <c r="AU816" s="66"/>
      <c r="AV816" s="66"/>
      <c r="AW816" s="66"/>
      <c r="AX816" s="66"/>
      <c r="AY816" s="66"/>
      <c r="AZ816" s="66"/>
      <c r="BA816" s="66"/>
      <c r="BB816" s="66"/>
      <c r="BC816" s="66"/>
    </row>
    <row r="817" ht="14.2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  <c r="AD817" s="66"/>
      <c r="AE817" s="66"/>
      <c r="AF817" s="66"/>
      <c r="AG817" s="66"/>
      <c r="AH817" s="66"/>
      <c r="AI817" s="66"/>
      <c r="AJ817" s="66"/>
      <c r="AK817" s="66"/>
      <c r="AL817" s="66"/>
      <c r="AM817" s="66"/>
      <c r="AN817" s="66"/>
      <c r="AO817" s="66"/>
      <c r="AP817" s="66"/>
      <c r="AQ817" s="66"/>
      <c r="AR817" s="66"/>
      <c r="AS817" s="66"/>
      <c r="AT817" s="66"/>
      <c r="AU817" s="66"/>
      <c r="AV817" s="66"/>
      <c r="AW817" s="66"/>
      <c r="AX817" s="66"/>
      <c r="AY817" s="66"/>
      <c r="AZ817" s="66"/>
      <c r="BA817" s="66"/>
      <c r="BB817" s="66"/>
      <c r="BC817" s="66"/>
    </row>
    <row r="818" ht="14.2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  <c r="AD818" s="66"/>
      <c r="AE818" s="66"/>
      <c r="AF818" s="66"/>
      <c r="AG818" s="66"/>
      <c r="AH818" s="66"/>
      <c r="AI818" s="66"/>
      <c r="AJ818" s="66"/>
      <c r="AK818" s="66"/>
      <c r="AL818" s="66"/>
      <c r="AM818" s="66"/>
      <c r="AN818" s="66"/>
      <c r="AO818" s="66"/>
      <c r="AP818" s="66"/>
      <c r="AQ818" s="66"/>
      <c r="AR818" s="66"/>
      <c r="AS818" s="66"/>
      <c r="AT818" s="66"/>
      <c r="AU818" s="66"/>
      <c r="AV818" s="66"/>
      <c r="AW818" s="66"/>
      <c r="AX818" s="66"/>
      <c r="AY818" s="66"/>
      <c r="AZ818" s="66"/>
      <c r="BA818" s="66"/>
      <c r="BB818" s="66"/>
      <c r="BC818" s="66"/>
    </row>
    <row r="819" ht="14.2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  <c r="AD819" s="66"/>
      <c r="AE819" s="66"/>
      <c r="AF819" s="66"/>
      <c r="AG819" s="66"/>
      <c r="AH819" s="66"/>
      <c r="AI819" s="66"/>
      <c r="AJ819" s="66"/>
      <c r="AK819" s="66"/>
      <c r="AL819" s="66"/>
      <c r="AM819" s="66"/>
      <c r="AN819" s="66"/>
      <c r="AO819" s="66"/>
      <c r="AP819" s="66"/>
      <c r="AQ819" s="66"/>
      <c r="AR819" s="66"/>
      <c r="AS819" s="66"/>
      <c r="AT819" s="66"/>
      <c r="AU819" s="66"/>
      <c r="AV819" s="66"/>
      <c r="AW819" s="66"/>
      <c r="AX819" s="66"/>
      <c r="AY819" s="66"/>
      <c r="AZ819" s="66"/>
      <c r="BA819" s="66"/>
      <c r="BB819" s="66"/>
      <c r="BC819" s="66"/>
    </row>
    <row r="820" ht="14.2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  <c r="AD820" s="66"/>
      <c r="AE820" s="66"/>
      <c r="AF820" s="66"/>
      <c r="AG820" s="66"/>
      <c r="AH820" s="66"/>
      <c r="AI820" s="66"/>
      <c r="AJ820" s="66"/>
      <c r="AK820" s="66"/>
      <c r="AL820" s="66"/>
      <c r="AM820" s="66"/>
      <c r="AN820" s="66"/>
      <c r="AO820" s="66"/>
      <c r="AP820" s="66"/>
      <c r="AQ820" s="66"/>
      <c r="AR820" s="66"/>
      <c r="AS820" s="66"/>
      <c r="AT820" s="66"/>
      <c r="AU820" s="66"/>
      <c r="AV820" s="66"/>
      <c r="AW820" s="66"/>
      <c r="AX820" s="66"/>
      <c r="AY820" s="66"/>
      <c r="AZ820" s="66"/>
      <c r="BA820" s="66"/>
      <c r="BB820" s="66"/>
      <c r="BC820" s="66"/>
    </row>
    <row r="821" ht="14.2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  <c r="AD821" s="66"/>
      <c r="AE821" s="66"/>
      <c r="AF821" s="66"/>
      <c r="AG821" s="66"/>
      <c r="AH821" s="66"/>
      <c r="AI821" s="66"/>
      <c r="AJ821" s="66"/>
      <c r="AK821" s="66"/>
      <c r="AL821" s="66"/>
      <c r="AM821" s="66"/>
      <c r="AN821" s="66"/>
      <c r="AO821" s="66"/>
      <c r="AP821" s="66"/>
      <c r="AQ821" s="66"/>
      <c r="AR821" s="66"/>
      <c r="AS821" s="66"/>
      <c r="AT821" s="66"/>
      <c r="AU821" s="66"/>
      <c r="AV821" s="66"/>
      <c r="AW821" s="66"/>
      <c r="AX821" s="66"/>
      <c r="AY821" s="66"/>
      <c r="AZ821" s="66"/>
      <c r="BA821" s="66"/>
      <c r="BB821" s="66"/>
      <c r="BC821" s="66"/>
    </row>
    <row r="822" ht="14.2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  <c r="AD822" s="66"/>
      <c r="AE822" s="66"/>
      <c r="AF822" s="66"/>
      <c r="AG822" s="66"/>
      <c r="AH822" s="66"/>
      <c r="AI822" s="66"/>
      <c r="AJ822" s="66"/>
      <c r="AK822" s="66"/>
      <c r="AL822" s="66"/>
      <c r="AM822" s="66"/>
      <c r="AN822" s="66"/>
      <c r="AO822" s="66"/>
      <c r="AP822" s="66"/>
      <c r="AQ822" s="66"/>
      <c r="AR822" s="66"/>
      <c r="AS822" s="66"/>
      <c r="AT822" s="66"/>
      <c r="AU822" s="66"/>
      <c r="AV822" s="66"/>
      <c r="AW822" s="66"/>
      <c r="AX822" s="66"/>
      <c r="AY822" s="66"/>
      <c r="AZ822" s="66"/>
      <c r="BA822" s="66"/>
      <c r="BB822" s="66"/>
      <c r="BC822" s="66"/>
    </row>
    <row r="823" ht="14.2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  <c r="AD823" s="66"/>
      <c r="AE823" s="66"/>
      <c r="AF823" s="66"/>
      <c r="AG823" s="66"/>
      <c r="AH823" s="66"/>
      <c r="AI823" s="66"/>
      <c r="AJ823" s="66"/>
      <c r="AK823" s="66"/>
      <c r="AL823" s="66"/>
      <c r="AM823" s="66"/>
      <c r="AN823" s="66"/>
      <c r="AO823" s="66"/>
      <c r="AP823" s="66"/>
      <c r="AQ823" s="66"/>
      <c r="AR823" s="66"/>
      <c r="AS823" s="66"/>
      <c r="AT823" s="66"/>
      <c r="AU823" s="66"/>
      <c r="AV823" s="66"/>
      <c r="AW823" s="66"/>
      <c r="AX823" s="66"/>
      <c r="AY823" s="66"/>
      <c r="AZ823" s="66"/>
      <c r="BA823" s="66"/>
      <c r="BB823" s="66"/>
      <c r="BC823" s="66"/>
    </row>
    <row r="824" ht="14.2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  <c r="AD824" s="66"/>
      <c r="AE824" s="66"/>
      <c r="AF824" s="66"/>
      <c r="AG824" s="66"/>
      <c r="AH824" s="66"/>
      <c r="AI824" s="66"/>
      <c r="AJ824" s="66"/>
      <c r="AK824" s="66"/>
      <c r="AL824" s="66"/>
      <c r="AM824" s="66"/>
      <c r="AN824" s="66"/>
      <c r="AO824" s="66"/>
      <c r="AP824" s="66"/>
      <c r="AQ824" s="66"/>
      <c r="AR824" s="66"/>
      <c r="AS824" s="66"/>
      <c r="AT824" s="66"/>
      <c r="AU824" s="66"/>
      <c r="AV824" s="66"/>
      <c r="AW824" s="66"/>
      <c r="AX824" s="66"/>
      <c r="AY824" s="66"/>
      <c r="AZ824" s="66"/>
      <c r="BA824" s="66"/>
      <c r="BB824" s="66"/>
      <c r="BC824" s="66"/>
    </row>
    <row r="825" ht="14.2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  <c r="AD825" s="66"/>
      <c r="AE825" s="66"/>
      <c r="AF825" s="66"/>
      <c r="AG825" s="66"/>
      <c r="AH825" s="66"/>
      <c r="AI825" s="66"/>
      <c r="AJ825" s="66"/>
      <c r="AK825" s="66"/>
      <c r="AL825" s="66"/>
      <c r="AM825" s="66"/>
      <c r="AN825" s="66"/>
      <c r="AO825" s="66"/>
      <c r="AP825" s="66"/>
      <c r="AQ825" s="66"/>
      <c r="AR825" s="66"/>
      <c r="AS825" s="66"/>
      <c r="AT825" s="66"/>
      <c r="AU825" s="66"/>
      <c r="AV825" s="66"/>
      <c r="AW825" s="66"/>
      <c r="AX825" s="66"/>
      <c r="AY825" s="66"/>
      <c r="AZ825" s="66"/>
      <c r="BA825" s="66"/>
      <c r="BB825" s="66"/>
      <c r="BC825" s="66"/>
    </row>
    <row r="826" ht="14.2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  <c r="AD826" s="66"/>
      <c r="AE826" s="66"/>
      <c r="AF826" s="66"/>
      <c r="AG826" s="66"/>
      <c r="AH826" s="66"/>
      <c r="AI826" s="66"/>
      <c r="AJ826" s="66"/>
      <c r="AK826" s="66"/>
      <c r="AL826" s="66"/>
      <c r="AM826" s="66"/>
      <c r="AN826" s="66"/>
      <c r="AO826" s="66"/>
      <c r="AP826" s="66"/>
      <c r="AQ826" s="66"/>
      <c r="AR826" s="66"/>
      <c r="AS826" s="66"/>
      <c r="AT826" s="66"/>
      <c r="AU826" s="66"/>
      <c r="AV826" s="66"/>
      <c r="AW826" s="66"/>
      <c r="AX826" s="66"/>
      <c r="AY826" s="66"/>
      <c r="AZ826" s="66"/>
      <c r="BA826" s="66"/>
      <c r="BB826" s="66"/>
      <c r="BC826" s="66"/>
    </row>
    <row r="827" ht="14.2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  <c r="AD827" s="66"/>
      <c r="AE827" s="66"/>
      <c r="AF827" s="66"/>
      <c r="AG827" s="66"/>
      <c r="AH827" s="66"/>
      <c r="AI827" s="66"/>
      <c r="AJ827" s="66"/>
      <c r="AK827" s="66"/>
      <c r="AL827" s="66"/>
      <c r="AM827" s="66"/>
      <c r="AN827" s="66"/>
      <c r="AO827" s="66"/>
      <c r="AP827" s="66"/>
      <c r="AQ827" s="66"/>
      <c r="AR827" s="66"/>
      <c r="AS827" s="66"/>
      <c r="AT827" s="66"/>
      <c r="AU827" s="66"/>
      <c r="AV827" s="66"/>
      <c r="AW827" s="66"/>
      <c r="AX827" s="66"/>
      <c r="AY827" s="66"/>
      <c r="AZ827" s="66"/>
      <c r="BA827" s="66"/>
      <c r="BB827" s="66"/>
      <c r="BC827" s="66"/>
    </row>
    <row r="828" ht="14.2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  <c r="AD828" s="66"/>
      <c r="AE828" s="66"/>
      <c r="AF828" s="66"/>
      <c r="AG828" s="66"/>
      <c r="AH828" s="66"/>
      <c r="AI828" s="66"/>
      <c r="AJ828" s="66"/>
      <c r="AK828" s="66"/>
      <c r="AL828" s="66"/>
      <c r="AM828" s="66"/>
      <c r="AN828" s="66"/>
      <c r="AO828" s="66"/>
      <c r="AP828" s="66"/>
      <c r="AQ828" s="66"/>
      <c r="AR828" s="66"/>
      <c r="AS828" s="66"/>
      <c r="AT828" s="66"/>
      <c r="AU828" s="66"/>
      <c r="AV828" s="66"/>
      <c r="AW828" s="66"/>
      <c r="AX828" s="66"/>
      <c r="AY828" s="66"/>
      <c r="AZ828" s="66"/>
      <c r="BA828" s="66"/>
      <c r="BB828" s="66"/>
      <c r="BC828" s="66"/>
    </row>
    <row r="829" ht="14.2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  <c r="AD829" s="66"/>
      <c r="AE829" s="66"/>
      <c r="AF829" s="66"/>
      <c r="AG829" s="66"/>
      <c r="AH829" s="66"/>
      <c r="AI829" s="66"/>
      <c r="AJ829" s="66"/>
      <c r="AK829" s="66"/>
      <c r="AL829" s="66"/>
      <c r="AM829" s="66"/>
      <c r="AN829" s="66"/>
      <c r="AO829" s="66"/>
      <c r="AP829" s="66"/>
      <c r="AQ829" s="66"/>
      <c r="AR829" s="66"/>
      <c r="AS829" s="66"/>
      <c r="AT829" s="66"/>
      <c r="AU829" s="66"/>
      <c r="AV829" s="66"/>
      <c r="AW829" s="66"/>
      <c r="AX829" s="66"/>
      <c r="AY829" s="66"/>
      <c r="AZ829" s="66"/>
      <c r="BA829" s="66"/>
      <c r="BB829" s="66"/>
      <c r="BC829" s="66"/>
    </row>
    <row r="830" ht="14.2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  <c r="AD830" s="66"/>
      <c r="AE830" s="66"/>
      <c r="AF830" s="66"/>
      <c r="AG830" s="66"/>
      <c r="AH830" s="66"/>
      <c r="AI830" s="66"/>
      <c r="AJ830" s="66"/>
      <c r="AK830" s="66"/>
      <c r="AL830" s="66"/>
      <c r="AM830" s="66"/>
      <c r="AN830" s="66"/>
      <c r="AO830" s="66"/>
      <c r="AP830" s="66"/>
      <c r="AQ830" s="66"/>
      <c r="AR830" s="66"/>
      <c r="AS830" s="66"/>
      <c r="AT830" s="66"/>
      <c r="AU830" s="66"/>
      <c r="AV830" s="66"/>
      <c r="AW830" s="66"/>
      <c r="AX830" s="66"/>
      <c r="AY830" s="66"/>
      <c r="AZ830" s="66"/>
      <c r="BA830" s="66"/>
      <c r="BB830" s="66"/>
      <c r="BC830" s="66"/>
    </row>
    <row r="831" ht="14.2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  <c r="AD831" s="66"/>
      <c r="AE831" s="66"/>
      <c r="AF831" s="66"/>
      <c r="AG831" s="66"/>
      <c r="AH831" s="66"/>
      <c r="AI831" s="66"/>
      <c r="AJ831" s="66"/>
      <c r="AK831" s="66"/>
      <c r="AL831" s="66"/>
      <c r="AM831" s="66"/>
      <c r="AN831" s="66"/>
      <c r="AO831" s="66"/>
      <c r="AP831" s="66"/>
      <c r="AQ831" s="66"/>
      <c r="AR831" s="66"/>
      <c r="AS831" s="66"/>
      <c r="AT831" s="66"/>
      <c r="AU831" s="66"/>
      <c r="AV831" s="66"/>
      <c r="AW831" s="66"/>
      <c r="AX831" s="66"/>
      <c r="AY831" s="66"/>
      <c r="AZ831" s="66"/>
      <c r="BA831" s="66"/>
      <c r="BB831" s="66"/>
      <c r="BC831" s="66"/>
    </row>
    <row r="832" ht="14.2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  <c r="AD832" s="66"/>
      <c r="AE832" s="66"/>
      <c r="AF832" s="66"/>
      <c r="AG832" s="66"/>
      <c r="AH832" s="66"/>
      <c r="AI832" s="66"/>
      <c r="AJ832" s="66"/>
      <c r="AK832" s="66"/>
      <c r="AL832" s="66"/>
      <c r="AM832" s="66"/>
      <c r="AN832" s="66"/>
      <c r="AO832" s="66"/>
      <c r="AP832" s="66"/>
      <c r="AQ832" s="66"/>
      <c r="AR832" s="66"/>
      <c r="AS832" s="66"/>
      <c r="AT832" s="66"/>
      <c r="AU832" s="66"/>
      <c r="AV832" s="66"/>
      <c r="AW832" s="66"/>
      <c r="AX832" s="66"/>
      <c r="AY832" s="66"/>
      <c r="AZ832" s="66"/>
      <c r="BA832" s="66"/>
      <c r="BB832" s="66"/>
      <c r="BC832" s="66"/>
    </row>
    <row r="833" ht="14.2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  <c r="AD833" s="66"/>
      <c r="AE833" s="66"/>
      <c r="AF833" s="66"/>
      <c r="AG833" s="66"/>
      <c r="AH833" s="66"/>
      <c r="AI833" s="66"/>
      <c r="AJ833" s="66"/>
      <c r="AK833" s="66"/>
      <c r="AL833" s="66"/>
      <c r="AM833" s="66"/>
      <c r="AN833" s="66"/>
      <c r="AO833" s="66"/>
      <c r="AP833" s="66"/>
      <c r="AQ833" s="66"/>
      <c r="AR833" s="66"/>
      <c r="AS833" s="66"/>
      <c r="AT833" s="66"/>
      <c r="AU833" s="66"/>
      <c r="AV833" s="66"/>
      <c r="AW833" s="66"/>
      <c r="AX833" s="66"/>
      <c r="AY833" s="66"/>
      <c r="AZ833" s="66"/>
      <c r="BA833" s="66"/>
      <c r="BB833" s="66"/>
      <c r="BC833" s="66"/>
    </row>
    <row r="834" ht="14.2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  <c r="AD834" s="66"/>
      <c r="AE834" s="66"/>
      <c r="AF834" s="66"/>
      <c r="AG834" s="66"/>
      <c r="AH834" s="66"/>
      <c r="AI834" s="66"/>
      <c r="AJ834" s="66"/>
      <c r="AK834" s="66"/>
      <c r="AL834" s="66"/>
      <c r="AM834" s="66"/>
      <c r="AN834" s="66"/>
      <c r="AO834" s="66"/>
      <c r="AP834" s="66"/>
      <c r="AQ834" s="66"/>
      <c r="AR834" s="66"/>
      <c r="AS834" s="66"/>
      <c r="AT834" s="66"/>
      <c r="AU834" s="66"/>
      <c r="AV834" s="66"/>
      <c r="AW834" s="66"/>
      <c r="AX834" s="66"/>
      <c r="AY834" s="66"/>
      <c r="AZ834" s="66"/>
      <c r="BA834" s="66"/>
      <c r="BB834" s="66"/>
      <c r="BC834" s="66"/>
    </row>
    <row r="835" ht="14.2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  <c r="AD835" s="66"/>
      <c r="AE835" s="66"/>
      <c r="AF835" s="66"/>
      <c r="AG835" s="66"/>
      <c r="AH835" s="66"/>
      <c r="AI835" s="66"/>
      <c r="AJ835" s="66"/>
      <c r="AK835" s="66"/>
      <c r="AL835" s="66"/>
      <c r="AM835" s="66"/>
      <c r="AN835" s="66"/>
      <c r="AO835" s="66"/>
      <c r="AP835" s="66"/>
      <c r="AQ835" s="66"/>
      <c r="AR835" s="66"/>
      <c r="AS835" s="66"/>
      <c r="AT835" s="66"/>
      <c r="AU835" s="66"/>
      <c r="AV835" s="66"/>
      <c r="AW835" s="66"/>
      <c r="AX835" s="66"/>
      <c r="AY835" s="66"/>
      <c r="AZ835" s="66"/>
      <c r="BA835" s="66"/>
      <c r="BB835" s="66"/>
      <c r="BC835" s="66"/>
    </row>
    <row r="836" ht="14.2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  <c r="AD836" s="66"/>
      <c r="AE836" s="66"/>
      <c r="AF836" s="66"/>
      <c r="AG836" s="66"/>
      <c r="AH836" s="66"/>
      <c r="AI836" s="66"/>
      <c r="AJ836" s="66"/>
      <c r="AK836" s="66"/>
      <c r="AL836" s="66"/>
      <c r="AM836" s="66"/>
      <c r="AN836" s="66"/>
      <c r="AO836" s="66"/>
      <c r="AP836" s="66"/>
      <c r="AQ836" s="66"/>
      <c r="AR836" s="66"/>
      <c r="AS836" s="66"/>
      <c r="AT836" s="66"/>
      <c r="AU836" s="66"/>
      <c r="AV836" s="66"/>
      <c r="AW836" s="66"/>
      <c r="AX836" s="66"/>
      <c r="AY836" s="66"/>
      <c r="AZ836" s="66"/>
      <c r="BA836" s="66"/>
      <c r="BB836" s="66"/>
      <c r="BC836" s="66"/>
    </row>
    <row r="837" ht="14.2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  <c r="AD837" s="66"/>
      <c r="AE837" s="66"/>
      <c r="AF837" s="66"/>
      <c r="AG837" s="66"/>
      <c r="AH837" s="66"/>
      <c r="AI837" s="66"/>
      <c r="AJ837" s="66"/>
      <c r="AK837" s="66"/>
      <c r="AL837" s="66"/>
      <c r="AM837" s="66"/>
      <c r="AN837" s="66"/>
      <c r="AO837" s="66"/>
      <c r="AP837" s="66"/>
      <c r="AQ837" s="66"/>
      <c r="AR837" s="66"/>
      <c r="AS837" s="66"/>
      <c r="AT837" s="66"/>
      <c r="AU837" s="66"/>
      <c r="AV837" s="66"/>
      <c r="AW837" s="66"/>
      <c r="AX837" s="66"/>
      <c r="AY837" s="66"/>
      <c r="AZ837" s="66"/>
      <c r="BA837" s="66"/>
      <c r="BB837" s="66"/>
      <c r="BC837" s="66"/>
    </row>
    <row r="838" ht="14.2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  <c r="AD838" s="66"/>
      <c r="AE838" s="66"/>
      <c r="AF838" s="66"/>
      <c r="AG838" s="66"/>
      <c r="AH838" s="66"/>
      <c r="AI838" s="66"/>
      <c r="AJ838" s="66"/>
      <c r="AK838" s="66"/>
      <c r="AL838" s="66"/>
      <c r="AM838" s="66"/>
      <c r="AN838" s="66"/>
      <c r="AO838" s="66"/>
      <c r="AP838" s="66"/>
      <c r="AQ838" s="66"/>
      <c r="AR838" s="66"/>
      <c r="AS838" s="66"/>
      <c r="AT838" s="66"/>
      <c r="AU838" s="66"/>
      <c r="AV838" s="66"/>
      <c r="AW838" s="66"/>
      <c r="AX838" s="66"/>
      <c r="AY838" s="66"/>
      <c r="AZ838" s="66"/>
      <c r="BA838" s="66"/>
      <c r="BB838" s="66"/>
      <c r="BC838" s="66"/>
    </row>
    <row r="839" ht="14.2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  <c r="AE839" s="66"/>
      <c r="AF839" s="66"/>
      <c r="AG839" s="66"/>
      <c r="AH839" s="66"/>
      <c r="AI839" s="66"/>
      <c r="AJ839" s="66"/>
      <c r="AK839" s="66"/>
      <c r="AL839" s="66"/>
      <c r="AM839" s="66"/>
      <c r="AN839" s="66"/>
      <c r="AO839" s="66"/>
      <c r="AP839" s="66"/>
      <c r="AQ839" s="66"/>
      <c r="AR839" s="66"/>
      <c r="AS839" s="66"/>
      <c r="AT839" s="66"/>
      <c r="AU839" s="66"/>
      <c r="AV839" s="66"/>
      <c r="AW839" s="66"/>
      <c r="AX839" s="66"/>
      <c r="AY839" s="66"/>
      <c r="AZ839" s="66"/>
      <c r="BA839" s="66"/>
      <c r="BB839" s="66"/>
      <c r="BC839" s="66"/>
    </row>
    <row r="840" ht="14.2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  <c r="AE840" s="66"/>
      <c r="AF840" s="66"/>
      <c r="AG840" s="66"/>
      <c r="AH840" s="66"/>
      <c r="AI840" s="66"/>
      <c r="AJ840" s="66"/>
      <c r="AK840" s="66"/>
      <c r="AL840" s="66"/>
      <c r="AM840" s="66"/>
      <c r="AN840" s="66"/>
      <c r="AO840" s="66"/>
      <c r="AP840" s="66"/>
      <c r="AQ840" s="66"/>
      <c r="AR840" s="66"/>
      <c r="AS840" s="66"/>
      <c r="AT840" s="66"/>
      <c r="AU840" s="66"/>
      <c r="AV840" s="66"/>
      <c r="AW840" s="66"/>
      <c r="AX840" s="66"/>
      <c r="AY840" s="66"/>
      <c r="AZ840" s="66"/>
      <c r="BA840" s="66"/>
      <c r="BB840" s="66"/>
      <c r="BC840" s="66"/>
    </row>
    <row r="841" ht="14.2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  <c r="AE841" s="66"/>
      <c r="AF841" s="66"/>
      <c r="AG841" s="66"/>
      <c r="AH841" s="66"/>
      <c r="AI841" s="66"/>
      <c r="AJ841" s="66"/>
      <c r="AK841" s="66"/>
      <c r="AL841" s="66"/>
      <c r="AM841" s="66"/>
      <c r="AN841" s="66"/>
      <c r="AO841" s="66"/>
      <c r="AP841" s="66"/>
      <c r="AQ841" s="66"/>
      <c r="AR841" s="66"/>
      <c r="AS841" s="66"/>
      <c r="AT841" s="66"/>
      <c r="AU841" s="66"/>
      <c r="AV841" s="66"/>
      <c r="AW841" s="66"/>
      <c r="AX841" s="66"/>
      <c r="AY841" s="66"/>
      <c r="AZ841" s="66"/>
      <c r="BA841" s="66"/>
      <c r="BB841" s="66"/>
      <c r="BC841" s="66"/>
    </row>
    <row r="842" ht="14.2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  <c r="AD842" s="66"/>
      <c r="AE842" s="66"/>
      <c r="AF842" s="66"/>
      <c r="AG842" s="66"/>
      <c r="AH842" s="66"/>
      <c r="AI842" s="66"/>
      <c r="AJ842" s="66"/>
      <c r="AK842" s="66"/>
      <c r="AL842" s="66"/>
      <c r="AM842" s="66"/>
      <c r="AN842" s="66"/>
      <c r="AO842" s="66"/>
      <c r="AP842" s="66"/>
      <c r="AQ842" s="66"/>
      <c r="AR842" s="66"/>
      <c r="AS842" s="66"/>
      <c r="AT842" s="66"/>
      <c r="AU842" s="66"/>
      <c r="AV842" s="66"/>
      <c r="AW842" s="66"/>
      <c r="AX842" s="66"/>
      <c r="AY842" s="66"/>
      <c r="AZ842" s="66"/>
      <c r="BA842" s="66"/>
      <c r="BB842" s="66"/>
      <c r="BC842" s="66"/>
    </row>
    <row r="843" ht="14.2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  <c r="AD843" s="66"/>
      <c r="AE843" s="66"/>
      <c r="AF843" s="66"/>
      <c r="AG843" s="66"/>
      <c r="AH843" s="66"/>
      <c r="AI843" s="66"/>
      <c r="AJ843" s="66"/>
      <c r="AK843" s="66"/>
      <c r="AL843" s="66"/>
      <c r="AM843" s="66"/>
      <c r="AN843" s="66"/>
      <c r="AO843" s="66"/>
      <c r="AP843" s="66"/>
      <c r="AQ843" s="66"/>
      <c r="AR843" s="66"/>
      <c r="AS843" s="66"/>
      <c r="AT843" s="66"/>
      <c r="AU843" s="66"/>
      <c r="AV843" s="66"/>
      <c r="AW843" s="66"/>
      <c r="AX843" s="66"/>
      <c r="AY843" s="66"/>
      <c r="AZ843" s="66"/>
      <c r="BA843" s="66"/>
      <c r="BB843" s="66"/>
      <c r="BC843" s="66"/>
    </row>
    <row r="844" ht="14.2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  <c r="AD844" s="66"/>
      <c r="AE844" s="66"/>
      <c r="AF844" s="66"/>
      <c r="AG844" s="66"/>
      <c r="AH844" s="66"/>
      <c r="AI844" s="66"/>
      <c r="AJ844" s="66"/>
      <c r="AK844" s="66"/>
      <c r="AL844" s="66"/>
      <c r="AM844" s="66"/>
      <c r="AN844" s="66"/>
      <c r="AO844" s="66"/>
      <c r="AP844" s="66"/>
      <c r="AQ844" s="66"/>
      <c r="AR844" s="66"/>
      <c r="AS844" s="66"/>
      <c r="AT844" s="66"/>
      <c r="AU844" s="66"/>
      <c r="AV844" s="66"/>
      <c r="AW844" s="66"/>
      <c r="AX844" s="66"/>
      <c r="AY844" s="66"/>
      <c r="AZ844" s="66"/>
      <c r="BA844" s="66"/>
      <c r="BB844" s="66"/>
      <c r="BC844" s="66"/>
    </row>
    <row r="845" ht="14.2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  <c r="AD845" s="66"/>
      <c r="AE845" s="66"/>
      <c r="AF845" s="66"/>
      <c r="AG845" s="66"/>
      <c r="AH845" s="66"/>
      <c r="AI845" s="66"/>
      <c r="AJ845" s="66"/>
      <c r="AK845" s="66"/>
      <c r="AL845" s="66"/>
      <c r="AM845" s="66"/>
      <c r="AN845" s="66"/>
      <c r="AO845" s="66"/>
      <c r="AP845" s="66"/>
      <c r="AQ845" s="66"/>
      <c r="AR845" s="66"/>
      <c r="AS845" s="66"/>
      <c r="AT845" s="66"/>
      <c r="AU845" s="66"/>
      <c r="AV845" s="66"/>
      <c r="AW845" s="66"/>
      <c r="AX845" s="66"/>
      <c r="AY845" s="66"/>
      <c r="AZ845" s="66"/>
      <c r="BA845" s="66"/>
      <c r="BB845" s="66"/>
      <c r="BC845" s="66"/>
    </row>
    <row r="846" ht="14.2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  <c r="AD846" s="66"/>
      <c r="AE846" s="66"/>
      <c r="AF846" s="66"/>
      <c r="AG846" s="66"/>
      <c r="AH846" s="66"/>
      <c r="AI846" s="66"/>
      <c r="AJ846" s="66"/>
      <c r="AK846" s="66"/>
      <c r="AL846" s="66"/>
      <c r="AM846" s="66"/>
      <c r="AN846" s="66"/>
      <c r="AO846" s="66"/>
      <c r="AP846" s="66"/>
      <c r="AQ846" s="66"/>
      <c r="AR846" s="66"/>
      <c r="AS846" s="66"/>
      <c r="AT846" s="66"/>
      <c r="AU846" s="66"/>
      <c r="AV846" s="66"/>
      <c r="AW846" s="66"/>
      <c r="AX846" s="66"/>
      <c r="AY846" s="66"/>
      <c r="AZ846" s="66"/>
      <c r="BA846" s="66"/>
      <c r="BB846" s="66"/>
      <c r="BC846" s="66"/>
    </row>
    <row r="847" ht="14.2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  <c r="AD847" s="66"/>
      <c r="AE847" s="66"/>
      <c r="AF847" s="66"/>
      <c r="AG847" s="66"/>
      <c r="AH847" s="66"/>
      <c r="AI847" s="66"/>
      <c r="AJ847" s="66"/>
      <c r="AK847" s="66"/>
      <c r="AL847" s="66"/>
      <c r="AM847" s="66"/>
      <c r="AN847" s="66"/>
      <c r="AO847" s="66"/>
      <c r="AP847" s="66"/>
      <c r="AQ847" s="66"/>
      <c r="AR847" s="66"/>
      <c r="AS847" s="66"/>
      <c r="AT847" s="66"/>
      <c r="AU847" s="66"/>
      <c r="AV847" s="66"/>
      <c r="AW847" s="66"/>
      <c r="AX847" s="66"/>
      <c r="AY847" s="66"/>
      <c r="AZ847" s="66"/>
      <c r="BA847" s="66"/>
      <c r="BB847" s="66"/>
      <c r="BC847" s="66"/>
    </row>
    <row r="848" ht="14.2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  <c r="AD848" s="66"/>
      <c r="AE848" s="66"/>
      <c r="AF848" s="66"/>
      <c r="AG848" s="66"/>
      <c r="AH848" s="66"/>
      <c r="AI848" s="66"/>
      <c r="AJ848" s="66"/>
      <c r="AK848" s="66"/>
      <c r="AL848" s="66"/>
      <c r="AM848" s="66"/>
      <c r="AN848" s="66"/>
      <c r="AO848" s="66"/>
      <c r="AP848" s="66"/>
      <c r="AQ848" s="66"/>
      <c r="AR848" s="66"/>
      <c r="AS848" s="66"/>
      <c r="AT848" s="66"/>
      <c r="AU848" s="66"/>
      <c r="AV848" s="66"/>
      <c r="AW848" s="66"/>
      <c r="AX848" s="66"/>
      <c r="AY848" s="66"/>
      <c r="AZ848" s="66"/>
      <c r="BA848" s="66"/>
      <c r="BB848" s="66"/>
      <c r="BC848" s="66"/>
    </row>
    <row r="849" ht="14.2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  <c r="AD849" s="66"/>
      <c r="AE849" s="66"/>
      <c r="AF849" s="66"/>
      <c r="AG849" s="66"/>
      <c r="AH849" s="66"/>
      <c r="AI849" s="66"/>
      <c r="AJ849" s="66"/>
      <c r="AK849" s="66"/>
      <c r="AL849" s="66"/>
      <c r="AM849" s="66"/>
      <c r="AN849" s="66"/>
      <c r="AO849" s="66"/>
      <c r="AP849" s="66"/>
      <c r="AQ849" s="66"/>
      <c r="AR849" s="66"/>
      <c r="AS849" s="66"/>
      <c r="AT849" s="66"/>
      <c r="AU849" s="66"/>
      <c r="AV849" s="66"/>
      <c r="AW849" s="66"/>
      <c r="AX849" s="66"/>
      <c r="AY849" s="66"/>
      <c r="AZ849" s="66"/>
      <c r="BA849" s="66"/>
      <c r="BB849" s="66"/>
      <c r="BC849" s="66"/>
    </row>
    <row r="850" ht="14.2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  <c r="AD850" s="66"/>
      <c r="AE850" s="66"/>
      <c r="AF850" s="66"/>
      <c r="AG850" s="66"/>
      <c r="AH850" s="66"/>
      <c r="AI850" s="66"/>
      <c r="AJ850" s="66"/>
      <c r="AK850" s="66"/>
      <c r="AL850" s="66"/>
      <c r="AM850" s="66"/>
      <c r="AN850" s="66"/>
      <c r="AO850" s="66"/>
      <c r="AP850" s="66"/>
      <c r="AQ850" s="66"/>
      <c r="AR850" s="66"/>
      <c r="AS850" s="66"/>
      <c r="AT850" s="66"/>
      <c r="AU850" s="66"/>
      <c r="AV850" s="66"/>
      <c r="AW850" s="66"/>
      <c r="AX850" s="66"/>
      <c r="AY850" s="66"/>
      <c r="AZ850" s="66"/>
      <c r="BA850" s="66"/>
      <c r="BB850" s="66"/>
      <c r="BC850" s="66"/>
    </row>
    <row r="851" ht="14.2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  <c r="AD851" s="66"/>
      <c r="AE851" s="66"/>
      <c r="AF851" s="66"/>
      <c r="AG851" s="66"/>
      <c r="AH851" s="66"/>
      <c r="AI851" s="66"/>
      <c r="AJ851" s="66"/>
      <c r="AK851" s="66"/>
      <c r="AL851" s="66"/>
      <c r="AM851" s="66"/>
      <c r="AN851" s="66"/>
      <c r="AO851" s="66"/>
      <c r="AP851" s="66"/>
      <c r="AQ851" s="66"/>
      <c r="AR851" s="66"/>
      <c r="AS851" s="66"/>
      <c r="AT851" s="66"/>
      <c r="AU851" s="66"/>
      <c r="AV851" s="66"/>
      <c r="AW851" s="66"/>
      <c r="AX851" s="66"/>
      <c r="AY851" s="66"/>
      <c r="AZ851" s="66"/>
      <c r="BA851" s="66"/>
      <c r="BB851" s="66"/>
      <c r="BC851" s="66"/>
    </row>
    <row r="852" ht="14.2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  <c r="AD852" s="66"/>
      <c r="AE852" s="66"/>
      <c r="AF852" s="66"/>
      <c r="AG852" s="66"/>
      <c r="AH852" s="66"/>
      <c r="AI852" s="66"/>
      <c r="AJ852" s="66"/>
      <c r="AK852" s="66"/>
      <c r="AL852" s="66"/>
      <c r="AM852" s="66"/>
      <c r="AN852" s="66"/>
      <c r="AO852" s="66"/>
      <c r="AP852" s="66"/>
      <c r="AQ852" s="66"/>
      <c r="AR852" s="66"/>
      <c r="AS852" s="66"/>
      <c r="AT852" s="66"/>
      <c r="AU852" s="66"/>
      <c r="AV852" s="66"/>
      <c r="AW852" s="66"/>
      <c r="AX852" s="66"/>
      <c r="AY852" s="66"/>
      <c r="AZ852" s="66"/>
      <c r="BA852" s="66"/>
      <c r="BB852" s="66"/>
      <c r="BC852" s="66"/>
    </row>
    <row r="853" ht="14.2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  <c r="AD853" s="66"/>
      <c r="AE853" s="66"/>
      <c r="AF853" s="66"/>
      <c r="AG853" s="66"/>
      <c r="AH853" s="66"/>
      <c r="AI853" s="66"/>
      <c r="AJ853" s="66"/>
      <c r="AK853" s="66"/>
      <c r="AL853" s="66"/>
      <c r="AM853" s="66"/>
      <c r="AN853" s="66"/>
      <c r="AO853" s="66"/>
      <c r="AP853" s="66"/>
      <c r="AQ853" s="66"/>
      <c r="AR853" s="66"/>
      <c r="AS853" s="66"/>
      <c r="AT853" s="66"/>
      <c r="AU853" s="66"/>
      <c r="AV853" s="66"/>
      <c r="AW853" s="66"/>
      <c r="AX853" s="66"/>
      <c r="AY853" s="66"/>
      <c r="AZ853" s="66"/>
      <c r="BA853" s="66"/>
      <c r="BB853" s="66"/>
      <c r="BC853" s="66"/>
    </row>
    <row r="854" ht="14.2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  <c r="AD854" s="66"/>
      <c r="AE854" s="66"/>
      <c r="AF854" s="66"/>
      <c r="AG854" s="66"/>
      <c r="AH854" s="66"/>
      <c r="AI854" s="66"/>
      <c r="AJ854" s="66"/>
      <c r="AK854" s="66"/>
      <c r="AL854" s="66"/>
      <c r="AM854" s="66"/>
      <c r="AN854" s="66"/>
      <c r="AO854" s="66"/>
      <c r="AP854" s="66"/>
      <c r="AQ854" s="66"/>
      <c r="AR854" s="66"/>
      <c r="AS854" s="66"/>
      <c r="AT854" s="66"/>
      <c r="AU854" s="66"/>
      <c r="AV854" s="66"/>
      <c r="AW854" s="66"/>
      <c r="AX854" s="66"/>
      <c r="AY854" s="66"/>
      <c r="AZ854" s="66"/>
      <c r="BA854" s="66"/>
      <c r="BB854" s="66"/>
      <c r="BC854" s="66"/>
    </row>
    <row r="855" ht="14.2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  <c r="AD855" s="66"/>
      <c r="AE855" s="66"/>
      <c r="AF855" s="66"/>
      <c r="AG855" s="66"/>
      <c r="AH855" s="66"/>
      <c r="AI855" s="66"/>
      <c r="AJ855" s="66"/>
      <c r="AK855" s="66"/>
      <c r="AL855" s="66"/>
      <c r="AM855" s="66"/>
      <c r="AN855" s="66"/>
      <c r="AO855" s="66"/>
      <c r="AP855" s="66"/>
      <c r="AQ855" s="66"/>
      <c r="AR855" s="66"/>
      <c r="AS855" s="66"/>
      <c r="AT855" s="66"/>
      <c r="AU855" s="66"/>
      <c r="AV855" s="66"/>
      <c r="AW855" s="66"/>
      <c r="AX855" s="66"/>
      <c r="AY855" s="66"/>
      <c r="AZ855" s="66"/>
      <c r="BA855" s="66"/>
      <c r="BB855" s="66"/>
      <c r="BC855" s="66"/>
    </row>
    <row r="856" ht="14.2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  <c r="AD856" s="66"/>
      <c r="AE856" s="66"/>
      <c r="AF856" s="66"/>
      <c r="AG856" s="66"/>
      <c r="AH856" s="66"/>
      <c r="AI856" s="66"/>
      <c r="AJ856" s="66"/>
      <c r="AK856" s="66"/>
      <c r="AL856" s="66"/>
      <c r="AM856" s="66"/>
      <c r="AN856" s="66"/>
      <c r="AO856" s="66"/>
      <c r="AP856" s="66"/>
      <c r="AQ856" s="66"/>
      <c r="AR856" s="66"/>
      <c r="AS856" s="66"/>
      <c r="AT856" s="66"/>
      <c r="AU856" s="66"/>
      <c r="AV856" s="66"/>
      <c r="AW856" s="66"/>
      <c r="AX856" s="66"/>
      <c r="AY856" s="66"/>
      <c r="AZ856" s="66"/>
      <c r="BA856" s="66"/>
      <c r="BB856" s="66"/>
      <c r="BC856" s="66"/>
    </row>
    <row r="857" ht="14.2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  <c r="AD857" s="66"/>
      <c r="AE857" s="66"/>
      <c r="AF857" s="66"/>
      <c r="AG857" s="66"/>
      <c r="AH857" s="66"/>
      <c r="AI857" s="66"/>
      <c r="AJ857" s="66"/>
      <c r="AK857" s="66"/>
      <c r="AL857" s="66"/>
      <c r="AM857" s="66"/>
      <c r="AN857" s="66"/>
      <c r="AO857" s="66"/>
      <c r="AP857" s="66"/>
      <c r="AQ857" s="66"/>
      <c r="AR857" s="66"/>
      <c r="AS857" s="66"/>
      <c r="AT857" s="66"/>
      <c r="AU857" s="66"/>
      <c r="AV857" s="66"/>
      <c r="AW857" s="66"/>
      <c r="AX857" s="66"/>
      <c r="AY857" s="66"/>
      <c r="AZ857" s="66"/>
      <c r="BA857" s="66"/>
      <c r="BB857" s="66"/>
      <c r="BC857" s="66"/>
    </row>
    <row r="858" ht="14.2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  <c r="AD858" s="66"/>
      <c r="AE858" s="66"/>
      <c r="AF858" s="66"/>
      <c r="AG858" s="66"/>
      <c r="AH858" s="66"/>
      <c r="AI858" s="66"/>
      <c r="AJ858" s="66"/>
      <c r="AK858" s="66"/>
      <c r="AL858" s="66"/>
      <c r="AM858" s="66"/>
      <c r="AN858" s="66"/>
      <c r="AO858" s="66"/>
      <c r="AP858" s="66"/>
      <c r="AQ858" s="66"/>
      <c r="AR858" s="66"/>
      <c r="AS858" s="66"/>
      <c r="AT858" s="66"/>
      <c r="AU858" s="66"/>
      <c r="AV858" s="66"/>
      <c r="AW858" s="66"/>
      <c r="AX858" s="66"/>
      <c r="AY858" s="66"/>
      <c r="AZ858" s="66"/>
      <c r="BA858" s="66"/>
      <c r="BB858" s="66"/>
      <c r="BC858" s="66"/>
    </row>
    <row r="859" ht="14.2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  <c r="AD859" s="66"/>
      <c r="AE859" s="66"/>
      <c r="AF859" s="66"/>
      <c r="AG859" s="66"/>
      <c r="AH859" s="66"/>
      <c r="AI859" s="66"/>
      <c r="AJ859" s="66"/>
      <c r="AK859" s="66"/>
      <c r="AL859" s="66"/>
      <c r="AM859" s="66"/>
      <c r="AN859" s="66"/>
      <c r="AO859" s="66"/>
      <c r="AP859" s="66"/>
      <c r="AQ859" s="66"/>
      <c r="AR859" s="66"/>
      <c r="AS859" s="66"/>
      <c r="AT859" s="66"/>
      <c r="AU859" s="66"/>
      <c r="AV859" s="66"/>
      <c r="AW859" s="66"/>
      <c r="AX859" s="66"/>
      <c r="AY859" s="66"/>
      <c r="AZ859" s="66"/>
      <c r="BA859" s="66"/>
      <c r="BB859" s="66"/>
      <c r="BC859" s="66"/>
    </row>
    <row r="860" ht="14.2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  <c r="AD860" s="66"/>
      <c r="AE860" s="66"/>
      <c r="AF860" s="66"/>
      <c r="AG860" s="66"/>
      <c r="AH860" s="66"/>
      <c r="AI860" s="66"/>
      <c r="AJ860" s="66"/>
      <c r="AK860" s="66"/>
      <c r="AL860" s="66"/>
      <c r="AM860" s="66"/>
      <c r="AN860" s="66"/>
      <c r="AO860" s="66"/>
      <c r="AP860" s="66"/>
      <c r="AQ860" s="66"/>
      <c r="AR860" s="66"/>
      <c r="AS860" s="66"/>
      <c r="AT860" s="66"/>
      <c r="AU860" s="66"/>
      <c r="AV860" s="66"/>
      <c r="AW860" s="66"/>
      <c r="AX860" s="66"/>
      <c r="AY860" s="66"/>
      <c r="AZ860" s="66"/>
      <c r="BA860" s="66"/>
      <c r="BB860" s="66"/>
      <c r="BC860" s="66"/>
    </row>
    <row r="861" ht="14.2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  <c r="AD861" s="66"/>
      <c r="AE861" s="66"/>
      <c r="AF861" s="66"/>
      <c r="AG861" s="66"/>
      <c r="AH861" s="66"/>
      <c r="AI861" s="66"/>
      <c r="AJ861" s="66"/>
      <c r="AK861" s="66"/>
      <c r="AL861" s="66"/>
      <c r="AM861" s="66"/>
      <c r="AN861" s="66"/>
      <c r="AO861" s="66"/>
      <c r="AP861" s="66"/>
      <c r="AQ861" s="66"/>
      <c r="AR861" s="66"/>
      <c r="AS861" s="66"/>
      <c r="AT861" s="66"/>
      <c r="AU861" s="66"/>
      <c r="AV861" s="66"/>
      <c r="AW861" s="66"/>
      <c r="AX861" s="66"/>
      <c r="AY861" s="66"/>
      <c r="AZ861" s="66"/>
      <c r="BA861" s="66"/>
      <c r="BB861" s="66"/>
      <c r="BC861" s="66"/>
    </row>
    <row r="862" ht="14.2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  <c r="AD862" s="66"/>
      <c r="AE862" s="66"/>
      <c r="AF862" s="66"/>
      <c r="AG862" s="66"/>
      <c r="AH862" s="66"/>
      <c r="AI862" s="66"/>
      <c r="AJ862" s="66"/>
      <c r="AK862" s="66"/>
      <c r="AL862" s="66"/>
      <c r="AM862" s="66"/>
      <c r="AN862" s="66"/>
      <c r="AO862" s="66"/>
      <c r="AP862" s="66"/>
      <c r="AQ862" s="66"/>
      <c r="AR862" s="66"/>
      <c r="AS862" s="66"/>
      <c r="AT862" s="66"/>
      <c r="AU862" s="66"/>
      <c r="AV862" s="66"/>
      <c r="AW862" s="66"/>
      <c r="AX862" s="66"/>
      <c r="AY862" s="66"/>
      <c r="AZ862" s="66"/>
      <c r="BA862" s="66"/>
      <c r="BB862" s="66"/>
      <c r="BC862" s="66"/>
    </row>
    <row r="863" ht="14.2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  <c r="AD863" s="66"/>
      <c r="AE863" s="66"/>
      <c r="AF863" s="66"/>
      <c r="AG863" s="66"/>
      <c r="AH863" s="66"/>
      <c r="AI863" s="66"/>
      <c r="AJ863" s="66"/>
      <c r="AK863" s="66"/>
      <c r="AL863" s="66"/>
      <c r="AM863" s="66"/>
      <c r="AN863" s="66"/>
      <c r="AO863" s="66"/>
      <c r="AP863" s="66"/>
      <c r="AQ863" s="66"/>
      <c r="AR863" s="66"/>
      <c r="AS863" s="66"/>
      <c r="AT863" s="66"/>
      <c r="AU863" s="66"/>
      <c r="AV863" s="66"/>
      <c r="AW863" s="66"/>
      <c r="AX863" s="66"/>
      <c r="AY863" s="66"/>
      <c r="AZ863" s="66"/>
      <c r="BA863" s="66"/>
      <c r="BB863" s="66"/>
      <c r="BC863" s="66"/>
    </row>
    <row r="864" ht="14.2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  <c r="AD864" s="66"/>
      <c r="AE864" s="66"/>
      <c r="AF864" s="66"/>
      <c r="AG864" s="66"/>
      <c r="AH864" s="66"/>
      <c r="AI864" s="66"/>
      <c r="AJ864" s="66"/>
      <c r="AK864" s="66"/>
      <c r="AL864" s="66"/>
      <c r="AM864" s="66"/>
      <c r="AN864" s="66"/>
      <c r="AO864" s="66"/>
      <c r="AP864" s="66"/>
      <c r="AQ864" s="66"/>
      <c r="AR864" s="66"/>
      <c r="AS864" s="66"/>
      <c r="AT864" s="66"/>
      <c r="AU864" s="66"/>
      <c r="AV864" s="66"/>
      <c r="AW864" s="66"/>
      <c r="AX864" s="66"/>
      <c r="AY864" s="66"/>
      <c r="AZ864" s="66"/>
      <c r="BA864" s="66"/>
      <c r="BB864" s="66"/>
      <c r="BC864" s="66"/>
    </row>
    <row r="865" ht="14.2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  <c r="AD865" s="66"/>
      <c r="AE865" s="66"/>
      <c r="AF865" s="66"/>
      <c r="AG865" s="66"/>
      <c r="AH865" s="66"/>
      <c r="AI865" s="66"/>
      <c r="AJ865" s="66"/>
      <c r="AK865" s="66"/>
      <c r="AL865" s="66"/>
      <c r="AM865" s="66"/>
      <c r="AN865" s="66"/>
      <c r="AO865" s="66"/>
      <c r="AP865" s="66"/>
      <c r="AQ865" s="66"/>
      <c r="AR865" s="66"/>
      <c r="AS865" s="66"/>
      <c r="AT865" s="66"/>
      <c r="AU865" s="66"/>
      <c r="AV865" s="66"/>
      <c r="AW865" s="66"/>
      <c r="AX865" s="66"/>
      <c r="AY865" s="66"/>
      <c r="AZ865" s="66"/>
      <c r="BA865" s="66"/>
      <c r="BB865" s="66"/>
      <c r="BC865" s="66"/>
    </row>
    <row r="866" ht="14.2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6"/>
      <c r="AE866" s="66"/>
      <c r="AF866" s="66"/>
      <c r="AG866" s="66"/>
      <c r="AH866" s="66"/>
      <c r="AI866" s="66"/>
      <c r="AJ866" s="66"/>
      <c r="AK866" s="66"/>
      <c r="AL866" s="66"/>
      <c r="AM866" s="66"/>
      <c r="AN866" s="66"/>
      <c r="AO866" s="66"/>
      <c r="AP866" s="66"/>
      <c r="AQ866" s="66"/>
      <c r="AR866" s="66"/>
      <c r="AS866" s="66"/>
      <c r="AT866" s="66"/>
      <c r="AU866" s="66"/>
      <c r="AV866" s="66"/>
      <c r="AW866" s="66"/>
      <c r="AX866" s="66"/>
      <c r="AY866" s="66"/>
      <c r="AZ866" s="66"/>
      <c r="BA866" s="66"/>
      <c r="BB866" s="66"/>
      <c r="BC866" s="66"/>
    </row>
    <row r="867" ht="14.2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  <c r="AD867" s="66"/>
      <c r="AE867" s="66"/>
      <c r="AF867" s="66"/>
      <c r="AG867" s="66"/>
      <c r="AH867" s="66"/>
      <c r="AI867" s="66"/>
      <c r="AJ867" s="66"/>
      <c r="AK867" s="66"/>
      <c r="AL867" s="66"/>
      <c r="AM867" s="66"/>
      <c r="AN867" s="66"/>
      <c r="AO867" s="66"/>
      <c r="AP867" s="66"/>
      <c r="AQ867" s="66"/>
      <c r="AR867" s="66"/>
      <c r="AS867" s="66"/>
      <c r="AT867" s="66"/>
      <c r="AU867" s="66"/>
      <c r="AV867" s="66"/>
      <c r="AW867" s="66"/>
      <c r="AX867" s="66"/>
      <c r="AY867" s="66"/>
      <c r="AZ867" s="66"/>
      <c r="BA867" s="66"/>
      <c r="BB867" s="66"/>
      <c r="BC867" s="66"/>
    </row>
    <row r="868" ht="14.2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  <c r="AD868" s="66"/>
      <c r="AE868" s="66"/>
      <c r="AF868" s="66"/>
      <c r="AG868" s="66"/>
      <c r="AH868" s="66"/>
      <c r="AI868" s="66"/>
      <c r="AJ868" s="66"/>
      <c r="AK868" s="66"/>
      <c r="AL868" s="66"/>
      <c r="AM868" s="66"/>
      <c r="AN868" s="66"/>
      <c r="AO868" s="66"/>
      <c r="AP868" s="66"/>
      <c r="AQ868" s="66"/>
      <c r="AR868" s="66"/>
      <c r="AS868" s="66"/>
      <c r="AT868" s="66"/>
      <c r="AU868" s="66"/>
      <c r="AV868" s="66"/>
      <c r="AW868" s="66"/>
      <c r="AX868" s="66"/>
      <c r="AY868" s="66"/>
      <c r="AZ868" s="66"/>
      <c r="BA868" s="66"/>
      <c r="BB868" s="66"/>
      <c r="BC868" s="66"/>
    </row>
    <row r="869" ht="14.2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  <c r="AD869" s="66"/>
      <c r="AE869" s="66"/>
      <c r="AF869" s="66"/>
      <c r="AG869" s="66"/>
      <c r="AH869" s="66"/>
      <c r="AI869" s="66"/>
      <c r="AJ869" s="66"/>
      <c r="AK869" s="66"/>
      <c r="AL869" s="66"/>
      <c r="AM869" s="66"/>
      <c r="AN869" s="66"/>
      <c r="AO869" s="66"/>
      <c r="AP869" s="66"/>
      <c r="AQ869" s="66"/>
      <c r="AR869" s="66"/>
      <c r="AS869" s="66"/>
      <c r="AT869" s="66"/>
      <c r="AU869" s="66"/>
      <c r="AV869" s="66"/>
      <c r="AW869" s="66"/>
      <c r="AX869" s="66"/>
      <c r="AY869" s="66"/>
      <c r="AZ869" s="66"/>
      <c r="BA869" s="66"/>
      <c r="BB869" s="66"/>
      <c r="BC869" s="66"/>
    </row>
    <row r="870" ht="14.2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  <c r="AD870" s="66"/>
      <c r="AE870" s="66"/>
      <c r="AF870" s="66"/>
      <c r="AG870" s="66"/>
      <c r="AH870" s="66"/>
      <c r="AI870" s="66"/>
      <c r="AJ870" s="66"/>
      <c r="AK870" s="66"/>
      <c r="AL870" s="66"/>
      <c r="AM870" s="66"/>
      <c r="AN870" s="66"/>
      <c r="AO870" s="66"/>
      <c r="AP870" s="66"/>
      <c r="AQ870" s="66"/>
      <c r="AR870" s="66"/>
      <c r="AS870" s="66"/>
      <c r="AT870" s="66"/>
      <c r="AU870" s="66"/>
      <c r="AV870" s="66"/>
      <c r="AW870" s="66"/>
      <c r="AX870" s="66"/>
      <c r="AY870" s="66"/>
      <c r="AZ870" s="66"/>
      <c r="BA870" s="66"/>
      <c r="BB870" s="66"/>
      <c r="BC870" s="66"/>
    </row>
    <row r="871" ht="14.2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  <c r="AD871" s="66"/>
      <c r="AE871" s="66"/>
      <c r="AF871" s="66"/>
      <c r="AG871" s="66"/>
      <c r="AH871" s="66"/>
      <c r="AI871" s="66"/>
      <c r="AJ871" s="66"/>
      <c r="AK871" s="66"/>
      <c r="AL871" s="66"/>
      <c r="AM871" s="66"/>
      <c r="AN871" s="66"/>
      <c r="AO871" s="66"/>
      <c r="AP871" s="66"/>
      <c r="AQ871" s="66"/>
      <c r="AR871" s="66"/>
      <c r="AS871" s="66"/>
      <c r="AT871" s="66"/>
      <c r="AU871" s="66"/>
      <c r="AV871" s="66"/>
      <c r="AW871" s="66"/>
      <c r="AX871" s="66"/>
      <c r="AY871" s="66"/>
      <c r="AZ871" s="66"/>
      <c r="BA871" s="66"/>
      <c r="BB871" s="66"/>
      <c r="BC871" s="66"/>
    </row>
    <row r="872" ht="14.2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  <c r="AD872" s="66"/>
      <c r="AE872" s="66"/>
      <c r="AF872" s="66"/>
      <c r="AG872" s="66"/>
      <c r="AH872" s="66"/>
      <c r="AI872" s="66"/>
      <c r="AJ872" s="66"/>
      <c r="AK872" s="66"/>
      <c r="AL872" s="66"/>
      <c r="AM872" s="66"/>
      <c r="AN872" s="66"/>
      <c r="AO872" s="66"/>
      <c r="AP872" s="66"/>
      <c r="AQ872" s="66"/>
      <c r="AR872" s="66"/>
      <c r="AS872" s="66"/>
      <c r="AT872" s="66"/>
      <c r="AU872" s="66"/>
      <c r="AV872" s="66"/>
      <c r="AW872" s="66"/>
      <c r="AX872" s="66"/>
      <c r="AY872" s="66"/>
      <c r="AZ872" s="66"/>
      <c r="BA872" s="66"/>
      <c r="BB872" s="66"/>
      <c r="BC872" s="66"/>
    </row>
    <row r="873" ht="14.2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  <c r="AD873" s="66"/>
      <c r="AE873" s="66"/>
      <c r="AF873" s="66"/>
      <c r="AG873" s="66"/>
      <c r="AH873" s="66"/>
      <c r="AI873" s="66"/>
      <c r="AJ873" s="66"/>
      <c r="AK873" s="66"/>
      <c r="AL873" s="66"/>
      <c r="AM873" s="66"/>
      <c r="AN873" s="66"/>
      <c r="AO873" s="66"/>
      <c r="AP873" s="66"/>
      <c r="AQ873" s="66"/>
      <c r="AR873" s="66"/>
      <c r="AS873" s="66"/>
      <c r="AT873" s="66"/>
      <c r="AU873" s="66"/>
      <c r="AV873" s="66"/>
      <c r="AW873" s="66"/>
      <c r="AX873" s="66"/>
      <c r="AY873" s="66"/>
      <c r="AZ873" s="66"/>
      <c r="BA873" s="66"/>
      <c r="BB873" s="66"/>
      <c r="BC873" s="66"/>
    </row>
    <row r="874" ht="14.2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  <c r="AD874" s="66"/>
      <c r="AE874" s="66"/>
      <c r="AF874" s="66"/>
      <c r="AG874" s="66"/>
      <c r="AH874" s="66"/>
      <c r="AI874" s="66"/>
      <c r="AJ874" s="66"/>
      <c r="AK874" s="66"/>
      <c r="AL874" s="66"/>
      <c r="AM874" s="66"/>
      <c r="AN874" s="66"/>
      <c r="AO874" s="66"/>
      <c r="AP874" s="66"/>
      <c r="AQ874" s="66"/>
      <c r="AR874" s="66"/>
      <c r="AS874" s="66"/>
      <c r="AT874" s="66"/>
      <c r="AU874" s="66"/>
      <c r="AV874" s="66"/>
      <c r="AW874" s="66"/>
      <c r="AX874" s="66"/>
      <c r="AY874" s="66"/>
      <c r="AZ874" s="66"/>
      <c r="BA874" s="66"/>
      <c r="BB874" s="66"/>
      <c r="BC874" s="66"/>
    </row>
    <row r="875" ht="14.2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  <c r="AD875" s="66"/>
      <c r="AE875" s="66"/>
      <c r="AF875" s="66"/>
      <c r="AG875" s="66"/>
      <c r="AH875" s="66"/>
      <c r="AI875" s="66"/>
      <c r="AJ875" s="66"/>
      <c r="AK875" s="66"/>
      <c r="AL875" s="66"/>
      <c r="AM875" s="66"/>
      <c r="AN875" s="66"/>
      <c r="AO875" s="66"/>
      <c r="AP875" s="66"/>
      <c r="AQ875" s="66"/>
      <c r="AR875" s="66"/>
      <c r="AS875" s="66"/>
      <c r="AT875" s="66"/>
      <c r="AU875" s="66"/>
      <c r="AV875" s="66"/>
      <c r="AW875" s="66"/>
      <c r="AX875" s="66"/>
      <c r="AY875" s="66"/>
      <c r="AZ875" s="66"/>
      <c r="BA875" s="66"/>
      <c r="BB875" s="66"/>
      <c r="BC875" s="66"/>
    </row>
    <row r="876" ht="14.2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  <c r="AD876" s="66"/>
      <c r="AE876" s="66"/>
      <c r="AF876" s="66"/>
      <c r="AG876" s="66"/>
      <c r="AH876" s="66"/>
      <c r="AI876" s="66"/>
      <c r="AJ876" s="66"/>
      <c r="AK876" s="66"/>
      <c r="AL876" s="66"/>
      <c r="AM876" s="66"/>
      <c r="AN876" s="66"/>
      <c r="AO876" s="66"/>
      <c r="AP876" s="66"/>
      <c r="AQ876" s="66"/>
      <c r="AR876" s="66"/>
      <c r="AS876" s="66"/>
      <c r="AT876" s="66"/>
      <c r="AU876" s="66"/>
      <c r="AV876" s="66"/>
      <c r="AW876" s="66"/>
      <c r="AX876" s="66"/>
      <c r="AY876" s="66"/>
      <c r="AZ876" s="66"/>
      <c r="BA876" s="66"/>
      <c r="BB876" s="66"/>
      <c r="BC876" s="66"/>
    </row>
    <row r="877" ht="14.2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  <c r="AD877" s="66"/>
      <c r="AE877" s="66"/>
      <c r="AF877" s="66"/>
      <c r="AG877" s="66"/>
      <c r="AH877" s="66"/>
      <c r="AI877" s="66"/>
      <c r="AJ877" s="66"/>
      <c r="AK877" s="66"/>
      <c r="AL877" s="66"/>
      <c r="AM877" s="66"/>
      <c r="AN877" s="66"/>
      <c r="AO877" s="66"/>
      <c r="AP877" s="66"/>
      <c r="AQ877" s="66"/>
      <c r="AR877" s="66"/>
      <c r="AS877" s="66"/>
      <c r="AT877" s="66"/>
      <c r="AU877" s="66"/>
      <c r="AV877" s="66"/>
      <c r="AW877" s="66"/>
      <c r="AX877" s="66"/>
      <c r="AY877" s="66"/>
      <c r="AZ877" s="66"/>
      <c r="BA877" s="66"/>
      <c r="BB877" s="66"/>
      <c r="BC877" s="66"/>
    </row>
    <row r="878" ht="14.2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  <c r="AD878" s="66"/>
      <c r="AE878" s="66"/>
      <c r="AF878" s="66"/>
      <c r="AG878" s="66"/>
      <c r="AH878" s="66"/>
      <c r="AI878" s="66"/>
      <c r="AJ878" s="66"/>
      <c r="AK878" s="66"/>
      <c r="AL878" s="66"/>
      <c r="AM878" s="66"/>
      <c r="AN878" s="66"/>
      <c r="AO878" s="66"/>
      <c r="AP878" s="66"/>
      <c r="AQ878" s="66"/>
      <c r="AR878" s="66"/>
      <c r="AS878" s="66"/>
      <c r="AT878" s="66"/>
      <c r="AU878" s="66"/>
      <c r="AV878" s="66"/>
      <c r="AW878" s="66"/>
      <c r="AX878" s="66"/>
      <c r="AY878" s="66"/>
      <c r="AZ878" s="66"/>
      <c r="BA878" s="66"/>
      <c r="BB878" s="66"/>
      <c r="BC878" s="66"/>
    </row>
    <row r="879" ht="14.2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  <c r="AD879" s="66"/>
      <c r="AE879" s="66"/>
      <c r="AF879" s="66"/>
      <c r="AG879" s="66"/>
      <c r="AH879" s="66"/>
      <c r="AI879" s="66"/>
      <c r="AJ879" s="66"/>
      <c r="AK879" s="66"/>
      <c r="AL879" s="66"/>
      <c r="AM879" s="66"/>
      <c r="AN879" s="66"/>
      <c r="AO879" s="66"/>
      <c r="AP879" s="66"/>
      <c r="AQ879" s="66"/>
      <c r="AR879" s="66"/>
      <c r="AS879" s="66"/>
      <c r="AT879" s="66"/>
      <c r="AU879" s="66"/>
      <c r="AV879" s="66"/>
      <c r="AW879" s="66"/>
      <c r="AX879" s="66"/>
      <c r="AY879" s="66"/>
      <c r="AZ879" s="66"/>
      <c r="BA879" s="66"/>
      <c r="BB879" s="66"/>
      <c r="BC879" s="66"/>
    </row>
    <row r="880" ht="14.2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  <c r="AD880" s="66"/>
      <c r="AE880" s="66"/>
      <c r="AF880" s="66"/>
      <c r="AG880" s="66"/>
      <c r="AH880" s="66"/>
      <c r="AI880" s="66"/>
      <c r="AJ880" s="66"/>
      <c r="AK880" s="66"/>
      <c r="AL880" s="66"/>
      <c r="AM880" s="66"/>
      <c r="AN880" s="66"/>
      <c r="AO880" s="66"/>
      <c r="AP880" s="66"/>
      <c r="AQ880" s="66"/>
      <c r="AR880" s="66"/>
      <c r="AS880" s="66"/>
      <c r="AT880" s="66"/>
      <c r="AU880" s="66"/>
      <c r="AV880" s="66"/>
      <c r="AW880" s="66"/>
      <c r="AX880" s="66"/>
      <c r="AY880" s="66"/>
      <c r="AZ880" s="66"/>
      <c r="BA880" s="66"/>
      <c r="BB880" s="66"/>
      <c r="BC880" s="66"/>
    </row>
    <row r="881" ht="14.2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  <c r="AD881" s="66"/>
      <c r="AE881" s="66"/>
      <c r="AF881" s="66"/>
      <c r="AG881" s="66"/>
      <c r="AH881" s="66"/>
      <c r="AI881" s="66"/>
      <c r="AJ881" s="66"/>
      <c r="AK881" s="66"/>
      <c r="AL881" s="66"/>
      <c r="AM881" s="66"/>
      <c r="AN881" s="66"/>
      <c r="AO881" s="66"/>
      <c r="AP881" s="66"/>
      <c r="AQ881" s="66"/>
      <c r="AR881" s="66"/>
      <c r="AS881" s="66"/>
      <c r="AT881" s="66"/>
      <c r="AU881" s="66"/>
      <c r="AV881" s="66"/>
      <c r="AW881" s="66"/>
      <c r="AX881" s="66"/>
      <c r="AY881" s="66"/>
      <c r="AZ881" s="66"/>
      <c r="BA881" s="66"/>
      <c r="BB881" s="66"/>
      <c r="BC881" s="66"/>
    </row>
    <row r="882" ht="14.2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  <c r="AD882" s="66"/>
      <c r="AE882" s="66"/>
      <c r="AF882" s="66"/>
      <c r="AG882" s="66"/>
      <c r="AH882" s="66"/>
      <c r="AI882" s="66"/>
      <c r="AJ882" s="66"/>
      <c r="AK882" s="66"/>
      <c r="AL882" s="66"/>
      <c r="AM882" s="66"/>
      <c r="AN882" s="66"/>
      <c r="AO882" s="66"/>
      <c r="AP882" s="66"/>
      <c r="AQ882" s="66"/>
      <c r="AR882" s="66"/>
      <c r="AS882" s="66"/>
      <c r="AT882" s="66"/>
      <c r="AU882" s="66"/>
      <c r="AV882" s="66"/>
      <c r="AW882" s="66"/>
      <c r="AX882" s="66"/>
      <c r="AY882" s="66"/>
      <c r="AZ882" s="66"/>
      <c r="BA882" s="66"/>
      <c r="BB882" s="66"/>
      <c r="BC882" s="66"/>
    </row>
    <row r="883" ht="14.2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  <c r="AD883" s="66"/>
      <c r="AE883" s="66"/>
      <c r="AF883" s="66"/>
      <c r="AG883" s="66"/>
      <c r="AH883" s="66"/>
      <c r="AI883" s="66"/>
      <c r="AJ883" s="66"/>
      <c r="AK883" s="66"/>
      <c r="AL883" s="66"/>
      <c r="AM883" s="66"/>
      <c r="AN883" s="66"/>
      <c r="AO883" s="66"/>
      <c r="AP883" s="66"/>
      <c r="AQ883" s="66"/>
      <c r="AR883" s="66"/>
      <c r="AS883" s="66"/>
      <c r="AT883" s="66"/>
      <c r="AU883" s="66"/>
      <c r="AV883" s="66"/>
      <c r="AW883" s="66"/>
      <c r="AX883" s="66"/>
      <c r="AY883" s="66"/>
      <c r="AZ883" s="66"/>
      <c r="BA883" s="66"/>
      <c r="BB883" s="66"/>
      <c r="BC883" s="66"/>
    </row>
    <row r="884" ht="14.2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  <c r="AD884" s="66"/>
      <c r="AE884" s="66"/>
      <c r="AF884" s="66"/>
      <c r="AG884" s="66"/>
      <c r="AH884" s="66"/>
      <c r="AI884" s="66"/>
      <c r="AJ884" s="66"/>
      <c r="AK884" s="66"/>
      <c r="AL884" s="66"/>
      <c r="AM884" s="66"/>
      <c r="AN884" s="66"/>
      <c r="AO884" s="66"/>
      <c r="AP884" s="66"/>
      <c r="AQ884" s="66"/>
      <c r="AR884" s="66"/>
      <c r="AS884" s="66"/>
      <c r="AT884" s="66"/>
      <c r="AU884" s="66"/>
      <c r="AV884" s="66"/>
      <c r="AW884" s="66"/>
      <c r="AX884" s="66"/>
      <c r="AY884" s="66"/>
      <c r="AZ884" s="66"/>
      <c r="BA884" s="66"/>
      <c r="BB884" s="66"/>
      <c r="BC884" s="66"/>
    </row>
    <row r="885" ht="14.2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  <c r="AD885" s="66"/>
      <c r="AE885" s="66"/>
      <c r="AF885" s="66"/>
      <c r="AG885" s="66"/>
      <c r="AH885" s="66"/>
      <c r="AI885" s="66"/>
      <c r="AJ885" s="66"/>
      <c r="AK885" s="66"/>
      <c r="AL885" s="66"/>
      <c r="AM885" s="66"/>
      <c r="AN885" s="66"/>
      <c r="AO885" s="66"/>
      <c r="AP885" s="66"/>
      <c r="AQ885" s="66"/>
      <c r="AR885" s="66"/>
      <c r="AS885" s="66"/>
      <c r="AT885" s="66"/>
      <c r="AU885" s="66"/>
      <c r="AV885" s="66"/>
      <c r="AW885" s="66"/>
      <c r="AX885" s="66"/>
      <c r="AY885" s="66"/>
      <c r="AZ885" s="66"/>
      <c r="BA885" s="66"/>
      <c r="BB885" s="66"/>
      <c r="BC885" s="66"/>
    </row>
    <row r="886" ht="14.2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  <c r="AD886" s="66"/>
      <c r="AE886" s="66"/>
      <c r="AF886" s="66"/>
      <c r="AG886" s="66"/>
      <c r="AH886" s="66"/>
      <c r="AI886" s="66"/>
      <c r="AJ886" s="66"/>
      <c r="AK886" s="66"/>
      <c r="AL886" s="66"/>
      <c r="AM886" s="66"/>
      <c r="AN886" s="66"/>
      <c r="AO886" s="66"/>
      <c r="AP886" s="66"/>
      <c r="AQ886" s="66"/>
      <c r="AR886" s="66"/>
      <c r="AS886" s="66"/>
      <c r="AT886" s="66"/>
      <c r="AU886" s="66"/>
      <c r="AV886" s="66"/>
      <c r="AW886" s="66"/>
      <c r="AX886" s="66"/>
      <c r="AY886" s="66"/>
      <c r="AZ886" s="66"/>
      <c r="BA886" s="66"/>
      <c r="BB886" s="66"/>
      <c r="BC886" s="66"/>
    </row>
    <row r="887" ht="14.2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  <c r="AE887" s="66"/>
      <c r="AF887" s="66"/>
      <c r="AG887" s="66"/>
      <c r="AH887" s="66"/>
      <c r="AI887" s="66"/>
      <c r="AJ887" s="66"/>
      <c r="AK887" s="66"/>
      <c r="AL887" s="66"/>
      <c r="AM887" s="66"/>
      <c r="AN887" s="66"/>
      <c r="AO887" s="66"/>
      <c r="AP887" s="66"/>
      <c r="AQ887" s="66"/>
      <c r="AR887" s="66"/>
      <c r="AS887" s="66"/>
      <c r="AT887" s="66"/>
      <c r="AU887" s="66"/>
      <c r="AV887" s="66"/>
      <c r="AW887" s="66"/>
      <c r="AX887" s="66"/>
      <c r="AY887" s="66"/>
      <c r="AZ887" s="66"/>
      <c r="BA887" s="66"/>
      <c r="BB887" s="66"/>
      <c r="BC887" s="66"/>
    </row>
    <row r="888" ht="14.2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  <c r="AD888" s="66"/>
      <c r="AE888" s="66"/>
      <c r="AF888" s="66"/>
      <c r="AG888" s="66"/>
      <c r="AH888" s="66"/>
      <c r="AI888" s="66"/>
      <c r="AJ888" s="66"/>
      <c r="AK888" s="66"/>
      <c r="AL888" s="66"/>
      <c r="AM888" s="66"/>
      <c r="AN888" s="66"/>
      <c r="AO888" s="66"/>
      <c r="AP888" s="66"/>
      <c r="AQ888" s="66"/>
      <c r="AR888" s="66"/>
      <c r="AS888" s="66"/>
      <c r="AT888" s="66"/>
      <c r="AU888" s="66"/>
      <c r="AV888" s="66"/>
      <c r="AW888" s="66"/>
      <c r="AX888" s="66"/>
      <c r="AY888" s="66"/>
      <c r="AZ888" s="66"/>
      <c r="BA888" s="66"/>
      <c r="BB888" s="66"/>
      <c r="BC888" s="66"/>
    </row>
    <row r="889" ht="14.2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  <c r="AD889" s="66"/>
      <c r="AE889" s="66"/>
      <c r="AF889" s="66"/>
      <c r="AG889" s="66"/>
      <c r="AH889" s="66"/>
      <c r="AI889" s="66"/>
      <c r="AJ889" s="66"/>
      <c r="AK889" s="66"/>
      <c r="AL889" s="66"/>
      <c r="AM889" s="66"/>
      <c r="AN889" s="66"/>
      <c r="AO889" s="66"/>
      <c r="AP889" s="66"/>
      <c r="AQ889" s="66"/>
      <c r="AR889" s="66"/>
      <c r="AS889" s="66"/>
      <c r="AT889" s="66"/>
      <c r="AU889" s="66"/>
      <c r="AV889" s="66"/>
      <c r="AW889" s="66"/>
      <c r="AX889" s="66"/>
      <c r="AY889" s="66"/>
      <c r="AZ889" s="66"/>
      <c r="BA889" s="66"/>
      <c r="BB889" s="66"/>
      <c r="BC889" s="66"/>
    </row>
    <row r="890" ht="14.2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  <c r="AD890" s="66"/>
      <c r="AE890" s="66"/>
      <c r="AF890" s="66"/>
      <c r="AG890" s="66"/>
      <c r="AH890" s="66"/>
      <c r="AI890" s="66"/>
      <c r="AJ890" s="66"/>
      <c r="AK890" s="66"/>
      <c r="AL890" s="66"/>
      <c r="AM890" s="66"/>
      <c r="AN890" s="66"/>
      <c r="AO890" s="66"/>
      <c r="AP890" s="66"/>
      <c r="AQ890" s="66"/>
      <c r="AR890" s="66"/>
      <c r="AS890" s="66"/>
      <c r="AT890" s="66"/>
      <c r="AU890" s="66"/>
      <c r="AV890" s="66"/>
      <c r="AW890" s="66"/>
      <c r="AX890" s="66"/>
      <c r="AY890" s="66"/>
      <c r="AZ890" s="66"/>
      <c r="BA890" s="66"/>
      <c r="BB890" s="66"/>
      <c r="BC890" s="66"/>
    </row>
    <row r="891" ht="14.2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  <c r="AD891" s="66"/>
      <c r="AE891" s="66"/>
      <c r="AF891" s="66"/>
      <c r="AG891" s="66"/>
      <c r="AH891" s="66"/>
      <c r="AI891" s="66"/>
      <c r="AJ891" s="66"/>
      <c r="AK891" s="66"/>
      <c r="AL891" s="66"/>
      <c r="AM891" s="66"/>
      <c r="AN891" s="66"/>
      <c r="AO891" s="66"/>
      <c r="AP891" s="66"/>
      <c r="AQ891" s="66"/>
      <c r="AR891" s="66"/>
      <c r="AS891" s="66"/>
      <c r="AT891" s="66"/>
      <c r="AU891" s="66"/>
      <c r="AV891" s="66"/>
      <c r="AW891" s="66"/>
      <c r="AX891" s="66"/>
      <c r="AY891" s="66"/>
      <c r="AZ891" s="66"/>
      <c r="BA891" s="66"/>
      <c r="BB891" s="66"/>
      <c r="BC891" s="66"/>
    </row>
    <row r="892" ht="14.2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  <c r="AE892" s="66"/>
      <c r="AF892" s="66"/>
      <c r="AG892" s="66"/>
      <c r="AH892" s="66"/>
      <c r="AI892" s="66"/>
      <c r="AJ892" s="66"/>
      <c r="AK892" s="66"/>
      <c r="AL892" s="66"/>
      <c r="AM892" s="66"/>
      <c r="AN892" s="66"/>
      <c r="AO892" s="66"/>
      <c r="AP892" s="66"/>
      <c r="AQ892" s="66"/>
      <c r="AR892" s="66"/>
      <c r="AS892" s="66"/>
      <c r="AT892" s="66"/>
      <c r="AU892" s="66"/>
      <c r="AV892" s="66"/>
      <c r="AW892" s="66"/>
      <c r="AX892" s="66"/>
      <c r="AY892" s="66"/>
      <c r="AZ892" s="66"/>
      <c r="BA892" s="66"/>
      <c r="BB892" s="66"/>
      <c r="BC892" s="66"/>
    </row>
    <row r="893" ht="14.2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  <c r="AE893" s="66"/>
      <c r="AF893" s="66"/>
      <c r="AG893" s="66"/>
      <c r="AH893" s="66"/>
      <c r="AI893" s="66"/>
      <c r="AJ893" s="66"/>
      <c r="AK893" s="66"/>
      <c r="AL893" s="66"/>
      <c r="AM893" s="66"/>
      <c r="AN893" s="66"/>
      <c r="AO893" s="66"/>
      <c r="AP893" s="66"/>
      <c r="AQ893" s="66"/>
      <c r="AR893" s="66"/>
      <c r="AS893" s="66"/>
      <c r="AT893" s="66"/>
      <c r="AU893" s="66"/>
      <c r="AV893" s="66"/>
      <c r="AW893" s="66"/>
      <c r="AX893" s="66"/>
      <c r="AY893" s="66"/>
      <c r="AZ893" s="66"/>
      <c r="BA893" s="66"/>
      <c r="BB893" s="66"/>
      <c r="BC893" s="66"/>
    </row>
    <row r="894" ht="14.2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  <c r="AE894" s="66"/>
      <c r="AF894" s="66"/>
      <c r="AG894" s="66"/>
      <c r="AH894" s="66"/>
      <c r="AI894" s="66"/>
      <c r="AJ894" s="66"/>
      <c r="AK894" s="66"/>
      <c r="AL894" s="66"/>
      <c r="AM894" s="66"/>
      <c r="AN894" s="66"/>
      <c r="AO894" s="66"/>
      <c r="AP894" s="66"/>
      <c r="AQ894" s="66"/>
      <c r="AR894" s="66"/>
      <c r="AS894" s="66"/>
      <c r="AT894" s="66"/>
      <c r="AU894" s="66"/>
      <c r="AV894" s="66"/>
      <c r="AW894" s="66"/>
      <c r="AX894" s="66"/>
      <c r="AY894" s="66"/>
      <c r="AZ894" s="66"/>
      <c r="BA894" s="66"/>
      <c r="BB894" s="66"/>
      <c r="BC894" s="66"/>
    </row>
    <row r="895" ht="14.2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  <c r="AD895" s="66"/>
      <c r="AE895" s="66"/>
      <c r="AF895" s="66"/>
      <c r="AG895" s="66"/>
      <c r="AH895" s="66"/>
      <c r="AI895" s="66"/>
      <c r="AJ895" s="66"/>
      <c r="AK895" s="66"/>
      <c r="AL895" s="66"/>
      <c r="AM895" s="66"/>
      <c r="AN895" s="66"/>
      <c r="AO895" s="66"/>
      <c r="AP895" s="66"/>
      <c r="AQ895" s="66"/>
      <c r="AR895" s="66"/>
      <c r="AS895" s="66"/>
      <c r="AT895" s="66"/>
      <c r="AU895" s="66"/>
      <c r="AV895" s="66"/>
      <c r="AW895" s="66"/>
      <c r="AX895" s="66"/>
      <c r="AY895" s="66"/>
      <c r="AZ895" s="66"/>
      <c r="BA895" s="66"/>
      <c r="BB895" s="66"/>
      <c r="BC895" s="66"/>
    </row>
    <row r="896" ht="14.2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  <c r="AD896" s="66"/>
      <c r="AE896" s="66"/>
      <c r="AF896" s="66"/>
      <c r="AG896" s="66"/>
      <c r="AH896" s="66"/>
      <c r="AI896" s="66"/>
      <c r="AJ896" s="66"/>
      <c r="AK896" s="66"/>
      <c r="AL896" s="66"/>
      <c r="AM896" s="66"/>
      <c r="AN896" s="66"/>
      <c r="AO896" s="66"/>
      <c r="AP896" s="66"/>
      <c r="AQ896" s="66"/>
      <c r="AR896" s="66"/>
      <c r="AS896" s="66"/>
      <c r="AT896" s="66"/>
      <c r="AU896" s="66"/>
      <c r="AV896" s="66"/>
      <c r="AW896" s="66"/>
      <c r="AX896" s="66"/>
      <c r="AY896" s="66"/>
      <c r="AZ896" s="66"/>
      <c r="BA896" s="66"/>
      <c r="BB896" s="66"/>
      <c r="BC896" s="66"/>
    </row>
    <row r="897" ht="14.2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  <c r="AD897" s="66"/>
      <c r="AE897" s="66"/>
      <c r="AF897" s="66"/>
      <c r="AG897" s="66"/>
      <c r="AH897" s="66"/>
      <c r="AI897" s="66"/>
      <c r="AJ897" s="66"/>
      <c r="AK897" s="66"/>
      <c r="AL897" s="66"/>
      <c r="AM897" s="66"/>
      <c r="AN897" s="66"/>
      <c r="AO897" s="66"/>
      <c r="AP897" s="66"/>
      <c r="AQ897" s="66"/>
      <c r="AR897" s="66"/>
      <c r="AS897" s="66"/>
      <c r="AT897" s="66"/>
      <c r="AU897" s="66"/>
      <c r="AV897" s="66"/>
      <c r="AW897" s="66"/>
      <c r="AX897" s="66"/>
      <c r="AY897" s="66"/>
      <c r="AZ897" s="66"/>
      <c r="BA897" s="66"/>
      <c r="BB897" s="66"/>
      <c r="BC897" s="66"/>
    </row>
    <row r="898" ht="14.2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  <c r="AD898" s="66"/>
      <c r="AE898" s="66"/>
      <c r="AF898" s="66"/>
      <c r="AG898" s="66"/>
      <c r="AH898" s="66"/>
      <c r="AI898" s="66"/>
      <c r="AJ898" s="66"/>
      <c r="AK898" s="66"/>
      <c r="AL898" s="66"/>
      <c r="AM898" s="66"/>
      <c r="AN898" s="66"/>
      <c r="AO898" s="66"/>
      <c r="AP898" s="66"/>
      <c r="AQ898" s="66"/>
      <c r="AR898" s="66"/>
      <c r="AS898" s="66"/>
      <c r="AT898" s="66"/>
      <c r="AU898" s="66"/>
      <c r="AV898" s="66"/>
      <c r="AW898" s="66"/>
      <c r="AX898" s="66"/>
      <c r="AY898" s="66"/>
      <c r="AZ898" s="66"/>
      <c r="BA898" s="66"/>
      <c r="BB898" s="66"/>
      <c r="BC898" s="66"/>
    </row>
    <row r="899" ht="14.2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  <c r="AD899" s="66"/>
      <c r="AE899" s="66"/>
      <c r="AF899" s="66"/>
      <c r="AG899" s="66"/>
      <c r="AH899" s="66"/>
      <c r="AI899" s="66"/>
      <c r="AJ899" s="66"/>
      <c r="AK899" s="66"/>
      <c r="AL899" s="66"/>
      <c r="AM899" s="66"/>
      <c r="AN899" s="66"/>
      <c r="AO899" s="66"/>
      <c r="AP899" s="66"/>
      <c r="AQ899" s="66"/>
      <c r="AR899" s="66"/>
      <c r="AS899" s="66"/>
      <c r="AT899" s="66"/>
      <c r="AU899" s="66"/>
      <c r="AV899" s="66"/>
      <c r="AW899" s="66"/>
      <c r="AX899" s="66"/>
      <c r="AY899" s="66"/>
      <c r="AZ899" s="66"/>
      <c r="BA899" s="66"/>
      <c r="BB899" s="66"/>
      <c r="BC899" s="66"/>
    </row>
    <row r="900" ht="14.2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  <c r="AD900" s="66"/>
      <c r="AE900" s="66"/>
      <c r="AF900" s="66"/>
      <c r="AG900" s="66"/>
      <c r="AH900" s="66"/>
      <c r="AI900" s="66"/>
      <c r="AJ900" s="66"/>
      <c r="AK900" s="66"/>
      <c r="AL900" s="66"/>
      <c r="AM900" s="66"/>
      <c r="AN900" s="66"/>
      <c r="AO900" s="66"/>
      <c r="AP900" s="66"/>
      <c r="AQ900" s="66"/>
      <c r="AR900" s="66"/>
      <c r="AS900" s="66"/>
      <c r="AT900" s="66"/>
      <c r="AU900" s="66"/>
      <c r="AV900" s="66"/>
      <c r="AW900" s="66"/>
      <c r="AX900" s="66"/>
      <c r="AY900" s="66"/>
      <c r="AZ900" s="66"/>
      <c r="BA900" s="66"/>
      <c r="BB900" s="66"/>
      <c r="BC900" s="66"/>
    </row>
    <row r="901" ht="14.2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  <c r="AD901" s="66"/>
      <c r="AE901" s="66"/>
      <c r="AF901" s="66"/>
      <c r="AG901" s="66"/>
      <c r="AH901" s="66"/>
      <c r="AI901" s="66"/>
      <c r="AJ901" s="66"/>
      <c r="AK901" s="66"/>
      <c r="AL901" s="66"/>
      <c r="AM901" s="66"/>
      <c r="AN901" s="66"/>
      <c r="AO901" s="66"/>
      <c r="AP901" s="66"/>
      <c r="AQ901" s="66"/>
      <c r="AR901" s="66"/>
      <c r="AS901" s="66"/>
      <c r="AT901" s="66"/>
      <c r="AU901" s="66"/>
      <c r="AV901" s="66"/>
      <c r="AW901" s="66"/>
      <c r="AX901" s="66"/>
      <c r="AY901" s="66"/>
      <c r="AZ901" s="66"/>
      <c r="BA901" s="66"/>
      <c r="BB901" s="66"/>
      <c r="BC901" s="66"/>
    </row>
    <row r="902" ht="14.2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  <c r="AD902" s="66"/>
      <c r="AE902" s="66"/>
      <c r="AF902" s="66"/>
      <c r="AG902" s="66"/>
      <c r="AH902" s="66"/>
      <c r="AI902" s="66"/>
      <c r="AJ902" s="66"/>
      <c r="AK902" s="66"/>
      <c r="AL902" s="66"/>
      <c r="AM902" s="66"/>
      <c r="AN902" s="66"/>
      <c r="AO902" s="66"/>
      <c r="AP902" s="66"/>
      <c r="AQ902" s="66"/>
      <c r="AR902" s="66"/>
      <c r="AS902" s="66"/>
      <c r="AT902" s="66"/>
      <c r="AU902" s="66"/>
      <c r="AV902" s="66"/>
      <c r="AW902" s="66"/>
      <c r="AX902" s="66"/>
      <c r="AY902" s="66"/>
      <c r="AZ902" s="66"/>
      <c r="BA902" s="66"/>
      <c r="BB902" s="66"/>
      <c r="BC902" s="66"/>
    </row>
    <row r="903" ht="14.2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  <c r="AD903" s="66"/>
      <c r="AE903" s="66"/>
      <c r="AF903" s="66"/>
      <c r="AG903" s="66"/>
      <c r="AH903" s="66"/>
      <c r="AI903" s="66"/>
      <c r="AJ903" s="66"/>
      <c r="AK903" s="66"/>
      <c r="AL903" s="66"/>
      <c r="AM903" s="66"/>
      <c r="AN903" s="66"/>
      <c r="AO903" s="66"/>
      <c r="AP903" s="66"/>
      <c r="AQ903" s="66"/>
      <c r="AR903" s="66"/>
      <c r="AS903" s="66"/>
      <c r="AT903" s="66"/>
      <c r="AU903" s="66"/>
      <c r="AV903" s="66"/>
      <c r="AW903" s="66"/>
      <c r="AX903" s="66"/>
      <c r="AY903" s="66"/>
      <c r="AZ903" s="66"/>
      <c r="BA903" s="66"/>
      <c r="BB903" s="66"/>
      <c r="BC903" s="66"/>
    </row>
    <row r="904" ht="14.2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  <c r="AD904" s="66"/>
      <c r="AE904" s="66"/>
      <c r="AF904" s="66"/>
      <c r="AG904" s="66"/>
      <c r="AH904" s="66"/>
      <c r="AI904" s="66"/>
      <c r="AJ904" s="66"/>
      <c r="AK904" s="66"/>
      <c r="AL904" s="66"/>
      <c r="AM904" s="66"/>
      <c r="AN904" s="66"/>
      <c r="AO904" s="66"/>
      <c r="AP904" s="66"/>
      <c r="AQ904" s="66"/>
      <c r="AR904" s="66"/>
      <c r="AS904" s="66"/>
      <c r="AT904" s="66"/>
      <c r="AU904" s="66"/>
      <c r="AV904" s="66"/>
      <c r="AW904" s="66"/>
      <c r="AX904" s="66"/>
      <c r="AY904" s="66"/>
      <c r="AZ904" s="66"/>
      <c r="BA904" s="66"/>
      <c r="BB904" s="66"/>
      <c r="BC904" s="66"/>
    </row>
    <row r="905" ht="14.2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  <c r="AD905" s="66"/>
      <c r="AE905" s="66"/>
      <c r="AF905" s="66"/>
      <c r="AG905" s="66"/>
      <c r="AH905" s="66"/>
      <c r="AI905" s="66"/>
      <c r="AJ905" s="66"/>
      <c r="AK905" s="66"/>
      <c r="AL905" s="66"/>
      <c r="AM905" s="66"/>
      <c r="AN905" s="66"/>
      <c r="AO905" s="66"/>
      <c r="AP905" s="66"/>
      <c r="AQ905" s="66"/>
      <c r="AR905" s="66"/>
      <c r="AS905" s="66"/>
      <c r="AT905" s="66"/>
      <c r="AU905" s="66"/>
      <c r="AV905" s="66"/>
      <c r="AW905" s="66"/>
      <c r="AX905" s="66"/>
      <c r="AY905" s="66"/>
      <c r="AZ905" s="66"/>
      <c r="BA905" s="66"/>
      <c r="BB905" s="66"/>
      <c r="BC905" s="66"/>
    </row>
    <row r="906" ht="14.2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  <c r="AD906" s="66"/>
      <c r="AE906" s="66"/>
      <c r="AF906" s="66"/>
      <c r="AG906" s="66"/>
      <c r="AH906" s="66"/>
      <c r="AI906" s="66"/>
      <c r="AJ906" s="66"/>
      <c r="AK906" s="66"/>
      <c r="AL906" s="66"/>
      <c r="AM906" s="66"/>
      <c r="AN906" s="66"/>
      <c r="AO906" s="66"/>
      <c r="AP906" s="66"/>
      <c r="AQ906" s="66"/>
      <c r="AR906" s="66"/>
      <c r="AS906" s="66"/>
      <c r="AT906" s="66"/>
      <c r="AU906" s="66"/>
      <c r="AV906" s="66"/>
      <c r="AW906" s="66"/>
      <c r="AX906" s="66"/>
      <c r="AY906" s="66"/>
      <c r="AZ906" s="66"/>
      <c r="BA906" s="66"/>
      <c r="BB906" s="66"/>
      <c r="BC906" s="66"/>
    </row>
    <row r="907" ht="14.2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  <c r="AD907" s="66"/>
      <c r="AE907" s="66"/>
      <c r="AF907" s="66"/>
      <c r="AG907" s="66"/>
      <c r="AH907" s="66"/>
      <c r="AI907" s="66"/>
      <c r="AJ907" s="66"/>
      <c r="AK907" s="66"/>
      <c r="AL907" s="66"/>
      <c r="AM907" s="66"/>
      <c r="AN907" s="66"/>
      <c r="AO907" s="66"/>
      <c r="AP907" s="66"/>
      <c r="AQ907" s="66"/>
      <c r="AR907" s="66"/>
      <c r="AS907" s="66"/>
      <c r="AT907" s="66"/>
      <c r="AU907" s="66"/>
      <c r="AV907" s="66"/>
      <c r="AW907" s="66"/>
      <c r="AX907" s="66"/>
      <c r="AY907" s="66"/>
      <c r="AZ907" s="66"/>
      <c r="BA907" s="66"/>
      <c r="BB907" s="66"/>
      <c r="BC907" s="66"/>
    </row>
    <row r="908" ht="14.2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  <c r="AD908" s="66"/>
      <c r="AE908" s="66"/>
      <c r="AF908" s="66"/>
      <c r="AG908" s="66"/>
      <c r="AH908" s="66"/>
      <c r="AI908" s="66"/>
      <c r="AJ908" s="66"/>
      <c r="AK908" s="66"/>
      <c r="AL908" s="66"/>
      <c r="AM908" s="66"/>
      <c r="AN908" s="66"/>
      <c r="AO908" s="66"/>
      <c r="AP908" s="66"/>
      <c r="AQ908" s="66"/>
      <c r="AR908" s="66"/>
      <c r="AS908" s="66"/>
      <c r="AT908" s="66"/>
      <c r="AU908" s="66"/>
      <c r="AV908" s="66"/>
      <c r="AW908" s="66"/>
      <c r="AX908" s="66"/>
      <c r="AY908" s="66"/>
      <c r="AZ908" s="66"/>
      <c r="BA908" s="66"/>
      <c r="BB908" s="66"/>
      <c r="BC908" s="66"/>
    </row>
    <row r="909" ht="14.2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  <c r="AD909" s="66"/>
      <c r="AE909" s="66"/>
      <c r="AF909" s="66"/>
      <c r="AG909" s="66"/>
      <c r="AH909" s="66"/>
      <c r="AI909" s="66"/>
      <c r="AJ909" s="66"/>
      <c r="AK909" s="66"/>
      <c r="AL909" s="66"/>
      <c r="AM909" s="66"/>
      <c r="AN909" s="66"/>
      <c r="AO909" s="66"/>
      <c r="AP909" s="66"/>
      <c r="AQ909" s="66"/>
      <c r="AR909" s="66"/>
      <c r="AS909" s="66"/>
      <c r="AT909" s="66"/>
      <c r="AU909" s="66"/>
      <c r="AV909" s="66"/>
      <c r="AW909" s="66"/>
      <c r="AX909" s="66"/>
      <c r="AY909" s="66"/>
      <c r="AZ909" s="66"/>
      <c r="BA909" s="66"/>
      <c r="BB909" s="66"/>
      <c r="BC909" s="66"/>
    </row>
    <row r="910" ht="14.2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  <c r="AD910" s="66"/>
      <c r="AE910" s="66"/>
      <c r="AF910" s="66"/>
      <c r="AG910" s="66"/>
      <c r="AH910" s="66"/>
      <c r="AI910" s="66"/>
      <c r="AJ910" s="66"/>
      <c r="AK910" s="66"/>
      <c r="AL910" s="66"/>
      <c r="AM910" s="66"/>
      <c r="AN910" s="66"/>
      <c r="AO910" s="66"/>
      <c r="AP910" s="66"/>
      <c r="AQ910" s="66"/>
      <c r="AR910" s="66"/>
      <c r="AS910" s="66"/>
      <c r="AT910" s="66"/>
      <c r="AU910" s="66"/>
      <c r="AV910" s="66"/>
      <c r="AW910" s="66"/>
      <c r="AX910" s="66"/>
      <c r="AY910" s="66"/>
      <c r="AZ910" s="66"/>
      <c r="BA910" s="66"/>
      <c r="BB910" s="66"/>
      <c r="BC910" s="66"/>
    </row>
    <row r="911" ht="14.2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  <c r="AD911" s="66"/>
      <c r="AE911" s="66"/>
      <c r="AF911" s="66"/>
      <c r="AG911" s="66"/>
      <c r="AH911" s="66"/>
      <c r="AI911" s="66"/>
      <c r="AJ911" s="66"/>
      <c r="AK911" s="66"/>
      <c r="AL911" s="66"/>
      <c r="AM911" s="66"/>
      <c r="AN911" s="66"/>
      <c r="AO911" s="66"/>
      <c r="AP911" s="66"/>
      <c r="AQ911" s="66"/>
      <c r="AR911" s="66"/>
      <c r="AS911" s="66"/>
      <c r="AT911" s="66"/>
      <c r="AU911" s="66"/>
      <c r="AV911" s="66"/>
      <c r="AW911" s="66"/>
      <c r="AX911" s="66"/>
      <c r="AY911" s="66"/>
      <c r="AZ911" s="66"/>
      <c r="BA911" s="66"/>
      <c r="BB911" s="66"/>
      <c r="BC911" s="66"/>
    </row>
    <row r="912" ht="14.2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  <c r="AD912" s="66"/>
      <c r="AE912" s="66"/>
      <c r="AF912" s="66"/>
      <c r="AG912" s="66"/>
      <c r="AH912" s="66"/>
      <c r="AI912" s="66"/>
      <c r="AJ912" s="66"/>
      <c r="AK912" s="66"/>
      <c r="AL912" s="66"/>
      <c r="AM912" s="66"/>
      <c r="AN912" s="66"/>
      <c r="AO912" s="66"/>
      <c r="AP912" s="66"/>
      <c r="AQ912" s="66"/>
      <c r="AR912" s="66"/>
      <c r="AS912" s="66"/>
      <c r="AT912" s="66"/>
      <c r="AU912" s="66"/>
      <c r="AV912" s="66"/>
      <c r="AW912" s="66"/>
      <c r="AX912" s="66"/>
      <c r="AY912" s="66"/>
      <c r="AZ912" s="66"/>
      <c r="BA912" s="66"/>
      <c r="BB912" s="66"/>
      <c r="BC912" s="66"/>
    </row>
    <row r="913" ht="14.2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  <c r="AD913" s="66"/>
      <c r="AE913" s="66"/>
      <c r="AF913" s="66"/>
      <c r="AG913" s="66"/>
      <c r="AH913" s="66"/>
      <c r="AI913" s="66"/>
      <c r="AJ913" s="66"/>
      <c r="AK913" s="66"/>
      <c r="AL913" s="66"/>
      <c r="AM913" s="66"/>
      <c r="AN913" s="66"/>
      <c r="AO913" s="66"/>
      <c r="AP913" s="66"/>
      <c r="AQ913" s="66"/>
      <c r="AR913" s="66"/>
      <c r="AS913" s="66"/>
      <c r="AT913" s="66"/>
      <c r="AU913" s="66"/>
      <c r="AV913" s="66"/>
      <c r="AW913" s="66"/>
      <c r="AX913" s="66"/>
      <c r="AY913" s="66"/>
      <c r="AZ913" s="66"/>
      <c r="BA913" s="66"/>
      <c r="BB913" s="66"/>
      <c r="BC913" s="66"/>
    </row>
    <row r="914" ht="14.2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  <c r="AD914" s="66"/>
      <c r="AE914" s="66"/>
      <c r="AF914" s="66"/>
      <c r="AG914" s="66"/>
      <c r="AH914" s="66"/>
      <c r="AI914" s="66"/>
      <c r="AJ914" s="66"/>
      <c r="AK914" s="66"/>
      <c r="AL914" s="66"/>
      <c r="AM914" s="66"/>
      <c r="AN914" s="66"/>
      <c r="AO914" s="66"/>
      <c r="AP914" s="66"/>
      <c r="AQ914" s="66"/>
      <c r="AR914" s="66"/>
      <c r="AS914" s="66"/>
      <c r="AT914" s="66"/>
      <c r="AU914" s="66"/>
      <c r="AV914" s="66"/>
      <c r="AW914" s="66"/>
      <c r="AX914" s="66"/>
      <c r="AY914" s="66"/>
      <c r="AZ914" s="66"/>
      <c r="BA914" s="66"/>
      <c r="BB914" s="66"/>
      <c r="BC914" s="66"/>
    </row>
    <row r="915" ht="14.2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  <c r="AD915" s="66"/>
      <c r="AE915" s="66"/>
      <c r="AF915" s="66"/>
      <c r="AG915" s="66"/>
      <c r="AH915" s="66"/>
      <c r="AI915" s="66"/>
      <c r="AJ915" s="66"/>
      <c r="AK915" s="66"/>
      <c r="AL915" s="66"/>
      <c r="AM915" s="66"/>
      <c r="AN915" s="66"/>
      <c r="AO915" s="66"/>
      <c r="AP915" s="66"/>
      <c r="AQ915" s="66"/>
      <c r="AR915" s="66"/>
      <c r="AS915" s="66"/>
      <c r="AT915" s="66"/>
      <c r="AU915" s="66"/>
      <c r="AV915" s="66"/>
      <c r="AW915" s="66"/>
      <c r="AX915" s="66"/>
      <c r="AY915" s="66"/>
      <c r="AZ915" s="66"/>
      <c r="BA915" s="66"/>
      <c r="BB915" s="66"/>
      <c r="BC915" s="66"/>
    </row>
    <row r="916" ht="14.2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  <c r="AD916" s="66"/>
      <c r="AE916" s="66"/>
      <c r="AF916" s="66"/>
      <c r="AG916" s="66"/>
      <c r="AH916" s="66"/>
      <c r="AI916" s="66"/>
      <c r="AJ916" s="66"/>
      <c r="AK916" s="66"/>
      <c r="AL916" s="66"/>
      <c r="AM916" s="66"/>
      <c r="AN916" s="66"/>
      <c r="AO916" s="66"/>
      <c r="AP916" s="66"/>
      <c r="AQ916" s="66"/>
      <c r="AR916" s="66"/>
      <c r="AS916" s="66"/>
      <c r="AT916" s="66"/>
      <c r="AU916" s="66"/>
      <c r="AV916" s="66"/>
      <c r="AW916" s="66"/>
      <c r="AX916" s="66"/>
      <c r="AY916" s="66"/>
      <c r="AZ916" s="66"/>
      <c r="BA916" s="66"/>
      <c r="BB916" s="66"/>
      <c r="BC916" s="66"/>
    </row>
    <row r="917" ht="14.2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  <c r="AD917" s="66"/>
      <c r="AE917" s="66"/>
      <c r="AF917" s="66"/>
      <c r="AG917" s="66"/>
      <c r="AH917" s="66"/>
      <c r="AI917" s="66"/>
      <c r="AJ917" s="66"/>
      <c r="AK917" s="66"/>
      <c r="AL917" s="66"/>
      <c r="AM917" s="66"/>
      <c r="AN917" s="66"/>
      <c r="AO917" s="66"/>
      <c r="AP917" s="66"/>
      <c r="AQ917" s="66"/>
      <c r="AR917" s="66"/>
      <c r="AS917" s="66"/>
      <c r="AT917" s="66"/>
      <c r="AU917" s="66"/>
      <c r="AV917" s="66"/>
      <c r="AW917" s="66"/>
      <c r="AX917" s="66"/>
      <c r="AY917" s="66"/>
      <c r="AZ917" s="66"/>
      <c r="BA917" s="66"/>
      <c r="BB917" s="66"/>
      <c r="BC917" s="66"/>
    </row>
    <row r="918" ht="14.2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  <c r="AD918" s="66"/>
      <c r="AE918" s="66"/>
      <c r="AF918" s="66"/>
      <c r="AG918" s="66"/>
      <c r="AH918" s="66"/>
      <c r="AI918" s="66"/>
      <c r="AJ918" s="66"/>
      <c r="AK918" s="66"/>
      <c r="AL918" s="66"/>
      <c r="AM918" s="66"/>
      <c r="AN918" s="66"/>
      <c r="AO918" s="66"/>
      <c r="AP918" s="66"/>
      <c r="AQ918" s="66"/>
      <c r="AR918" s="66"/>
      <c r="AS918" s="66"/>
      <c r="AT918" s="66"/>
      <c r="AU918" s="66"/>
      <c r="AV918" s="66"/>
      <c r="AW918" s="66"/>
      <c r="AX918" s="66"/>
      <c r="AY918" s="66"/>
      <c r="AZ918" s="66"/>
      <c r="BA918" s="66"/>
      <c r="BB918" s="66"/>
      <c r="BC918" s="66"/>
    </row>
    <row r="919" ht="14.2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  <c r="AD919" s="66"/>
      <c r="AE919" s="66"/>
      <c r="AF919" s="66"/>
      <c r="AG919" s="66"/>
      <c r="AH919" s="66"/>
      <c r="AI919" s="66"/>
      <c r="AJ919" s="66"/>
      <c r="AK919" s="66"/>
      <c r="AL919" s="66"/>
      <c r="AM919" s="66"/>
      <c r="AN919" s="66"/>
      <c r="AO919" s="66"/>
      <c r="AP919" s="66"/>
      <c r="AQ919" s="66"/>
      <c r="AR919" s="66"/>
      <c r="AS919" s="66"/>
      <c r="AT919" s="66"/>
      <c r="AU919" s="66"/>
      <c r="AV919" s="66"/>
      <c r="AW919" s="66"/>
      <c r="AX919" s="66"/>
      <c r="AY919" s="66"/>
      <c r="AZ919" s="66"/>
      <c r="BA919" s="66"/>
      <c r="BB919" s="66"/>
      <c r="BC919" s="66"/>
    </row>
    <row r="920" ht="14.2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  <c r="AD920" s="66"/>
      <c r="AE920" s="66"/>
      <c r="AF920" s="66"/>
      <c r="AG920" s="66"/>
      <c r="AH920" s="66"/>
      <c r="AI920" s="66"/>
      <c r="AJ920" s="66"/>
      <c r="AK920" s="66"/>
      <c r="AL920" s="66"/>
      <c r="AM920" s="66"/>
      <c r="AN920" s="66"/>
      <c r="AO920" s="66"/>
      <c r="AP920" s="66"/>
      <c r="AQ920" s="66"/>
      <c r="AR920" s="66"/>
      <c r="AS920" s="66"/>
      <c r="AT920" s="66"/>
      <c r="AU920" s="66"/>
      <c r="AV920" s="66"/>
      <c r="AW920" s="66"/>
      <c r="AX920" s="66"/>
      <c r="AY920" s="66"/>
      <c r="AZ920" s="66"/>
      <c r="BA920" s="66"/>
      <c r="BB920" s="66"/>
      <c r="BC920" s="66"/>
    </row>
    <row r="921" ht="14.2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  <c r="AD921" s="66"/>
      <c r="AE921" s="66"/>
      <c r="AF921" s="66"/>
      <c r="AG921" s="66"/>
      <c r="AH921" s="66"/>
      <c r="AI921" s="66"/>
      <c r="AJ921" s="66"/>
      <c r="AK921" s="66"/>
      <c r="AL921" s="66"/>
      <c r="AM921" s="66"/>
      <c r="AN921" s="66"/>
      <c r="AO921" s="66"/>
      <c r="AP921" s="66"/>
      <c r="AQ921" s="66"/>
      <c r="AR921" s="66"/>
      <c r="AS921" s="66"/>
      <c r="AT921" s="66"/>
      <c r="AU921" s="66"/>
      <c r="AV921" s="66"/>
      <c r="AW921" s="66"/>
      <c r="AX921" s="66"/>
      <c r="AY921" s="66"/>
      <c r="AZ921" s="66"/>
      <c r="BA921" s="66"/>
      <c r="BB921" s="66"/>
      <c r="BC921" s="66"/>
    </row>
    <row r="922" ht="14.2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  <c r="AD922" s="66"/>
      <c r="AE922" s="66"/>
      <c r="AF922" s="66"/>
      <c r="AG922" s="66"/>
      <c r="AH922" s="66"/>
      <c r="AI922" s="66"/>
      <c r="AJ922" s="66"/>
      <c r="AK922" s="66"/>
      <c r="AL922" s="66"/>
      <c r="AM922" s="66"/>
      <c r="AN922" s="66"/>
      <c r="AO922" s="66"/>
      <c r="AP922" s="66"/>
      <c r="AQ922" s="66"/>
      <c r="AR922" s="66"/>
      <c r="AS922" s="66"/>
      <c r="AT922" s="66"/>
      <c r="AU922" s="66"/>
      <c r="AV922" s="66"/>
      <c r="AW922" s="66"/>
      <c r="AX922" s="66"/>
      <c r="AY922" s="66"/>
      <c r="AZ922" s="66"/>
      <c r="BA922" s="66"/>
      <c r="BB922" s="66"/>
      <c r="BC922" s="66"/>
    </row>
    <row r="923" ht="14.2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  <c r="AD923" s="66"/>
      <c r="AE923" s="66"/>
      <c r="AF923" s="66"/>
      <c r="AG923" s="66"/>
      <c r="AH923" s="66"/>
      <c r="AI923" s="66"/>
      <c r="AJ923" s="66"/>
      <c r="AK923" s="66"/>
      <c r="AL923" s="66"/>
      <c r="AM923" s="66"/>
      <c r="AN923" s="66"/>
      <c r="AO923" s="66"/>
      <c r="AP923" s="66"/>
      <c r="AQ923" s="66"/>
      <c r="AR923" s="66"/>
      <c r="AS923" s="66"/>
      <c r="AT923" s="66"/>
      <c r="AU923" s="66"/>
      <c r="AV923" s="66"/>
      <c r="AW923" s="66"/>
      <c r="AX923" s="66"/>
      <c r="AY923" s="66"/>
      <c r="AZ923" s="66"/>
      <c r="BA923" s="66"/>
      <c r="BB923" s="66"/>
      <c r="BC923" s="66"/>
    </row>
    <row r="924" ht="14.2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  <c r="AD924" s="66"/>
      <c r="AE924" s="66"/>
      <c r="AF924" s="66"/>
      <c r="AG924" s="66"/>
      <c r="AH924" s="66"/>
      <c r="AI924" s="66"/>
      <c r="AJ924" s="66"/>
      <c r="AK924" s="66"/>
      <c r="AL924" s="66"/>
      <c r="AM924" s="66"/>
      <c r="AN924" s="66"/>
      <c r="AO924" s="66"/>
      <c r="AP924" s="66"/>
      <c r="AQ924" s="66"/>
      <c r="AR924" s="66"/>
      <c r="AS924" s="66"/>
      <c r="AT924" s="66"/>
      <c r="AU924" s="66"/>
      <c r="AV924" s="66"/>
      <c r="AW924" s="66"/>
      <c r="AX924" s="66"/>
      <c r="AY924" s="66"/>
      <c r="AZ924" s="66"/>
      <c r="BA924" s="66"/>
      <c r="BB924" s="66"/>
      <c r="BC924" s="66"/>
    </row>
    <row r="925" ht="14.2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  <c r="AD925" s="66"/>
      <c r="AE925" s="66"/>
      <c r="AF925" s="66"/>
      <c r="AG925" s="66"/>
      <c r="AH925" s="66"/>
      <c r="AI925" s="66"/>
      <c r="AJ925" s="66"/>
      <c r="AK925" s="66"/>
      <c r="AL925" s="66"/>
      <c r="AM925" s="66"/>
      <c r="AN925" s="66"/>
      <c r="AO925" s="66"/>
      <c r="AP925" s="66"/>
      <c r="AQ925" s="66"/>
      <c r="AR925" s="66"/>
      <c r="AS925" s="66"/>
      <c r="AT925" s="66"/>
      <c r="AU925" s="66"/>
      <c r="AV925" s="66"/>
      <c r="AW925" s="66"/>
      <c r="AX925" s="66"/>
      <c r="AY925" s="66"/>
      <c r="AZ925" s="66"/>
      <c r="BA925" s="66"/>
      <c r="BB925" s="66"/>
      <c r="BC925" s="66"/>
    </row>
    <row r="926" ht="14.2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  <c r="AD926" s="66"/>
      <c r="AE926" s="66"/>
      <c r="AF926" s="66"/>
      <c r="AG926" s="66"/>
      <c r="AH926" s="66"/>
      <c r="AI926" s="66"/>
      <c r="AJ926" s="66"/>
      <c r="AK926" s="66"/>
      <c r="AL926" s="66"/>
      <c r="AM926" s="66"/>
      <c r="AN926" s="66"/>
      <c r="AO926" s="66"/>
      <c r="AP926" s="66"/>
      <c r="AQ926" s="66"/>
      <c r="AR926" s="66"/>
      <c r="AS926" s="66"/>
      <c r="AT926" s="66"/>
      <c r="AU926" s="66"/>
      <c r="AV926" s="66"/>
      <c r="AW926" s="66"/>
      <c r="AX926" s="66"/>
      <c r="AY926" s="66"/>
      <c r="AZ926" s="66"/>
      <c r="BA926" s="66"/>
      <c r="BB926" s="66"/>
      <c r="BC926" s="66"/>
    </row>
    <row r="927" ht="14.2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  <c r="AD927" s="66"/>
      <c r="AE927" s="66"/>
      <c r="AF927" s="66"/>
      <c r="AG927" s="66"/>
      <c r="AH927" s="66"/>
      <c r="AI927" s="66"/>
      <c r="AJ927" s="66"/>
      <c r="AK927" s="66"/>
      <c r="AL927" s="66"/>
      <c r="AM927" s="66"/>
      <c r="AN927" s="66"/>
      <c r="AO927" s="66"/>
      <c r="AP927" s="66"/>
      <c r="AQ927" s="66"/>
      <c r="AR927" s="66"/>
      <c r="AS927" s="66"/>
      <c r="AT927" s="66"/>
      <c r="AU927" s="66"/>
      <c r="AV927" s="66"/>
      <c r="AW927" s="66"/>
      <c r="AX927" s="66"/>
      <c r="AY927" s="66"/>
      <c r="AZ927" s="66"/>
      <c r="BA927" s="66"/>
      <c r="BB927" s="66"/>
      <c r="BC927" s="66"/>
    </row>
    <row r="928" ht="14.2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  <c r="AD928" s="66"/>
      <c r="AE928" s="66"/>
      <c r="AF928" s="66"/>
      <c r="AG928" s="66"/>
      <c r="AH928" s="66"/>
      <c r="AI928" s="66"/>
      <c r="AJ928" s="66"/>
      <c r="AK928" s="66"/>
      <c r="AL928" s="66"/>
      <c r="AM928" s="66"/>
      <c r="AN928" s="66"/>
      <c r="AO928" s="66"/>
      <c r="AP928" s="66"/>
      <c r="AQ928" s="66"/>
      <c r="AR928" s="66"/>
      <c r="AS928" s="66"/>
      <c r="AT928" s="66"/>
      <c r="AU928" s="66"/>
      <c r="AV928" s="66"/>
      <c r="AW928" s="66"/>
      <c r="AX928" s="66"/>
      <c r="AY928" s="66"/>
      <c r="AZ928" s="66"/>
      <c r="BA928" s="66"/>
      <c r="BB928" s="66"/>
      <c r="BC928" s="66"/>
    </row>
    <row r="929" ht="14.2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  <c r="AD929" s="66"/>
      <c r="AE929" s="66"/>
      <c r="AF929" s="66"/>
      <c r="AG929" s="66"/>
      <c r="AH929" s="66"/>
      <c r="AI929" s="66"/>
      <c r="AJ929" s="66"/>
      <c r="AK929" s="66"/>
      <c r="AL929" s="66"/>
      <c r="AM929" s="66"/>
      <c r="AN929" s="66"/>
      <c r="AO929" s="66"/>
      <c r="AP929" s="66"/>
      <c r="AQ929" s="66"/>
      <c r="AR929" s="66"/>
      <c r="AS929" s="66"/>
      <c r="AT929" s="66"/>
      <c r="AU929" s="66"/>
      <c r="AV929" s="66"/>
      <c r="AW929" s="66"/>
      <c r="AX929" s="66"/>
      <c r="AY929" s="66"/>
      <c r="AZ929" s="66"/>
      <c r="BA929" s="66"/>
      <c r="BB929" s="66"/>
      <c r="BC929" s="66"/>
    </row>
    <row r="930" ht="14.2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  <c r="AD930" s="66"/>
      <c r="AE930" s="66"/>
      <c r="AF930" s="66"/>
      <c r="AG930" s="66"/>
      <c r="AH930" s="66"/>
      <c r="AI930" s="66"/>
      <c r="AJ930" s="66"/>
      <c r="AK930" s="66"/>
      <c r="AL930" s="66"/>
      <c r="AM930" s="66"/>
      <c r="AN930" s="66"/>
      <c r="AO930" s="66"/>
      <c r="AP930" s="66"/>
      <c r="AQ930" s="66"/>
      <c r="AR930" s="66"/>
      <c r="AS930" s="66"/>
      <c r="AT930" s="66"/>
      <c r="AU930" s="66"/>
      <c r="AV930" s="66"/>
      <c r="AW930" s="66"/>
      <c r="AX930" s="66"/>
      <c r="AY930" s="66"/>
      <c r="AZ930" s="66"/>
      <c r="BA930" s="66"/>
      <c r="BB930" s="66"/>
      <c r="BC930" s="66"/>
    </row>
    <row r="931" ht="14.2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  <c r="AD931" s="66"/>
      <c r="AE931" s="66"/>
      <c r="AF931" s="66"/>
      <c r="AG931" s="66"/>
      <c r="AH931" s="66"/>
      <c r="AI931" s="66"/>
      <c r="AJ931" s="66"/>
      <c r="AK931" s="66"/>
      <c r="AL931" s="66"/>
      <c r="AM931" s="66"/>
      <c r="AN931" s="66"/>
      <c r="AO931" s="66"/>
      <c r="AP931" s="66"/>
      <c r="AQ931" s="66"/>
      <c r="AR931" s="66"/>
      <c r="AS931" s="66"/>
      <c r="AT931" s="66"/>
      <c r="AU931" s="66"/>
      <c r="AV931" s="66"/>
      <c r="AW931" s="66"/>
      <c r="AX931" s="66"/>
      <c r="AY931" s="66"/>
      <c r="AZ931" s="66"/>
      <c r="BA931" s="66"/>
      <c r="BB931" s="66"/>
      <c r="BC931" s="66"/>
    </row>
    <row r="932" ht="14.2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  <c r="AD932" s="66"/>
      <c r="AE932" s="66"/>
      <c r="AF932" s="66"/>
      <c r="AG932" s="66"/>
      <c r="AH932" s="66"/>
      <c r="AI932" s="66"/>
      <c r="AJ932" s="66"/>
      <c r="AK932" s="66"/>
      <c r="AL932" s="66"/>
      <c r="AM932" s="66"/>
      <c r="AN932" s="66"/>
      <c r="AO932" s="66"/>
      <c r="AP932" s="66"/>
      <c r="AQ932" s="66"/>
      <c r="AR932" s="66"/>
      <c r="AS932" s="66"/>
      <c r="AT932" s="66"/>
      <c r="AU932" s="66"/>
      <c r="AV932" s="66"/>
      <c r="AW932" s="66"/>
      <c r="AX932" s="66"/>
      <c r="AY932" s="66"/>
      <c r="AZ932" s="66"/>
      <c r="BA932" s="66"/>
      <c r="BB932" s="66"/>
      <c r="BC932" s="66"/>
    </row>
    <row r="933" ht="14.2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  <c r="AD933" s="66"/>
      <c r="AE933" s="66"/>
      <c r="AF933" s="66"/>
      <c r="AG933" s="66"/>
      <c r="AH933" s="66"/>
      <c r="AI933" s="66"/>
      <c r="AJ933" s="66"/>
      <c r="AK933" s="66"/>
      <c r="AL933" s="66"/>
      <c r="AM933" s="66"/>
      <c r="AN933" s="66"/>
      <c r="AO933" s="66"/>
      <c r="AP933" s="66"/>
      <c r="AQ933" s="66"/>
      <c r="AR933" s="66"/>
      <c r="AS933" s="66"/>
      <c r="AT933" s="66"/>
      <c r="AU933" s="66"/>
      <c r="AV933" s="66"/>
      <c r="AW933" s="66"/>
      <c r="AX933" s="66"/>
      <c r="AY933" s="66"/>
      <c r="AZ933" s="66"/>
      <c r="BA933" s="66"/>
      <c r="BB933" s="66"/>
      <c r="BC933" s="66"/>
    </row>
    <row r="934" ht="14.2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  <c r="AD934" s="66"/>
      <c r="AE934" s="66"/>
      <c r="AF934" s="66"/>
      <c r="AG934" s="66"/>
      <c r="AH934" s="66"/>
      <c r="AI934" s="66"/>
      <c r="AJ934" s="66"/>
      <c r="AK934" s="66"/>
      <c r="AL934" s="66"/>
      <c r="AM934" s="66"/>
      <c r="AN934" s="66"/>
      <c r="AO934" s="66"/>
      <c r="AP934" s="66"/>
      <c r="AQ934" s="66"/>
      <c r="AR934" s="66"/>
      <c r="AS934" s="66"/>
      <c r="AT934" s="66"/>
      <c r="AU934" s="66"/>
      <c r="AV934" s="66"/>
      <c r="AW934" s="66"/>
      <c r="AX934" s="66"/>
      <c r="AY934" s="66"/>
      <c r="AZ934" s="66"/>
      <c r="BA934" s="66"/>
      <c r="BB934" s="66"/>
      <c r="BC934" s="66"/>
    </row>
    <row r="935" ht="14.2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  <c r="AD935" s="66"/>
      <c r="AE935" s="66"/>
      <c r="AF935" s="66"/>
      <c r="AG935" s="66"/>
      <c r="AH935" s="66"/>
      <c r="AI935" s="66"/>
      <c r="AJ935" s="66"/>
      <c r="AK935" s="66"/>
      <c r="AL935" s="66"/>
      <c r="AM935" s="66"/>
      <c r="AN935" s="66"/>
      <c r="AO935" s="66"/>
      <c r="AP935" s="66"/>
      <c r="AQ935" s="66"/>
      <c r="AR935" s="66"/>
      <c r="AS935" s="66"/>
      <c r="AT935" s="66"/>
      <c r="AU935" s="66"/>
      <c r="AV935" s="66"/>
      <c r="AW935" s="66"/>
      <c r="AX935" s="66"/>
      <c r="AY935" s="66"/>
      <c r="AZ935" s="66"/>
      <c r="BA935" s="66"/>
      <c r="BB935" s="66"/>
      <c r="BC935" s="66"/>
    </row>
    <row r="936" ht="14.2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  <c r="AD936" s="66"/>
      <c r="AE936" s="66"/>
      <c r="AF936" s="66"/>
      <c r="AG936" s="66"/>
      <c r="AH936" s="66"/>
      <c r="AI936" s="66"/>
      <c r="AJ936" s="66"/>
      <c r="AK936" s="66"/>
      <c r="AL936" s="66"/>
      <c r="AM936" s="66"/>
      <c r="AN936" s="66"/>
      <c r="AO936" s="66"/>
      <c r="AP936" s="66"/>
      <c r="AQ936" s="66"/>
      <c r="AR936" s="66"/>
      <c r="AS936" s="66"/>
      <c r="AT936" s="66"/>
      <c r="AU936" s="66"/>
      <c r="AV936" s="66"/>
      <c r="AW936" s="66"/>
      <c r="AX936" s="66"/>
      <c r="AY936" s="66"/>
      <c r="AZ936" s="66"/>
      <c r="BA936" s="66"/>
      <c r="BB936" s="66"/>
      <c r="BC936" s="66"/>
    </row>
    <row r="937" ht="14.2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  <c r="AD937" s="66"/>
      <c r="AE937" s="66"/>
      <c r="AF937" s="66"/>
      <c r="AG937" s="66"/>
      <c r="AH937" s="66"/>
      <c r="AI937" s="66"/>
      <c r="AJ937" s="66"/>
      <c r="AK937" s="66"/>
      <c r="AL937" s="66"/>
      <c r="AM937" s="66"/>
      <c r="AN937" s="66"/>
      <c r="AO937" s="66"/>
      <c r="AP937" s="66"/>
      <c r="AQ937" s="66"/>
      <c r="AR937" s="66"/>
      <c r="AS937" s="66"/>
      <c r="AT937" s="66"/>
      <c r="AU937" s="66"/>
      <c r="AV937" s="66"/>
      <c r="AW937" s="66"/>
      <c r="AX937" s="66"/>
      <c r="AY937" s="66"/>
      <c r="AZ937" s="66"/>
      <c r="BA937" s="66"/>
      <c r="BB937" s="66"/>
      <c r="BC937" s="66"/>
    </row>
    <row r="938" ht="14.2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  <c r="AD938" s="66"/>
      <c r="AE938" s="66"/>
      <c r="AF938" s="66"/>
      <c r="AG938" s="66"/>
      <c r="AH938" s="66"/>
      <c r="AI938" s="66"/>
      <c r="AJ938" s="66"/>
      <c r="AK938" s="66"/>
      <c r="AL938" s="66"/>
      <c r="AM938" s="66"/>
      <c r="AN938" s="66"/>
      <c r="AO938" s="66"/>
      <c r="AP938" s="66"/>
      <c r="AQ938" s="66"/>
      <c r="AR938" s="66"/>
      <c r="AS938" s="66"/>
      <c r="AT938" s="66"/>
      <c r="AU938" s="66"/>
      <c r="AV938" s="66"/>
      <c r="AW938" s="66"/>
      <c r="AX938" s="66"/>
      <c r="AY938" s="66"/>
      <c r="AZ938" s="66"/>
      <c r="BA938" s="66"/>
      <c r="BB938" s="66"/>
      <c r="BC938" s="66"/>
    </row>
    <row r="939" ht="14.2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  <c r="AD939" s="66"/>
      <c r="AE939" s="66"/>
      <c r="AF939" s="66"/>
      <c r="AG939" s="66"/>
      <c r="AH939" s="66"/>
      <c r="AI939" s="66"/>
      <c r="AJ939" s="66"/>
      <c r="AK939" s="66"/>
      <c r="AL939" s="66"/>
      <c r="AM939" s="66"/>
      <c r="AN939" s="66"/>
      <c r="AO939" s="66"/>
      <c r="AP939" s="66"/>
      <c r="AQ939" s="66"/>
      <c r="AR939" s="66"/>
      <c r="AS939" s="66"/>
      <c r="AT939" s="66"/>
      <c r="AU939" s="66"/>
      <c r="AV939" s="66"/>
      <c r="AW939" s="66"/>
      <c r="AX939" s="66"/>
      <c r="AY939" s="66"/>
      <c r="AZ939" s="66"/>
      <c r="BA939" s="66"/>
      <c r="BB939" s="66"/>
      <c r="BC939" s="66"/>
    </row>
    <row r="940" ht="14.2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  <c r="AD940" s="66"/>
      <c r="AE940" s="66"/>
      <c r="AF940" s="66"/>
      <c r="AG940" s="66"/>
      <c r="AH940" s="66"/>
      <c r="AI940" s="66"/>
      <c r="AJ940" s="66"/>
      <c r="AK940" s="66"/>
      <c r="AL940" s="66"/>
      <c r="AM940" s="66"/>
      <c r="AN940" s="66"/>
      <c r="AO940" s="66"/>
      <c r="AP940" s="66"/>
      <c r="AQ940" s="66"/>
      <c r="AR940" s="66"/>
      <c r="AS940" s="66"/>
      <c r="AT940" s="66"/>
      <c r="AU940" s="66"/>
      <c r="AV940" s="66"/>
      <c r="AW940" s="66"/>
      <c r="AX940" s="66"/>
      <c r="AY940" s="66"/>
      <c r="AZ940" s="66"/>
      <c r="BA940" s="66"/>
      <c r="BB940" s="66"/>
      <c r="BC940" s="66"/>
    </row>
    <row r="941" ht="14.2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  <c r="AD941" s="66"/>
      <c r="AE941" s="66"/>
      <c r="AF941" s="66"/>
      <c r="AG941" s="66"/>
      <c r="AH941" s="66"/>
      <c r="AI941" s="66"/>
      <c r="AJ941" s="66"/>
      <c r="AK941" s="66"/>
      <c r="AL941" s="66"/>
      <c r="AM941" s="66"/>
      <c r="AN941" s="66"/>
      <c r="AO941" s="66"/>
      <c r="AP941" s="66"/>
      <c r="AQ941" s="66"/>
      <c r="AR941" s="66"/>
      <c r="AS941" s="66"/>
      <c r="AT941" s="66"/>
      <c r="AU941" s="66"/>
      <c r="AV941" s="66"/>
      <c r="AW941" s="66"/>
      <c r="AX941" s="66"/>
      <c r="AY941" s="66"/>
      <c r="AZ941" s="66"/>
      <c r="BA941" s="66"/>
      <c r="BB941" s="66"/>
      <c r="BC941" s="66"/>
    </row>
    <row r="942" ht="14.2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  <c r="AD942" s="66"/>
      <c r="AE942" s="66"/>
      <c r="AF942" s="66"/>
      <c r="AG942" s="66"/>
      <c r="AH942" s="66"/>
      <c r="AI942" s="66"/>
      <c r="AJ942" s="66"/>
      <c r="AK942" s="66"/>
      <c r="AL942" s="66"/>
      <c r="AM942" s="66"/>
      <c r="AN942" s="66"/>
      <c r="AO942" s="66"/>
      <c r="AP942" s="66"/>
      <c r="AQ942" s="66"/>
      <c r="AR942" s="66"/>
      <c r="AS942" s="66"/>
      <c r="AT942" s="66"/>
      <c r="AU942" s="66"/>
      <c r="AV942" s="66"/>
      <c r="AW942" s="66"/>
      <c r="AX942" s="66"/>
      <c r="AY942" s="66"/>
      <c r="AZ942" s="66"/>
      <c r="BA942" s="66"/>
      <c r="BB942" s="66"/>
      <c r="BC942" s="66"/>
    </row>
    <row r="943" ht="14.2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  <c r="AD943" s="66"/>
      <c r="AE943" s="66"/>
      <c r="AF943" s="66"/>
      <c r="AG943" s="66"/>
      <c r="AH943" s="66"/>
      <c r="AI943" s="66"/>
      <c r="AJ943" s="66"/>
      <c r="AK943" s="66"/>
      <c r="AL943" s="66"/>
      <c r="AM943" s="66"/>
      <c r="AN943" s="66"/>
      <c r="AO943" s="66"/>
      <c r="AP943" s="66"/>
      <c r="AQ943" s="66"/>
      <c r="AR943" s="66"/>
      <c r="AS943" s="66"/>
      <c r="AT943" s="66"/>
      <c r="AU943" s="66"/>
      <c r="AV943" s="66"/>
      <c r="AW943" s="66"/>
      <c r="AX943" s="66"/>
      <c r="AY943" s="66"/>
      <c r="AZ943" s="66"/>
      <c r="BA943" s="66"/>
      <c r="BB943" s="66"/>
      <c r="BC943" s="66"/>
    </row>
    <row r="944" ht="14.2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  <c r="AD944" s="66"/>
      <c r="AE944" s="66"/>
      <c r="AF944" s="66"/>
      <c r="AG944" s="66"/>
      <c r="AH944" s="66"/>
      <c r="AI944" s="66"/>
      <c r="AJ944" s="66"/>
      <c r="AK944" s="66"/>
      <c r="AL944" s="66"/>
      <c r="AM944" s="66"/>
      <c r="AN944" s="66"/>
      <c r="AO944" s="66"/>
      <c r="AP944" s="66"/>
      <c r="AQ944" s="66"/>
      <c r="AR944" s="66"/>
      <c r="AS944" s="66"/>
      <c r="AT944" s="66"/>
      <c r="AU944" s="66"/>
      <c r="AV944" s="66"/>
      <c r="AW944" s="66"/>
      <c r="AX944" s="66"/>
      <c r="AY944" s="66"/>
      <c r="AZ944" s="66"/>
      <c r="BA944" s="66"/>
      <c r="BB944" s="66"/>
      <c r="BC944" s="66"/>
    </row>
    <row r="945" ht="14.2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  <c r="AE945" s="66"/>
      <c r="AF945" s="66"/>
      <c r="AG945" s="66"/>
      <c r="AH945" s="66"/>
      <c r="AI945" s="66"/>
      <c r="AJ945" s="66"/>
      <c r="AK945" s="66"/>
      <c r="AL945" s="66"/>
      <c r="AM945" s="66"/>
      <c r="AN945" s="66"/>
      <c r="AO945" s="66"/>
      <c r="AP945" s="66"/>
      <c r="AQ945" s="66"/>
      <c r="AR945" s="66"/>
      <c r="AS945" s="66"/>
      <c r="AT945" s="66"/>
      <c r="AU945" s="66"/>
      <c r="AV945" s="66"/>
      <c r="AW945" s="66"/>
      <c r="AX945" s="66"/>
      <c r="AY945" s="66"/>
      <c r="AZ945" s="66"/>
      <c r="BA945" s="66"/>
      <c r="BB945" s="66"/>
      <c r="BC945" s="66"/>
    </row>
    <row r="946" ht="14.2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  <c r="AE946" s="66"/>
      <c r="AF946" s="66"/>
      <c r="AG946" s="66"/>
      <c r="AH946" s="66"/>
      <c r="AI946" s="66"/>
      <c r="AJ946" s="66"/>
      <c r="AK946" s="66"/>
      <c r="AL946" s="66"/>
      <c r="AM946" s="66"/>
      <c r="AN946" s="66"/>
      <c r="AO946" s="66"/>
      <c r="AP946" s="66"/>
      <c r="AQ946" s="66"/>
      <c r="AR946" s="66"/>
      <c r="AS946" s="66"/>
      <c r="AT946" s="66"/>
      <c r="AU946" s="66"/>
      <c r="AV946" s="66"/>
      <c r="AW946" s="66"/>
      <c r="AX946" s="66"/>
      <c r="AY946" s="66"/>
      <c r="AZ946" s="66"/>
      <c r="BA946" s="66"/>
      <c r="BB946" s="66"/>
      <c r="BC946" s="66"/>
    </row>
    <row r="947" ht="14.2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  <c r="AE947" s="66"/>
      <c r="AF947" s="66"/>
      <c r="AG947" s="66"/>
      <c r="AH947" s="66"/>
      <c r="AI947" s="66"/>
      <c r="AJ947" s="66"/>
      <c r="AK947" s="66"/>
      <c r="AL947" s="66"/>
      <c r="AM947" s="66"/>
      <c r="AN947" s="66"/>
      <c r="AO947" s="66"/>
      <c r="AP947" s="66"/>
      <c r="AQ947" s="66"/>
      <c r="AR947" s="66"/>
      <c r="AS947" s="66"/>
      <c r="AT947" s="66"/>
      <c r="AU947" s="66"/>
      <c r="AV947" s="66"/>
      <c r="AW947" s="66"/>
      <c r="AX947" s="66"/>
      <c r="AY947" s="66"/>
      <c r="AZ947" s="66"/>
      <c r="BA947" s="66"/>
      <c r="BB947" s="66"/>
      <c r="BC947" s="66"/>
    </row>
    <row r="948" ht="14.2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  <c r="AD948" s="66"/>
      <c r="AE948" s="66"/>
      <c r="AF948" s="66"/>
      <c r="AG948" s="66"/>
      <c r="AH948" s="66"/>
      <c r="AI948" s="66"/>
      <c r="AJ948" s="66"/>
      <c r="AK948" s="66"/>
      <c r="AL948" s="66"/>
      <c r="AM948" s="66"/>
      <c r="AN948" s="66"/>
      <c r="AO948" s="66"/>
      <c r="AP948" s="66"/>
      <c r="AQ948" s="66"/>
      <c r="AR948" s="66"/>
      <c r="AS948" s="66"/>
      <c r="AT948" s="66"/>
      <c r="AU948" s="66"/>
      <c r="AV948" s="66"/>
      <c r="AW948" s="66"/>
      <c r="AX948" s="66"/>
      <c r="AY948" s="66"/>
      <c r="AZ948" s="66"/>
      <c r="BA948" s="66"/>
      <c r="BB948" s="66"/>
      <c r="BC948" s="66"/>
    </row>
    <row r="949" ht="14.2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  <c r="AD949" s="66"/>
      <c r="AE949" s="66"/>
      <c r="AF949" s="66"/>
      <c r="AG949" s="66"/>
      <c r="AH949" s="66"/>
      <c r="AI949" s="66"/>
      <c r="AJ949" s="66"/>
      <c r="AK949" s="66"/>
      <c r="AL949" s="66"/>
      <c r="AM949" s="66"/>
      <c r="AN949" s="66"/>
      <c r="AO949" s="66"/>
      <c r="AP949" s="66"/>
      <c r="AQ949" s="66"/>
      <c r="AR949" s="66"/>
      <c r="AS949" s="66"/>
      <c r="AT949" s="66"/>
      <c r="AU949" s="66"/>
      <c r="AV949" s="66"/>
      <c r="AW949" s="66"/>
      <c r="AX949" s="66"/>
      <c r="AY949" s="66"/>
      <c r="AZ949" s="66"/>
      <c r="BA949" s="66"/>
      <c r="BB949" s="66"/>
      <c r="BC949" s="66"/>
    </row>
    <row r="950" ht="14.2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  <c r="AD950" s="66"/>
      <c r="AE950" s="66"/>
      <c r="AF950" s="66"/>
      <c r="AG950" s="66"/>
      <c r="AH950" s="66"/>
      <c r="AI950" s="66"/>
      <c r="AJ950" s="66"/>
      <c r="AK950" s="66"/>
      <c r="AL950" s="66"/>
      <c r="AM950" s="66"/>
      <c r="AN950" s="66"/>
      <c r="AO950" s="66"/>
      <c r="AP950" s="66"/>
      <c r="AQ950" s="66"/>
      <c r="AR950" s="66"/>
      <c r="AS950" s="66"/>
      <c r="AT950" s="66"/>
      <c r="AU950" s="66"/>
      <c r="AV950" s="66"/>
      <c r="AW950" s="66"/>
      <c r="AX950" s="66"/>
      <c r="AY950" s="66"/>
      <c r="AZ950" s="66"/>
      <c r="BA950" s="66"/>
      <c r="BB950" s="66"/>
      <c r="BC950" s="66"/>
    </row>
    <row r="951" ht="14.2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  <c r="AD951" s="66"/>
      <c r="AE951" s="66"/>
      <c r="AF951" s="66"/>
      <c r="AG951" s="66"/>
      <c r="AH951" s="66"/>
      <c r="AI951" s="66"/>
      <c r="AJ951" s="66"/>
      <c r="AK951" s="66"/>
      <c r="AL951" s="66"/>
      <c r="AM951" s="66"/>
      <c r="AN951" s="66"/>
      <c r="AO951" s="66"/>
      <c r="AP951" s="66"/>
      <c r="AQ951" s="66"/>
      <c r="AR951" s="66"/>
      <c r="AS951" s="66"/>
      <c r="AT951" s="66"/>
      <c r="AU951" s="66"/>
      <c r="AV951" s="66"/>
      <c r="AW951" s="66"/>
      <c r="AX951" s="66"/>
      <c r="AY951" s="66"/>
      <c r="AZ951" s="66"/>
      <c r="BA951" s="66"/>
      <c r="BB951" s="66"/>
      <c r="BC951" s="66"/>
    </row>
    <row r="952" ht="14.2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  <c r="AD952" s="66"/>
      <c r="AE952" s="66"/>
      <c r="AF952" s="66"/>
      <c r="AG952" s="66"/>
      <c r="AH952" s="66"/>
      <c r="AI952" s="66"/>
      <c r="AJ952" s="66"/>
      <c r="AK952" s="66"/>
      <c r="AL952" s="66"/>
      <c r="AM952" s="66"/>
      <c r="AN952" s="66"/>
      <c r="AO952" s="66"/>
      <c r="AP952" s="66"/>
      <c r="AQ952" s="66"/>
      <c r="AR952" s="66"/>
      <c r="AS952" s="66"/>
      <c r="AT952" s="66"/>
      <c r="AU952" s="66"/>
      <c r="AV952" s="66"/>
      <c r="AW952" s="66"/>
      <c r="AX952" s="66"/>
      <c r="AY952" s="66"/>
      <c r="AZ952" s="66"/>
      <c r="BA952" s="66"/>
      <c r="BB952" s="66"/>
      <c r="BC952" s="66"/>
    </row>
    <row r="953" ht="14.2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  <c r="AD953" s="66"/>
      <c r="AE953" s="66"/>
      <c r="AF953" s="66"/>
      <c r="AG953" s="66"/>
      <c r="AH953" s="66"/>
      <c r="AI953" s="66"/>
      <c r="AJ953" s="66"/>
      <c r="AK953" s="66"/>
      <c r="AL953" s="66"/>
      <c r="AM953" s="66"/>
      <c r="AN953" s="66"/>
      <c r="AO953" s="66"/>
      <c r="AP953" s="66"/>
      <c r="AQ953" s="66"/>
      <c r="AR953" s="66"/>
      <c r="AS953" s="66"/>
      <c r="AT953" s="66"/>
      <c r="AU953" s="66"/>
      <c r="AV953" s="66"/>
      <c r="AW953" s="66"/>
      <c r="AX953" s="66"/>
      <c r="AY953" s="66"/>
      <c r="AZ953" s="66"/>
      <c r="BA953" s="66"/>
      <c r="BB953" s="66"/>
      <c r="BC953" s="66"/>
    </row>
    <row r="954" ht="14.2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  <c r="AD954" s="66"/>
      <c r="AE954" s="66"/>
      <c r="AF954" s="66"/>
      <c r="AG954" s="66"/>
      <c r="AH954" s="66"/>
      <c r="AI954" s="66"/>
      <c r="AJ954" s="66"/>
      <c r="AK954" s="66"/>
      <c r="AL954" s="66"/>
      <c r="AM954" s="66"/>
      <c r="AN954" s="66"/>
      <c r="AO954" s="66"/>
      <c r="AP954" s="66"/>
      <c r="AQ954" s="66"/>
      <c r="AR954" s="66"/>
      <c r="AS954" s="66"/>
      <c r="AT954" s="66"/>
      <c r="AU954" s="66"/>
      <c r="AV954" s="66"/>
      <c r="AW954" s="66"/>
      <c r="AX954" s="66"/>
      <c r="AY954" s="66"/>
      <c r="AZ954" s="66"/>
      <c r="BA954" s="66"/>
      <c r="BB954" s="66"/>
      <c r="BC954" s="66"/>
    </row>
    <row r="955" ht="14.2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  <c r="AD955" s="66"/>
      <c r="AE955" s="66"/>
      <c r="AF955" s="66"/>
      <c r="AG955" s="66"/>
      <c r="AH955" s="66"/>
      <c r="AI955" s="66"/>
      <c r="AJ955" s="66"/>
      <c r="AK955" s="66"/>
      <c r="AL955" s="66"/>
      <c r="AM955" s="66"/>
      <c r="AN955" s="66"/>
      <c r="AO955" s="66"/>
      <c r="AP955" s="66"/>
      <c r="AQ955" s="66"/>
      <c r="AR955" s="66"/>
      <c r="AS955" s="66"/>
      <c r="AT955" s="66"/>
      <c r="AU955" s="66"/>
      <c r="AV955" s="66"/>
      <c r="AW955" s="66"/>
      <c r="AX955" s="66"/>
      <c r="AY955" s="66"/>
      <c r="AZ955" s="66"/>
      <c r="BA955" s="66"/>
      <c r="BB955" s="66"/>
      <c r="BC955" s="66"/>
    </row>
    <row r="956" ht="14.2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  <c r="AD956" s="66"/>
      <c r="AE956" s="66"/>
      <c r="AF956" s="66"/>
      <c r="AG956" s="66"/>
      <c r="AH956" s="66"/>
      <c r="AI956" s="66"/>
      <c r="AJ956" s="66"/>
      <c r="AK956" s="66"/>
      <c r="AL956" s="66"/>
      <c r="AM956" s="66"/>
      <c r="AN956" s="66"/>
      <c r="AO956" s="66"/>
      <c r="AP956" s="66"/>
      <c r="AQ956" s="66"/>
      <c r="AR956" s="66"/>
      <c r="AS956" s="66"/>
      <c r="AT956" s="66"/>
      <c r="AU956" s="66"/>
      <c r="AV956" s="66"/>
      <c r="AW956" s="66"/>
      <c r="AX956" s="66"/>
      <c r="AY956" s="66"/>
      <c r="AZ956" s="66"/>
      <c r="BA956" s="66"/>
      <c r="BB956" s="66"/>
      <c r="BC956" s="66"/>
    </row>
    <row r="957" ht="14.2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  <c r="AD957" s="66"/>
      <c r="AE957" s="66"/>
      <c r="AF957" s="66"/>
      <c r="AG957" s="66"/>
      <c r="AH957" s="66"/>
      <c r="AI957" s="66"/>
      <c r="AJ957" s="66"/>
      <c r="AK957" s="66"/>
      <c r="AL957" s="66"/>
      <c r="AM957" s="66"/>
      <c r="AN957" s="66"/>
      <c r="AO957" s="66"/>
      <c r="AP957" s="66"/>
      <c r="AQ957" s="66"/>
      <c r="AR957" s="66"/>
      <c r="AS957" s="66"/>
      <c r="AT957" s="66"/>
      <c r="AU957" s="66"/>
      <c r="AV957" s="66"/>
      <c r="AW957" s="66"/>
      <c r="AX957" s="66"/>
      <c r="AY957" s="66"/>
      <c r="AZ957" s="66"/>
      <c r="BA957" s="66"/>
      <c r="BB957" s="66"/>
      <c r="BC957" s="66"/>
    </row>
    <row r="958" ht="14.2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  <c r="AD958" s="66"/>
      <c r="AE958" s="66"/>
      <c r="AF958" s="66"/>
      <c r="AG958" s="66"/>
      <c r="AH958" s="66"/>
      <c r="AI958" s="66"/>
      <c r="AJ958" s="66"/>
      <c r="AK958" s="66"/>
      <c r="AL958" s="66"/>
      <c r="AM958" s="66"/>
      <c r="AN958" s="66"/>
      <c r="AO958" s="66"/>
      <c r="AP958" s="66"/>
      <c r="AQ958" s="66"/>
      <c r="AR958" s="66"/>
      <c r="AS958" s="66"/>
      <c r="AT958" s="66"/>
      <c r="AU958" s="66"/>
      <c r="AV958" s="66"/>
      <c r="AW958" s="66"/>
      <c r="AX958" s="66"/>
      <c r="AY958" s="66"/>
      <c r="AZ958" s="66"/>
      <c r="BA958" s="66"/>
      <c r="BB958" s="66"/>
      <c r="BC958" s="66"/>
    </row>
    <row r="959" ht="14.2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  <c r="AD959" s="66"/>
      <c r="AE959" s="66"/>
      <c r="AF959" s="66"/>
      <c r="AG959" s="66"/>
      <c r="AH959" s="66"/>
      <c r="AI959" s="66"/>
      <c r="AJ959" s="66"/>
      <c r="AK959" s="66"/>
      <c r="AL959" s="66"/>
      <c r="AM959" s="66"/>
      <c r="AN959" s="66"/>
      <c r="AO959" s="66"/>
      <c r="AP959" s="66"/>
      <c r="AQ959" s="66"/>
      <c r="AR959" s="66"/>
      <c r="AS959" s="66"/>
      <c r="AT959" s="66"/>
      <c r="AU959" s="66"/>
      <c r="AV959" s="66"/>
      <c r="AW959" s="66"/>
      <c r="AX959" s="66"/>
      <c r="AY959" s="66"/>
      <c r="AZ959" s="66"/>
      <c r="BA959" s="66"/>
      <c r="BB959" s="66"/>
      <c r="BC959" s="66"/>
    </row>
    <row r="960" ht="14.2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  <c r="AD960" s="66"/>
      <c r="AE960" s="66"/>
      <c r="AF960" s="66"/>
      <c r="AG960" s="66"/>
      <c r="AH960" s="66"/>
      <c r="AI960" s="66"/>
      <c r="AJ960" s="66"/>
      <c r="AK960" s="66"/>
      <c r="AL960" s="66"/>
      <c r="AM960" s="66"/>
      <c r="AN960" s="66"/>
      <c r="AO960" s="66"/>
      <c r="AP960" s="66"/>
      <c r="AQ960" s="66"/>
      <c r="AR960" s="66"/>
      <c r="AS960" s="66"/>
      <c r="AT960" s="66"/>
      <c r="AU960" s="66"/>
      <c r="AV960" s="66"/>
      <c r="AW960" s="66"/>
      <c r="AX960" s="66"/>
      <c r="AY960" s="66"/>
      <c r="AZ960" s="66"/>
      <c r="BA960" s="66"/>
      <c r="BB960" s="66"/>
      <c r="BC960" s="66"/>
    </row>
    <row r="961" ht="14.2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  <c r="AD961" s="66"/>
      <c r="AE961" s="66"/>
      <c r="AF961" s="66"/>
      <c r="AG961" s="66"/>
      <c r="AH961" s="66"/>
      <c r="AI961" s="66"/>
      <c r="AJ961" s="66"/>
      <c r="AK961" s="66"/>
      <c r="AL961" s="66"/>
      <c r="AM961" s="66"/>
      <c r="AN961" s="66"/>
      <c r="AO961" s="66"/>
      <c r="AP961" s="66"/>
      <c r="AQ961" s="66"/>
      <c r="AR961" s="66"/>
      <c r="AS961" s="66"/>
      <c r="AT961" s="66"/>
      <c r="AU961" s="66"/>
      <c r="AV961" s="66"/>
      <c r="AW961" s="66"/>
      <c r="AX961" s="66"/>
      <c r="AY961" s="66"/>
      <c r="AZ961" s="66"/>
      <c r="BA961" s="66"/>
      <c r="BB961" s="66"/>
      <c r="BC961" s="66"/>
    </row>
    <row r="962" ht="14.2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  <c r="AD962" s="66"/>
      <c r="AE962" s="66"/>
      <c r="AF962" s="66"/>
      <c r="AG962" s="66"/>
      <c r="AH962" s="66"/>
      <c r="AI962" s="66"/>
      <c r="AJ962" s="66"/>
      <c r="AK962" s="66"/>
      <c r="AL962" s="66"/>
      <c r="AM962" s="66"/>
      <c r="AN962" s="66"/>
      <c r="AO962" s="66"/>
      <c r="AP962" s="66"/>
      <c r="AQ962" s="66"/>
      <c r="AR962" s="66"/>
      <c r="AS962" s="66"/>
      <c r="AT962" s="66"/>
      <c r="AU962" s="66"/>
      <c r="AV962" s="66"/>
      <c r="AW962" s="66"/>
      <c r="AX962" s="66"/>
      <c r="AY962" s="66"/>
      <c r="AZ962" s="66"/>
      <c r="BA962" s="66"/>
      <c r="BB962" s="66"/>
      <c r="BC962" s="66"/>
    </row>
    <row r="963" ht="14.2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  <c r="AD963" s="66"/>
      <c r="AE963" s="66"/>
      <c r="AF963" s="66"/>
      <c r="AG963" s="66"/>
      <c r="AH963" s="66"/>
      <c r="AI963" s="66"/>
      <c r="AJ963" s="66"/>
      <c r="AK963" s="66"/>
      <c r="AL963" s="66"/>
      <c r="AM963" s="66"/>
      <c r="AN963" s="66"/>
      <c r="AO963" s="66"/>
      <c r="AP963" s="66"/>
      <c r="AQ963" s="66"/>
      <c r="AR963" s="66"/>
      <c r="AS963" s="66"/>
      <c r="AT963" s="66"/>
      <c r="AU963" s="66"/>
      <c r="AV963" s="66"/>
      <c r="AW963" s="66"/>
      <c r="AX963" s="66"/>
      <c r="AY963" s="66"/>
      <c r="AZ963" s="66"/>
      <c r="BA963" s="66"/>
      <c r="BB963" s="66"/>
      <c r="BC963" s="66"/>
    </row>
    <row r="964" ht="14.2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  <c r="AD964" s="66"/>
      <c r="AE964" s="66"/>
      <c r="AF964" s="66"/>
      <c r="AG964" s="66"/>
      <c r="AH964" s="66"/>
      <c r="AI964" s="66"/>
      <c r="AJ964" s="66"/>
      <c r="AK964" s="66"/>
      <c r="AL964" s="66"/>
      <c r="AM964" s="66"/>
      <c r="AN964" s="66"/>
      <c r="AO964" s="66"/>
      <c r="AP964" s="66"/>
      <c r="AQ964" s="66"/>
      <c r="AR964" s="66"/>
      <c r="AS964" s="66"/>
      <c r="AT964" s="66"/>
      <c r="AU964" s="66"/>
      <c r="AV964" s="66"/>
      <c r="AW964" s="66"/>
      <c r="AX964" s="66"/>
      <c r="AY964" s="66"/>
      <c r="AZ964" s="66"/>
      <c r="BA964" s="66"/>
      <c r="BB964" s="66"/>
      <c r="BC964" s="66"/>
    </row>
    <row r="965" ht="14.2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  <c r="AD965" s="66"/>
      <c r="AE965" s="66"/>
      <c r="AF965" s="66"/>
      <c r="AG965" s="66"/>
      <c r="AH965" s="66"/>
      <c r="AI965" s="66"/>
      <c r="AJ965" s="66"/>
      <c r="AK965" s="66"/>
      <c r="AL965" s="66"/>
      <c r="AM965" s="66"/>
      <c r="AN965" s="66"/>
      <c r="AO965" s="66"/>
      <c r="AP965" s="66"/>
      <c r="AQ965" s="66"/>
      <c r="AR965" s="66"/>
      <c r="AS965" s="66"/>
      <c r="AT965" s="66"/>
      <c r="AU965" s="66"/>
      <c r="AV965" s="66"/>
      <c r="AW965" s="66"/>
      <c r="AX965" s="66"/>
      <c r="AY965" s="66"/>
      <c r="AZ965" s="66"/>
      <c r="BA965" s="66"/>
      <c r="BB965" s="66"/>
      <c r="BC965" s="66"/>
    </row>
    <row r="966" ht="14.2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  <c r="AD966" s="66"/>
      <c r="AE966" s="66"/>
      <c r="AF966" s="66"/>
      <c r="AG966" s="66"/>
      <c r="AH966" s="66"/>
      <c r="AI966" s="66"/>
      <c r="AJ966" s="66"/>
      <c r="AK966" s="66"/>
      <c r="AL966" s="66"/>
      <c r="AM966" s="66"/>
      <c r="AN966" s="66"/>
      <c r="AO966" s="66"/>
      <c r="AP966" s="66"/>
      <c r="AQ966" s="66"/>
      <c r="AR966" s="66"/>
      <c r="AS966" s="66"/>
      <c r="AT966" s="66"/>
      <c r="AU966" s="66"/>
      <c r="AV966" s="66"/>
      <c r="AW966" s="66"/>
      <c r="AX966" s="66"/>
      <c r="AY966" s="66"/>
      <c r="AZ966" s="66"/>
      <c r="BA966" s="66"/>
      <c r="BB966" s="66"/>
      <c r="BC966" s="66"/>
    </row>
    <row r="967" ht="14.2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  <c r="AD967" s="66"/>
      <c r="AE967" s="66"/>
      <c r="AF967" s="66"/>
      <c r="AG967" s="66"/>
      <c r="AH967" s="66"/>
      <c r="AI967" s="66"/>
      <c r="AJ967" s="66"/>
      <c r="AK967" s="66"/>
      <c r="AL967" s="66"/>
      <c r="AM967" s="66"/>
      <c r="AN967" s="66"/>
      <c r="AO967" s="66"/>
      <c r="AP967" s="66"/>
      <c r="AQ967" s="66"/>
      <c r="AR967" s="66"/>
      <c r="AS967" s="66"/>
      <c r="AT967" s="66"/>
      <c r="AU967" s="66"/>
      <c r="AV967" s="66"/>
      <c r="AW967" s="66"/>
      <c r="AX967" s="66"/>
      <c r="AY967" s="66"/>
      <c r="AZ967" s="66"/>
      <c r="BA967" s="66"/>
      <c r="BB967" s="66"/>
      <c r="BC967" s="66"/>
    </row>
    <row r="968" ht="14.2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  <c r="AD968" s="66"/>
      <c r="AE968" s="66"/>
      <c r="AF968" s="66"/>
      <c r="AG968" s="66"/>
      <c r="AH968" s="66"/>
      <c r="AI968" s="66"/>
      <c r="AJ968" s="66"/>
      <c r="AK968" s="66"/>
      <c r="AL968" s="66"/>
      <c r="AM968" s="66"/>
      <c r="AN968" s="66"/>
      <c r="AO968" s="66"/>
      <c r="AP968" s="66"/>
      <c r="AQ968" s="66"/>
      <c r="AR968" s="66"/>
      <c r="AS968" s="66"/>
      <c r="AT968" s="66"/>
      <c r="AU968" s="66"/>
      <c r="AV968" s="66"/>
      <c r="AW968" s="66"/>
      <c r="AX968" s="66"/>
      <c r="AY968" s="66"/>
      <c r="AZ968" s="66"/>
      <c r="BA968" s="66"/>
      <c r="BB968" s="66"/>
      <c r="BC968" s="66"/>
    </row>
    <row r="969" ht="14.2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  <c r="AD969" s="66"/>
      <c r="AE969" s="66"/>
      <c r="AF969" s="66"/>
      <c r="AG969" s="66"/>
      <c r="AH969" s="66"/>
      <c r="AI969" s="66"/>
      <c r="AJ969" s="66"/>
      <c r="AK969" s="66"/>
      <c r="AL969" s="66"/>
      <c r="AM969" s="66"/>
      <c r="AN969" s="66"/>
      <c r="AO969" s="66"/>
      <c r="AP969" s="66"/>
      <c r="AQ969" s="66"/>
      <c r="AR969" s="66"/>
      <c r="AS969" s="66"/>
      <c r="AT969" s="66"/>
      <c r="AU969" s="66"/>
      <c r="AV969" s="66"/>
      <c r="AW969" s="66"/>
      <c r="AX969" s="66"/>
      <c r="AY969" s="66"/>
      <c r="AZ969" s="66"/>
      <c r="BA969" s="66"/>
      <c r="BB969" s="66"/>
      <c r="BC969" s="66"/>
    </row>
    <row r="970" ht="14.2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  <c r="AD970" s="66"/>
      <c r="AE970" s="66"/>
      <c r="AF970" s="66"/>
      <c r="AG970" s="66"/>
      <c r="AH970" s="66"/>
      <c r="AI970" s="66"/>
      <c r="AJ970" s="66"/>
      <c r="AK970" s="66"/>
      <c r="AL970" s="66"/>
      <c r="AM970" s="66"/>
      <c r="AN970" s="66"/>
      <c r="AO970" s="66"/>
      <c r="AP970" s="66"/>
      <c r="AQ970" s="66"/>
      <c r="AR970" s="66"/>
      <c r="AS970" s="66"/>
      <c r="AT970" s="66"/>
      <c r="AU970" s="66"/>
      <c r="AV970" s="66"/>
      <c r="AW970" s="66"/>
      <c r="AX970" s="66"/>
      <c r="AY970" s="66"/>
      <c r="AZ970" s="66"/>
      <c r="BA970" s="66"/>
      <c r="BB970" s="66"/>
      <c r="BC970" s="66"/>
    </row>
    <row r="971" ht="14.2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  <c r="AD971" s="66"/>
      <c r="AE971" s="66"/>
      <c r="AF971" s="66"/>
      <c r="AG971" s="66"/>
      <c r="AH971" s="66"/>
      <c r="AI971" s="66"/>
      <c r="AJ971" s="66"/>
      <c r="AK971" s="66"/>
      <c r="AL971" s="66"/>
      <c r="AM971" s="66"/>
      <c r="AN971" s="66"/>
      <c r="AO971" s="66"/>
      <c r="AP971" s="66"/>
      <c r="AQ971" s="66"/>
      <c r="AR971" s="66"/>
      <c r="AS971" s="66"/>
      <c r="AT971" s="66"/>
      <c r="AU971" s="66"/>
      <c r="AV971" s="66"/>
      <c r="AW971" s="66"/>
      <c r="AX971" s="66"/>
      <c r="AY971" s="66"/>
      <c r="AZ971" s="66"/>
      <c r="BA971" s="66"/>
      <c r="BB971" s="66"/>
      <c r="BC971" s="66"/>
    </row>
    <row r="972" ht="14.2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  <c r="AD972" s="66"/>
      <c r="AE972" s="66"/>
      <c r="AF972" s="66"/>
      <c r="AG972" s="66"/>
      <c r="AH972" s="66"/>
      <c r="AI972" s="66"/>
      <c r="AJ972" s="66"/>
      <c r="AK972" s="66"/>
      <c r="AL972" s="66"/>
      <c r="AM972" s="66"/>
      <c r="AN972" s="66"/>
      <c r="AO972" s="66"/>
      <c r="AP972" s="66"/>
      <c r="AQ972" s="66"/>
      <c r="AR972" s="66"/>
      <c r="AS972" s="66"/>
      <c r="AT972" s="66"/>
      <c r="AU972" s="66"/>
      <c r="AV972" s="66"/>
      <c r="AW972" s="66"/>
      <c r="AX972" s="66"/>
      <c r="AY972" s="66"/>
      <c r="AZ972" s="66"/>
      <c r="BA972" s="66"/>
      <c r="BB972" s="66"/>
      <c r="BC972" s="66"/>
    </row>
    <row r="973" ht="14.2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  <c r="AD973" s="66"/>
      <c r="AE973" s="66"/>
      <c r="AF973" s="66"/>
      <c r="AG973" s="66"/>
      <c r="AH973" s="66"/>
      <c r="AI973" s="66"/>
      <c r="AJ973" s="66"/>
      <c r="AK973" s="66"/>
      <c r="AL973" s="66"/>
      <c r="AM973" s="66"/>
      <c r="AN973" s="66"/>
      <c r="AO973" s="66"/>
      <c r="AP973" s="66"/>
      <c r="AQ973" s="66"/>
      <c r="AR973" s="66"/>
      <c r="AS973" s="66"/>
      <c r="AT973" s="66"/>
      <c r="AU973" s="66"/>
      <c r="AV973" s="66"/>
      <c r="AW973" s="66"/>
      <c r="AX973" s="66"/>
      <c r="AY973" s="66"/>
      <c r="AZ973" s="66"/>
      <c r="BA973" s="66"/>
      <c r="BB973" s="66"/>
      <c r="BC973" s="66"/>
    </row>
    <row r="974" ht="14.2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  <c r="AD974" s="66"/>
      <c r="AE974" s="66"/>
      <c r="AF974" s="66"/>
      <c r="AG974" s="66"/>
      <c r="AH974" s="66"/>
      <c r="AI974" s="66"/>
      <c r="AJ974" s="66"/>
      <c r="AK974" s="66"/>
      <c r="AL974" s="66"/>
      <c r="AM974" s="66"/>
      <c r="AN974" s="66"/>
      <c r="AO974" s="66"/>
      <c r="AP974" s="66"/>
      <c r="AQ974" s="66"/>
      <c r="AR974" s="66"/>
      <c r="AS974" s="66"/>
      <c r="AT974" s="66"/>
      <c r="AU974" s="66"/>
      <c r="AV974" s="66"/>
      <c r="AW974" s="66"/>
      <c r="AX974" s="66"/>
      <c r="AY974" s="66"/>
      <c r="AZ974" s="66"/>
      <c r="BA974" s="66"/>
      <c r="BB974" s="66"/>
      <c r="BC974" s="66"/>
    </row>
    <row r="975" ht="14.2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  <c r="AD975" s="66"/>
      <c r="AE975" s="66"/>
      <c r="AF975" s="66"/>
      <c r="AG975" s="66"/>
      <c r="AH975" s="66"/>
      <c r="AI975" s="66"/>
      <c r="AJ975" s="66"/>
      <c r="AK975" s="66"/>
      <c r="AL975" s="66"/>
      <c r="AM975" s="66"/>
      <c r="AN975" s="66"/>
      <c r="AO975" s="66"/>
      <c r="AP975" s="66"/>
      <c r="AQ975" s="66"/>
      <c r="AR975" s="66"/>
      <c r="AS975" s="66"/>
      <c r="AT975" s="66"/>
      <c r="AU975" s="66"/>
      <c r="AV975" s="66"/>
      <c r="AW975" s="66"/>
      <c r="AX975" s="66"/>
      <c r="AY975" s="66"/>
      <c r="AZ975" s="66"/>
      <c r="BA975" s="66"/>
      <c r="BB975" s="66"/>
      <c r="BC975" s="66"/>
    </row>
    <row r="976" ht="14.2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  <c r="AD976" s="66"/>
      <c r="AE976" s="66"/>
      <c r="AF976" s="66"/>
      <c r="AG976" s="66"/>
      <c r="AH976" s="66"/>
      <c r="AI976" s="66"/>
      <c r="AJ976" s="66"/>
      <c r="AK976" s="66"/>
      <c r="AL976" s="66"/>
      <c r="AM976" s="66"/>
      <c r="AN976" s="66"/>
      <c r="AO976" s="66"/>
      <c r="AP976" s="66"/>
      <c r="AQ976" s="66"/>
      <c r="AR976" s="66"/>
      <c r="AS976" s="66"/>
      <c r="AT976" s="66"/>
      <c r="AU976" s="66"/>
      <c r="AV976" s="66"/>
      <c r="AW976" s="66"/>
      <c r="AX976" s="66"/>
      <c r="AY976" s="66"/>
      <c r="AZ976" s="66"/>
      <c r="BA976" s="66"/>
      <c r="BB976" s="66"/>
      <c r="BC976" s="66"/>
    </row>
    <row r="977" ht="14.2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  <c r="AD977" s="66"/>
      <c r="AE977" s="66"/>
      <c r="AF977" s="66"/>
      <c r="AG977" s="66"/>
      <c r="AH977" s="66"/>
      <c r="AI977" s="66"/>
      <c r="AJ977" s="66"/>
      <c r="AK977" s="66"/>
      <c r="AL977" s="66"/>
      <c r="AM977" s="66"/>
      <c r="AN977" s="66"/>
      <c r="AO977" s="66"/>
      <c r="AP977" s="66"/>
      <c r="AQ977" s="66"/>
      <c r="AR977" s="66"/>
      <c r="AS977" s="66"/>
      <c r="AT977" s="66"/>
      <c r="AU977" s="66"/>
      <c r="AV977" s="66"/>
      <c r="AW977" s="66"/>
      <c r="AX977" s="66"/>
      <c r="AY977" s="66"/>
      <c r="AZ977" s="66"/>
      <c r="BA977" s="66"/>
      <c r="BB977" s="66"/>
      <c r="BC977" s="66"/>
    </row>
    <row r="978" ht="14.2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  <c r="AD978" s="66"/>
      <c r="AE978" s="66"/>
      <c r="AF978" s="66"/>
      <c r="AG978" s="66"/>
      <c r="AH978" s="66"/>
      <c r="AI978" s="66"/>
      <c r="AJ978" s="66"/>
      <c r="AK978" s="66"/>
      <c r="AL978" s="66"/>
      <c r="AM978" s="66"/>
      <c r="AN978" s="66"/>
      <c r="AO978" s="66"/>
      <c r="AP978" s="66"/>
      <c r="AQ978" s="66"/>
      <c r="AR978" s="66"/>
      <c r="AS978" s="66"/>
      <c r="AT978" s="66"/>
      <c r="AU978" s="66"/>
      <c r="AV978" s="66"/>
      <c r="AW978" s="66"/>
      <c r="AX978" s="66"/>
      <c r="AY978" s="66"/>
      <c r="AZ978" s="66"/>
      <c r="BA978" s="66"/>
      <c r="BB978" s="66"/>
      <c r="BC978" s="66"/>
    </row>
    <row r="979" ht="14.2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  <c r="AD979" s="66"/>
      <c r="AE979" s="66"/>
      <c r="AF979" s="66"/>
      <c r="AG979" s="66"/>
      <c r="AH979" s="66"/>
      <c r="AI979" s="66"/>
      <c r="AJ979" s="66"/>
      <c r="AK979" s="66"/>
      <c r="AL979" s="66"/>
      <c r="AM979" s="66"/>
      <c r="AN979" s="66"/>
      <c r="AO979" s="66"/>
      <c r="AP979" s="66"/>
      <c r="AQ979" s="66"/>
      <c r="AR979" s="66"/>
      <c r="AS979" s="66"/>
      <c r="AT979" s="66"/>
      <c r="AU979" s="66"/>
      <c r="AV979" s="66"/>
      <c r="AW979" s="66"/>
      <c r="AX979" s="66"/>
      <c r="AY979" s="66"/>
      <c r="AZ979" s="66"/>
      <c r="BA979" s="66"/>
      <c r="BB979" s="66"/>
      <c r="BC979" s="66"/>
    </row>
    <row r="980" ht="14.2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  <c r="AD980" s="66"/>
      <c r="AE980" s="66"/>
      <c r="AF980" s="66"/>
      <c r="AG980" s="66"/>
      <c r="AH980" s="66"/>
      <c r="AI980" s="66"/>
      <c r="AJ980" s="66"/>
      <c r="AK980" s="66"/>
      <c r="AL980" s="66"/>
      <c r="AM980" s="66"/>
      <c r="AN980" s="66"/>
      <c r="AO980" s="66"/>
      <c r="AP980" s="66"/>
      <c r="AQ980" s="66"/>
      <c r="AR980" s="66"/>
      <c r="AS980" s="66"/>
      <c r="AT980" s="66"/>
      <c r="AU980" s="66"/>
      <c r="AV980" s="66"/>
      <c r="AW980" s="66"/>
      <c r="AX980" s="66"/>
      <c r="AY980" s="66"/>
      <c r="AZ980" s="66"/>
      <c r="BA980" s="66"/>
      <c r="BB980" s="66"/>
      <c r="BC980" s="66"/>
    </row>
    <row r="981" ht="14.2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  <c r="AD981" s="66"/>
      <c r="AE981" s="66"/>
      <c r="AF981" s="66"/>
      <c r="AG981" s="66"/>
      <c r="AH981" s="66"/>
      <c r="AI981" s="66"/>
      <c r="AJ981" s="66"/>
      <c r="AK981" s="66"/>
      <c r="AL981" s="66"/>
      <c r="AM981" s="66"/>
      <c r="AN981" s="66"/>
      <c r="AO981" s="66"/>
      <c r="AP981" s="66"/>
      <c r="AQ981" s="66"/>
      <c r="AR981" s="66"/>
      <c r="AS981" s="66"/>
      <c r="AT981" s="66"/>
      <c r="AU981" s="66"/>
      <c r="AV981" s="66"/>
      <c r="AW981" s="66"/>
      <c r="AX981" s="66"/>
      <c r="AY981" s="66"/>
      <c r="AZ981" s="66"/>
      <c r="BA981" s="66"/>
      <c r="BB981" s="66"/>
      <c r="BC981" s="66"/>
    </row>
    <row r="982" ht="14.2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  <c r="AD982" s="66"/>
      <c r="AE982" s="66"/>
      <c r="AF982" s="66"/>
      <c r="AG982" s="66"/>
      <c r="AH982" s="66"/>
      <c r="AI982" s="66"/>
      <c r="AJ982" s="66"/>
      <c r="AK982" s="66"/>
      <c r="AL982" s="66"/>
      <c r="AM982" s="66"/>
      <c r="AN982" s="66"/>
      <c r="AO982" s="66"/>
      <c r="AP982" s="66"/>
      <c r="AQ982" s="66"/>
      <c r="AR982" s="66"/>
      <c r="AS982" s="66"/>
      <c r="AT982" s="66"/>
      <c r="AU982" s="66"/>
      <c r="AV982" s="66"/>
      <c r="AW982" s="66"/>
      <c r="AX982" s="66"/>
      <c r="AY982" s="66"/>
      <c r="AZ982" s="66"/>
      <c r="BA982" s="66"/>
      <c r="BB982" s="66"/>
      <c r="BC982" s="66"/>
    </row>
    <row r="983" ht="14.2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  <c r="AD983" s="66"/>
      <c r="AE983" s="66"/>
      <c r="AF983" s="66"/>
      <c r="AG983" s="66"/>
      <c r="AH983" s="66"/>
      <c r="AI983" s="66"/>
      <c r="AJ983" s="66"/>
      <c r="AK983" s="66"/>
      <c r="AL983" s="66"/>
      <c r="AM983" s="66"/>
      <c r="AN983" s="66"/>
      <c r="AO983" s="66"/>
      <c r="AP983" s="66"/>
      <c r="AQ983" s="66"/>
      <c r="AR983" s="66"/>
      <c r="AS983" s="66"/>
      <c r="AT983" s="66"/>
      <c r="AU983" s="66"/>
      <c r="AV983" s="66"/>
      <c r="AW983" s="66"/>
      <c r="AX983" s="66"/>
      <c r="AY983" s="66"/>
      <c r="AZ983" s="66"/>
      <c r="BA983" s="66"/>
      <c r="BB983" s="66"/>
      <c r="BC983" s="66"/>
    </row>
    <row r="984" ht="14.2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  <c r="AD984" s="66"/>
      <c r="AE984" s="66"/>
      <c r="AF984" s="66"/>
      <c r="AG984" s="66"/>
      <c r="AH984" s="66"/>
      <c r="AI984" s="66"/>
      <c r="AJ984" s="66"/>
      <c r="AK984" s="66"/>
      <c r="AL984" s="66"/>
      <c r="AM984" s="66"/>
      <c r="AN984" s="66"/>
      <c r="AO984" s="66"/>
      <c r="AP984" s="66"/>
      <c r="AQ984" s="66"/>
      <c r="AR984" s="66"/>
      <c r="AS984" s="66"/>
      <c r="AT984" s="66"/>
      <c r="AU984" s="66"/>
      <c r="AV984" s="66"/>
      <c r="AW984" s="66"/>
      <c r="AX984" s="66"/>
      <c r="AY984" s="66"/>
      <c r="AZ984" s="66"/>
      <c r="BA984" s="66"/>
      <c r="BB984" s="66"/>
      <c r="BC984" s="66"/>
    </row>
    <row r="985" ht="14.2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  <c r="AD985" s="66"/>
      <c r="AE985" s="66"/>
      <c r="AF985" s="66"/>
      <c r="AG985" s="66"/>
      <c r="AH985" s="66"/>
      <c r="AI985" s="66"/>
      <c r="AJ985" s="66"/>
      <c r="AK985" s="66"/>
      <c r="AL985" s="66"/>
      <c r="AM985" s="66"/>
      <c r="AN985" s="66"/>
      <c r="AO985" s="66"/>
      <c r="AP985" s="66"/>
      <c r="AQ985" s="66"/>
      <c r="AR985" s="66"/>
      <c r="AS985" s="66"/>
      <c r="AT985" s="66"/>
      <c r="AU985" s="66"/>
      <c r="AV985" s="66"/>
      <c r="AW985" s="66"/>
      <c r="AX985" s="66"/>
      <c r="AY985" s="66"/>
      <c r="AZ985" s="66"/>
      <c r="BA985" s="66"/>
      <c r="BB985" s="66"/>
      <c r="BC985" s="66"/>
    </row>
    <row r="986" ht="14.2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  <c r="AD986" s="66"/>
      <c r="AE986" s="66"/>
      <c r="AF986" s="66"/>
      <c r="AG986" s="66"/>
      <c r="AH986" s="66"/>
      <c r="AI986" s="66"/>
      <c r="AJ986" s="66"/>
      <c r="AK986" s="66"/>
      <c r="AL986" s="66"/>
      <c r="AM986" s="66"/>
      <c r="AN986" s="66"/>
      <c r="AO986" s="66"/>
      <c r="AP986" s="66"/>
      <c r="AQ986" s="66"/>
      <c r="AR986" s="66"/>
      <c r="AS986" s="66"/>
      <c r="AT986" s="66"/>
      <c r="AU986" s="66"/>
      <c r="AV986" s="66"/>
      <c r="AW986" s="66"/>
      <c r="AX986" s="66"/>
      <c r="AY986" s="66"/>
      <c r="AZ986" s="66"/>
      <c r="BA986" s="66"/>
      <c r="BB986" s="66"/>
      <c r="BC986" s="66"/>
    </row>
    <row r="987" ht="14.2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  <c r="AD987" s="66"/>
      <c r="AE987" s="66"/>
      <c r="AF987" s="66"/>
      <c r="AG987" s="66"/>
      <c r="AH987" s="66"/>
      <c r="AI987" s="66"/>
      <c r="AJ987" s="66"/>
      <c r="AK987" s="66"/>
      <c r="AL987" s="66"/>
      <c r="AM987" s="66"/>
      <c r="AN987" s="66"/>
      <c r="AO987" s="66"/>
      <c r="AP987" s="66"/>
      <c r="AQ987" s="66"/>
      <c r="AR987" s="66"/>
      <c r="AS987" s="66"/>
      <c r="AT987" s="66"/>
      <c r="AU987" s="66"/>
      <c r="AV987" s="66"/>
      <c r="AW987" s="66"/>
      <c r="AX987" s="66"/>
      <c r="AY987" s="66"/>
      <c r="AZ987" s="66"/>
      <c r="BA987" s="66"/>
      <c r="BB987" s="66"/>
      <c r="BC987" s="66"/>
    </row>
    <row r="988" ht="14.2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  <c r="AD988" s="66"/>
      <c r="AE988" s="66"/>
      <c r="AF988" s="66"/>
      <c r="AG988" s="66"/>
      <c r="AH988" s="66"/>
      <c r="AI988" s="66"/>
      <c r="AJ988" s="66"/>
      <c r="AK988" s="66"/>
      <c r="AL988" s="66"/>
      <c r="AM988" s="66"/>
      <c r="AN988" s="66"/>
      <c r="AO988" s="66"/>
      <c r="AP988" s="66"/>
      <c r="AQ988" s="66"/>
      <c r="AR988" s="66"/>
      <c r="AS988" s="66"/>
      <c r="AT988" s="66"/>
      <c r="AU988" s="66"/>
      <c r="AV988" s="66"/>
      <c r="AW988" s="66"/>
      <c r="AX988" s="66"/>
      <c r="AY988" s="66"/>
      <c r="AZ988" s="66"/>
      <c r="BA988" s="66"/>
      <c r="BB988" s="66"/>
      <c r="BC988" s="66"/>
    </row>
    <row r="989" ht="14.2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  <c r="AD989" s="66"/>
      <c r="AE989" s="66"/>
      <c r="AF989" s="66"/>
      <c r="AG989" s="66"/>
      <c r="AH989" s="66"/>
      <c r="AI989" s="66"/>
      <c r="AJ989" s="66"/>
      <c r="AK989" s="66"/>
      <c r="AL989" s="66"/>
      <c r="AM989" s="66"/>
      <c r="AN989" s="66"/>
      <c r="AO989" s="66"/>
      <c r="AP989" s="66"/>
      <c r="AQ989" s="66"/>
      <c r="AR989" s="66"/>
      <c r="AS989" s="66"/>
      <c r="AT989" s="66"/>
      <c r="AU989" s="66"/>
      <c r="AV989" s="66"/>
      <c r="AW989" s="66"/>
      <c r="AX989" s="66"/>
      <c r="AY989" s="66"/>
      <c r="AZ989" s="66"/>
      <c r="BA989" s="66"/>
      <c r="BB989" s="66"/>
      <c r="BC989" s="66"/>
    </row>
    <row r="990" ht="14.2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  <c r="AD990" s="66"/>
      <c r="AE990" s="66"/>
      <c r="AF990" s="66"/>
      <c r="AG990" s="66"/>
      <c r="AH990" s="66"/>
      <c r="AI990" s="66"/>
      <c r="AJ990" s="66"/>
      <c r="AK990" s="66"/>
      <c r="AL990" s="66"/>
      <c r="AM990" s="66"/>
      <c r="AN990" s="66"/>
      <c r="AO990" s="66"/>
      <c r="AP990" s="66"/>
      <c r="AQ990" s="66"/>
      <c r="AR990" s="66"/>
      <c r="AS990" s="66"/>
      <c r="AT990" s="66"/>
      <c r="AU990" s="66"/>
      <c r="AV990" s="66"/>
      <c r="AW990" s="66"/>
      <c r="AX990" s="66"/>
      <c r="AY990" s="66"/>
      <c r="AZ990" s="66"/>
      <c r="BA990" s="66"/>
      <c r="BB990" s="66"/>
      <c r="BC990" s="66"/>
    </row>
    <row r="991" ht="14.2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  <c r="AD991" s="66"/>
      <c r="AE991" s="66"/>
      <c r="AF991" s="66"/>
      <c r="AG991" s="66"/>
      <c r="AH991" s="66"/>
      <c r="AI991" s="66"/>
      <c r="AJ991" s="66"/>
      <c r="AK991" s="66"/>
      <c r="AL991" s="66"/>
      <c r="AM991" s="66"/>
      <c r="AN991" s="66"/>
      <c r="AO991" s="66"/>
      <c r="AP991" s="66"/>
      <c r="AQ991" s="66"/>
      <c r="AR991" s="66"/>
      <c r="AS991" s="66"/>
      <c r="AT991" s="66"/>
      <c r="AU991" s="66"/>
      <c r="AV991" s="66"/>
      <c r="AW991" s="66"/>
      <c r="AX991" s="66"/>
      <c r="AY991" s="66"/>
      <c r="AZ991" s="66"/>
      <c r="BA991" s="66"/>
      <c r="BB991" s="66"/>
      <c r="BC991" s="66"/>
    </row>
    <row r="992" ht="14.2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  <c r="AD992" s="66"/>
      <c r="AE992" s="66"/>
      <c r="AF992" s="66"/>
      <c r="AG992" s="66"/>
      <c r="AH992" s="66"/>
      <c r="AI992" s="66"/>
      <c r="AJ992" s="66"/>
      <c r="AK992" s="66"/>
      <c r="AL992" s="66"/>
      <c r="AM992" s="66"/>
      <c r="AN992" s="66"/>
      <c r="AO992" s="66"/>
      <c r="AP992" s="66"/>
      <c r="AQ992" s="66"/>
      <c r="AR992" s="66"/>
      <c r="AS992" s="66"/>
      <c r="AT992" s="66"/>
      <c r="AU992" s="66"/>
      <c r="AV992" s="66"/>
      <c r="AW992" s="66"/>
      <c r="AX992" s="66"/>
      <c r="AY992" s="66"/>
      <c r="AZ992" s="66"/>
      <c r="BA992" s="66"/>
      <c r="BB992" s="66"/>
      <c r="BC992" s="66"/>
    </row>
    <row r="993" ht="14.2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  <c r="AD993" s="66"/>
      <c r="AE993" s="66"/>
      <c r="AF993" s="66"/>
      <c r="AG993" s="66"/>
      <c r="AH993" s="66"/>
      <c r="AI993" s="66"/>
      <c r="AJ993" s="66"/>
      <c r="AK993" s="66"/>
      <c r="AL993" s="66"/>
      <c r="AM993" s="66"/>
      <c r="AN993" s="66"/>
      <c r="AO993" s="66"/>
      <c r="AP993" s="66"/>
      <c r="AQ993" s="66"/>
      <c r="AR993" s="66"/>
      <c r="AS993" s="66"/>
      <c r="AT993" s="66"/>
      <c r="AU993" s="66"/>
      <c r="AV993" s="66"/>
      <c r="AW993" s="66"/>
      <c r="AX993" s="66"/>
      <c r="AY993" s="66"/>
      <c r="AZ993" s="66"/>
      <c r="BA993" s="66"/>
      <c r="BB993" s="66"/>
      <c r="BC993" s="66"/>
    </row>
    <row r="994" ht="14.2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  <c r="AD994" s="66"/>
      <c r="AE994" s="66"/>
      <c r="AF994" s="66"/>
      <c r="AG994" s="66"/>
      <c r="AH994" s="66"/>
      <c r="AI994" s="66"/>
      <c r="AJ994" s="66"/>
      <c r="AK994" s="66"/>
      <c r="AL994" s="66"/>
      <c r="AM994" s="66"/>
      <c r="AN994" s="66"/>
      <c r="AO994" s="66"/>
      <c r="AP994" s="66"/>
      <c r="AQ994" s="66"/>
      <c r="AR994" s="66"/>
      <c r="AS994" s="66"/>
      <c r="AT994" s="66"/>
      <c r="AU994" s="66"/>
      <c r="AV994" s="66"/>
      <c r="AW994" s="66"/>
      <c r="AX994" s="66"/>
      <c r="AY994" s="66"/>
      <c r="AZ994" s="66"/>
      <c r="BA994" s="66"/>
      <c r="BB994" s="66"/>
      <c r="BC994" s="66"/>
    </row>
    <row r="995" ht="14.2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  <c r="AD995" s="66"/>
      <c r="AE995" s="66"/>
      <c r="AF995" s="66"/>
      <c r="AG995" s="66"/>
      <c r="AH995" s="66"/>
      <c r="AI995" s="66"/>
      <c r="AJ995" s="66"/>
      <c r="AK995" s="66"/>
      <c r="AL995" s="66"/>
      <c r="AM995" s="66"/>
      <c r="AN995" s="66"/>
      <c r="AO995" s="66"/>
      <c r="AP995" s="66"/>
      <c r="AQ995" s="66"/>
      <c r="AR995" s="66"/>
      <c r="AS995" s="66"/>
      <c r="AT995" s="66"/>
      <c r="AU995" s="66"/>
      <c r="AV995" s="66"/>
      <c r="AW995" s="66"/>
      <c r="AX995" s="66"/>
      <c r="AY995" s="66"/>
      <c r="AZ995" s="66"/>
      <c r="BA995" s="66"/>
      <c r="BB995" s="66"/>
      <c r="BC995" s="66"/>
    </row>
    <row r="996" ht="14.2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  <c r="AD996" s="66"/>
      <c r="AE996" s="66"/>
      <c r="AF996" s="66"/>
      <c r="AG996" s="66"/>
      <c r="AH996" s="66"/>
      <c r="AI996" s="66"/>
      <c r="AJ996" s="66"/>
      <c r="AK996" s="66"/>
      <c r="AL996" s="66"/>
      <c r="AM996" s="66"/>
      <c r="AN996" s="66"/>
      <c r="AO996" s="66"/>
      <c r="AP996" s="66"/>
      <c r="AQ996" s="66"/>
      <c r="AR996" s="66"/>
      <c r="AS996" s="66"/>
      <c r="AT996" s="66"/>
      <c r="AU996" s="66"/>
      <c r="AV996" s="66"/>
      <c r="AW996" s="66"/>
      <c r="AX996" s="66"/>
      <c r="AY996" s="66"/>
      <c r="AZ996" s="66"/>
      <c r="BA996" s="66"/>
      <c r="BB996" s="66"/>
      <c r="BC996" s="66"/>
    </row>
    <row r="997" ht="14.2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  <c r="AC997" s="66"/>
      <c r="AD997" s="66"/>
      <c r="AE997" s="66"/>
      <c r="AF997" s="66"/>
      <c r="AG997" s="66"/>
      <c r="AH997" s="66"/>
      <c r="AI997" s="66"/>
      <c r="AJ997" s="66"/>
      <c r="AK997" s="66"/>
      <c r="AL997" s="66"/>
      <c r="AM997" s="66"/>
      <c r="AN997" s="66"/>
      <c r="AO997" s="66"/>
      <c r="AP997" s="66"/>
      <c r="AQ997" s="66"/>
      <c r="AR997" s="66"/>
      <c r="AS997" s="66"/>
      <c r="AT997" s="66"/>
      <c r="AU997" s="66"/>
      <c r="AV997" s="66"/>
      <c r="AW997" s="66"/>
      <c r="AX997" s="66"/>
      <c r="AY997" s="66"/>
      <c r="AZ997" s="66"/>
      <c r="BA997" s="66"/>
      <c r="BB997" s="66"/>
      <c r="BC997" s="66"/>
    </row>
    <row r="998" ht="14.2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  <c r="AD998" s="66"/>
      <c r="AE998" s="66"/>
      <c r="AF998" s="66"/>
      <c r="AG998" s="66"/>
      <c r="AH998" s="66"/>
      <c r="AI998" s="66"/>
      <c r="AJ998" s="66"/>
      <c r="AK998" s="66"/>
      <c r="AL998" s="66"/>
      <c r="AM998" s="66"/>
      <c r="AN998" s="66"/>
      <c r="AO998" s="66"/>
      <c r="AP998" s="66"/>
      <c r="AQ998" s="66"/>
      <c r="AR998" s="66"/>
      <c r="AS998" s="66"/>
      <c r="AT998" s="66"/>
      <c r="AU998" s="66"/>
      <c r="AV998" s="66"/>
      <c r="AW998" s="66"/>
      <c r="AX998" s="66"/>
      <c r="AY998" s="66"/>
      <c r="AZ998" s="66"/>
      <c r="BA998" s="66"/>
      <c r="BB998" s="66"/>
      <c r="BC998" s="66"/>
    </row>
    <row r="999" ht="14.2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  <c r="AD999" s="66"/>
      <c r="AE999" s="66"/>
      <c r="AF999" s="66"/>
      <c r="AG999" s="66"/>
      <c r="AH999" s="66"/>
      <c r="AI999" s="66"/>
      <c r="AJ999" s="66"/>
      <c r="AK999" s="66"/>
      <c r="AL999" s="66"/>
      <c r="AM999" s="66"/>
      <c r="AN999" s="66"/>
      <c r="AO999" s="66"/>
      <c r="AP999" s="66"/>
      <c r="AQ999" s="66"/>
      <c r="AR999" s="66"/>
      <c r="AS999" s="66"/>
      <c r="AT999" s="66"/>
      <c r="AU999" s="66"/>
      <c r="AV999" s="66"/>
      <c r="AW999" s="66"/>
      <c r="AX999" s="66"/>
      <c r="AY999" s="66"/>
      <c r="AZ999" s="66"/>
      <c r="BA999" s="66"/>
      <c r="BB999" s="66"/>
      <c r="BC999" s="66"/>
    </row>
    <row r="1000" ht="14.2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  <c r="AD1000" s="66"/>
      <c r="AE1000" s="66"/>
      <c r="AF1000" s="66"/>
      <c r="AG1000" s="66"/>
      <c r="AH1000" s="66"/>
      <c r="AI1000" s="66"/>
      <c r="AJ1000" s="66"/>
      <c r="AK1000" s="66"/>
      <c r="AL1000" s="66"/>
      <c r="AM1000" s="66"/>
      <c r="AN1000" s="66"/>
      <c r="AO1000" s="66"/>
      <c r="AP1000" s="66"/>
      <c r="AQ1000" s="66"/>
      <c r="AR1000" s="66"/>
      <c r="AS1000" s="66"/>
      <c r="AT1000" s="66"/>
      <c r="AU1000" s="66"/>
      <c r="AV1000" s="66"/>
      <c r="AW1000" s="66"/>
      <c r="AX1000" s="66"/>
      <c r="AY1000" s="66"/>
      <c r="AZ1000" s="66"/>
      <c r="BA1000" s="66"/>
      <c r="BB1000" s="66"/>
      <c r="BC1000" s="66"/>
    </row>
  </sheetData>
  <mergeCells count="229">
    <mergeCell ref="AP14:AQ14"/>
    <mergeCell ref="AR14:AS14"/>
    <mergeCell ref="AT14:AU14"/>
    <mergeCell ref="AV14:AW14"/>
    <mergeCell ref="AX14:AZ14"/>
    <mergeCell ref="BA14:BC14"/>
    <mergeCell ref="AB14:AC14"/>
    <mergeCell ref="AD14:AE14"/>
    <mergeCell ref="AF14:AG14"/>
    <mergeCell ref="AH14:AI14"/>
    <mergeCell ref="AJ14:AK14"/>
    <mergeCell ref="AL14:AM14"/>
    <mergeCell ref="AN14:AO14"/>
    <mergeCell ref="A14:O14"/>
    <mergeCell ref="P14:Q14"/>
    <mergeCell ref="R14:S14"/>
    <mergeCell ref="T14:U14"/>
    <mergeCell ref="V14:W14"/>
    <mergeCell ref="X14:Y14"/>
    <mergeCell ref="Z14:AA14"/>
    <mergeCell ref="AB15:AC15"/>
    <mergeCell ref="AD15:AE15"/>
    <mergeCell ref="AF15:AG15"/>
    <mergeCell ref="AH15:AI15"/>
    <mergeCell ref="AJ15:AK15"/>
    <mergeCell ref="AL15:AM15"/>
    <mergeCell ref="AN15:AO15"/>
    <mergeCell ref="AV16:AW16"/>
    <mergeCell ref="AX16:AZ16"/>
    <mergeCell ref="AT17:AU17"/>
    <mergeCell ref="AV17:AW17"/>
    <mergeCell ref="AX17:AZ17"/>
    <mergeCell ref="BA17:BC17"/>
    <mergeCell ref="AP15:AQ15"/>
    <mergeCell ref="AR15:AS15"/>
    <mergeCell ref="AT15:AU15"/>
    <mergeCell ref="AV15:AW15"/>
    <mergeCell ref="AX15:AZ15"/>
    <mergeCell ref="BA15:BC15"/>
    <mergeCell ref="AT16:AU16"/>
    <mergeCell ref="BA16:BC16"/>
    <mergeCell ref="A17:O17"/>
    <mergeCell ref="P17:Q17"/>
    <mergeCell ref="R17:S17"/>
    <mergeCell ref="T17:U17"/>
    <mergeCell ref="V17:W17"/>
    <mergeCell ref="X17:Y17"/>
    <mergeCell ref="Z17:AA17"/>
    <mergeCell ref="A21:AQ22"/>
    <mergeCell ref="AR21:AW22"/>
    <mergeCell ref="AX21:BC22"/>
    <mergeCell ref="A23:BC23"/>
    <mergeCell ref="A24:BC24"/>
    <mergeCell ref="A25:BC25"/>
    <mergeCell ref="A26:BC26"/>
    <mergeCell ref="A27:BC27"/>
    <mergeCell ref="X28:AM28"/>
    <mergeCell ref="AN28:BC28"/>
    <mergeCell ref="X29:AM30"/>
    <mergeCell ref="AN29:BC30"/>
    <mergeCell ref="X31:AM31"/>
    <mergeCell ref="AN31:BC31"/>
    <mergeCell ref="A15:O15"/>
    <mergeCell ref="P15:Q15"/>
    <mergeCell ref="R15:S15"/>
    <mergeCell ref="T15:U15"/>
    <mergeCell ref="V15:W15"/>
    <mergeCell ref="X15:Y15"/>
    <mergeCell ref="Z15:AA15"/>
    <mergeCell ref="A16:O16"/>
    <mergeCell ref="P16:Q16"/>
    <mergeCell ref="R16:S16"/>
    <mergeCell ref="T16:U16"/>
    <mergeCell ref="V16:W16"/>
    <mergeCell ref="X16:Y16"/>
    <mergeCell ref="Z16:AA16"/>
    <mergeCell ref="AP18:AQ18"/>
    <mergeCell ref="AR18:AS18"/>
    <mergeCell ref="AT18:AU18"/>
    <mergeCell ref="AV18:AW18"/>
    <mergeCell ref="AX18:AZ18"/>
    <mergeCell ref="BA18:BC18"/>
    <mergeCell ref="AB18:AC18"/>
    <mergeCell ref="AD18:AE18"/>
    <mergeCell ref="AF18:AG18"/>
    <mergeCell ref="AH18:AI18"/>
    <mergeCell ref="AJ18:AK18"/>
    <mergeCell ref="AL18:AM18"/>
    <mergeCell ref="AN18:AO18"/>
    <mergeCell ref="A18:O18"/>
    <mergeCell ref="P18:Q18"/>
    <mergeCell ref="R18:S18"/>
    <mergeCell ref="T18:U18"/>
    <mergeCell ref="V18:W18"/>
    <mergeCell ref="X18:Y18"/>
    <mergeCell ref="Z18:AA18"/>
    <mergeCell ref="AP19:AQ19"/>
    <mergeCell ref="AR19:AS19"/>
    <mergeCell ref="AT19:AU19"/>
    <mergeCell ref="AV19:AW19"/>
    <mergeCell ref="AX19:AZ19"/>
    <mergeCell ref="BA19:BC19"/>
    <mergeCell ref="AT20:AU20"/>
    <mergeCell ref="BA20:BC20"/>
    <mergeCell ref="X32:AM32"/>
    <mergeCell ref="AN32:BC32"/>
    <mergeCell ref="X33:AM33"/>
    <mergeCell ref="AN33:BC33"/>
    <mergeCell ref="A1:E4"/>
    <mergeCell ref="F1:J4"/>
    <mergeCell ref="K1:AU1"/>
    <mergeCell ref="AV1:BC4"/>
    <mergeCell ref="K2:AU4"/>
    <mergeCell ref="A5:F5"/>
    <mergeCell ref="G5:BC5"/>
    <mergeCell ref="R7:W7"/>
    <mergeCell ref="X7:AO7"/>
    <mergeCell ref="AU7:AW7"/>
    <mergeCell ref="AX7:AZ7"/>
    <mergeCell ref="BA7:BC7"/>
    <mergeCell ref="A8:BC8"/>
    <mergeCell ref="A6:I6"/>
    <mergeCell ref="R6:W6"/>
    <mergeCell ref="X6:AO6"/>
    <mergeCell ref="AP6:AT7"/>
    <mergeCell ref="AU6:AW6"/>
    <mergeCell ref="AX6:AZ6"/>
    <mergeCell ref="BA6:BC6"/>
    <mergeCell ref="J6:Q6"/>
    <mergeCell ref="AF9:AK10"/>
    <mergeCell ref="AL9:AQ10"/>
    <mergeCell ref="AR9:AW10"/>
    <mergeCell ref="AX9:BC10"/>
    <mergeCell ref="AP11:AQ12"/>
    <mergeCell ref="AR11:AS12"/>
    <mergeCell ref="AT11:AU12"/>
    <mergeCell ref="AV11:AW12"/>
    <mergeCell ref="AX11:AZ12"/>
    <mergeCell ref="BA11:BC12"/>
    <mergeCell ref="P11:Q12"/>
    <mergeCell ref="R11:S12"/>
    <mergeCell ref="AF11:AG12"/>
    <mergeCell ref="AH11:AI12"/>
    <mergeCell ref="AJ11:AK12"/>
    <mergeCell ref="AL11:AM12"/>
    <mergeCell ref="AN11:AO12"/>
    <mergeCell ref="T11:U12"/>
    <mergeCell ref="V11:W12"/>
    <mergeCell ref="X11:Y12"/>
    <mergeCell ref="Z11:AA12"/>
    <mergeCell ref="AB11:AC12"/>
    <mergeCell ref="AD11:AE12"/>
    <mergeCell ref="A7:F7"/>
    <mergeCell ref="G7:Q7"/>
    <mergeCell ref="A9:O12"/>
    <mergeCell ref="P9:S10"/>
    <mergeCell ref="T9:W10"/>
    <mergeCell ref="X9:AA10"/>
    <mergeCell ref="AB9:AE10"/>
    <mergeCell ref="AP13:AQ13"/>
    <mergeCell ref="AR13:AS13"/>
    <mergeCell ref="AT13:AU13"/>
    <mergeCell ref="AV13:AW13"/>
    <mergeCell ref="AX13:AZ13"/>
    <mergeCell ref="BA13:BC13"/>
    <mergeCell ref="AB13:AC13"/>
    <mergeCell ref="AD13:AE13"/>
    <mergeCell ref="AF13:AG13"/>
    <mergeCell ref="AH13:AI13"/>
    <mergeCell ref="AJ13:AK13"/>
    <mergeCell ref="AL13:AM13"/>
    <mergeCell ref="AN13:AO13"/>
    <mergeCell ref="A13:O13"/>
    <mergeCell ref="P13:Q13"/>
    <mergeCell ref="R13:S13"/>
    <mergeCell ref="T13:U13"/>
    <mergeCell ref="V13:W13"/>
    <mergeCell ref="X13:Y13"/>
    <mergeCell ref="Z13:AA13"/>
    <mergeCell ref="AP16:AQ16"/>
    <mergeCell ref="AR16:AS16"/>
    <mergeCell ref="AB16:AC16"/>
    <mergeCell ref="AD16:AE16"/>
    <mergeCell ref="AF16:AG16"/>
    <mergeCell ref="AH16:AI16"/>
    <mergeCell ref="AJ16:AK16"/>
    <mergeCell ref="AL16:AM16"/>
    <mergeCell ref="AN16:AO16"/>
    <mergeCell ref="AP17:AQ17"/>
    <mergeCell ref="AR17:AS17"/>
    <mergeCell ref="AB17:AC17"/>
    <mergeCell ref="AD17:AE17"/>
    <mergeCell ref="AF17:AG17"/>
    <mergeCell ref="AH17:AI17"/>
    <mergeCell ref="AJ17:AK17"/>
    <mergeCell ref="AL17:AM17"/>
    <mergeCell ref="AN17:AO17"/>
    <mergeCell ref="AB19:AC19"/>
    <mergeCell ref="AD19:AE19"/>
    <mergeCell ref="AF19:AG19"/>
    <mergeCell ref="AH19:AI19"/>
    <mergeCell ref="AJ19:AK19"/>
    <mergeCell ref="AL19:AM19"/>
    <mergeCell ref="AN19:AO19"/>
    <mergeCell ref="A19:O19"/>
    <mergeCell ref="P19:Q19"/>
    <mergeCell ref="R19:S19"/>
    <mergeCell ref="T19:U19"/>
    <mergeCell ref="V19:W19"/>
    <mergeCell ref="X19:Y19"/>
    <mergeCell ref="Z19:AA19"/>
    <mergeCell ref="AP20:AQ20"/>
    <mergeCell ref="AR20:AS20"/>
    <mergeCell ref="AB20:AC20"/>
    <mergeCell ref="AD20:AE20"/>
    <mergeCell ref="AF20:AG20"/>
    <mergeCell ref="AH20:AI20"/>
    <mergeCell ref="AJ20:AK20"/>
    <mergeCell ref="AL20:AM20"/>
    <mergeCell ref="AN20:AO20"/>
    <mergeCell ref="AV20:AW20"/>
    <mergeCell ref="AX20:AZ20"/>
    <mergeCell ref="A20:O20"/>
    <mergeCell ref="P20:Q20"/>
    <mergeCell ref="R20:S20"/>
    <mergeCell ref="T20:U20"/>
    <mergeCell ref="V20:W20"/>
    <mergeCell ref="X20:Y20"/>
    <mergeCell ref="Z20:AA20"/>
  </mergeCells>
  <printOptions/>
  <pageMargins bottom="0.3937007874015748" footer="0.0" header="0.0" left="0.5511811023622047" right="0.3543307086614174" top="0.3543307086614174"/>
  <pageSetup fitToHeight="0" orientation="landscape"/>
  <headerFooter>
    <oddFooter>&amp;C Secretaría de Educación del Distrito - Dirección de Bienestar Estudiantil - Programa de Alimentación Escolar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3.71"/>
    <col customWidth="1" min="5" max="5" width="4.29"/>
    <col customWidth="1" min="6" max="10" width="3.71"/>
    <col customWidth="1" min="11" max="11" width="4.43"/>
    <col customWidth="1" min="12" max="20" width="3.71"/>
    <col customWidth="1" min="21" max="21" width="4.71"/>
    <col customWidth="1" min="22" max="22" width="3.71"/>
    <col customWidth="1" min="23" max="23" width="14.29"/>
    <col customWidth="1" min="24" max="31" width="3.71"/>
    <col customWidth="1" min="32" max="32" width="5.57"/>
    <col customWidth="1" min="33" max="33" width="6.71"/>
    <col customWidth="1" min="34" max="35" width="3.71"/>
    <col customWidth="1" min="36" max="36" width="0.14"/>
    <col customWidth="1" min="37" max="39" width="3.71"/>
    <col customWidth="1" min="40" max="40" width="8.86"/>
    <col customWidth="1" min="41" max="54" width="11.43"/>
  </cols>
  <sheetData>
    <row r="1" ht="34.5" customHeight="1">
      <c r="A1" s="67"/>
      <c r="B1" s="2"/>
      <c r="C1" s="2"/>
      <c r="D1" s="2"/>
      <c r="E1" s="3"/>
      <c r="F1" s="68"/>
      <c r="G1" s="2"/>
      <c r="H1" s="2"/>
      <c r="I1" s="2"/>
      <c r="J1" s="3"/>
      <c r="K1" s="5" t="s">
        <v>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7"/>
      <c r="AG1" s="69" t="s">
        <v>1</v>
      </c>
      <c r="AH1" s="14"/>
      <c r="AI1" s="14"/>
      <c r="AJ1" s="14"/>
      <c r="AK1" s="14"/>
      <c r="AL1" s="14"/>
      <c r="AM1" s="14"/>
      <c r="AN1" s="15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</row>
    <row r="2" ht="25.5" customHeight="1">
      <c r="A2" s="10"/>
      <c r="E2" s="11"/>
      <c r="F2" s="12"/>
      <c r="J2" s="11"/>
      <c r="K2" s="5" t="s">
        <v>45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7"/>
      <c r="AG2" s="16"/>
      <c r="AN2" s="17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</row>
    <row r="3" ht="15.0" customHeight="1">
      <c r="A3" s="10"/>
      <c r="E3" s="11"/>
      <c r="F3" s="12"/>
      <c r="J3" s="11"/>
      <c r="K3" s="13" t="s">
        <v>46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N3" s="17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</row>
    <row r="4" ht="15.0" customHeight="1">
      <c r="A4" s="10"/>
      <c r="E4" s="11"/>
      <c r="F4" s="12"/>
      <c r="J4" s="11"/>
      <c r="K4" s="16"/>
      <c r="AF4" s="17"/>
      <c r="AG4" s="16"/>
      <c r="AN4" s="17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</row>
    <row r="5" ht="15.0" customHeight="1">
      <c r="A5" s="18"/>
      <c r="B5" s="19"/>
      <c r="C5" s="19"/>
      <c r="D5" s="19"/>
      <c r="E5" s="20"/>
      <c r="F5" s="72"/>
      <c r="G5" s="19"/>
      <c r="H5" s="19"/>
      <c r="I5" s="19"/>
      <c r="J5" s="20"/>
      <c r="K5" s="24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6"/>
      <c r="AG5" s="24"/>
      <c r="AH5" s="25"/>
      <c r="AI5" s="25"/>
      <c r="AJ5" s="25"/>
      <c r="AK5" s="25"/>
      <c r="AL5" s="25"/>
      <c r="AM5" s="25"/>
      <c r="AN5" s="26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</row>
    <row r="6" ht="19.5" customHeight="1">
      <c r="A6" s="73" t="s">
        <v>47</v>
      </c>
      <c r="B6" s="6"/>
      <c r="C6" s="6"/>
      <c r="D6" s="6"/>
      <c r="E6" s="6"/>
      <c r="F6" s="7"/>
      <c r="G6" s="73" t="s">
        <v>48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</row>
    <row r="7" ht="24.0" customHeight="1">
      <c r="A7" s="50" t="s">
        <v>5</v>
      </c>
      <c r="B7" s="6"/>
      <c r="C7" s="6"/>
      <c r="D7" s="6"/>
      <c r="E7" s="6"/>
      <c r="F7" s="7"/>
      <c r="G7" s="74">
        <v>2.0</v>
      </c>
      <c r="H7" s="6"/>
      <c r="I7" s="6"/>
      <c r="J7" s="6"/>
      <c r="K7" s="6"/>
      <c r="L7" s="6"/>
      <c r="M7" s="6"/>
      <c r="N7" s="7"/>
      <c r="O7" s="75" t="s">
        <v>6</v>
      </c>
      <c r="P7" s="6"/>
      <c r="Q7" s="6"/>
      <c r="R7" s="6"/>
      <c r="S7" s="6"/>
      <c r="T7" s="6"/>
      <c r="U7" s="6"/>
      <c r="V7" s="6"/>
      <c r="W7" s="7"/>
      <c r="X7" s="76" t="s">
        <v>49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7"/>
      <c r="AO7" s="71"/>
      <c r="AP7" s="77"/>
      <c r="AQ7" s="37"/>
      <c r="AR7" s="37"/>
      <c r="AS7" s="37"/>
      <c r="AT7" s="78"/>
      <c r="AU7" s="79"/>
      <c r="AV7" s="31"/>
      <c r="AW7" s="34"/>
      <c r="AX7" s="80"/>
      <c r="AY7" s="31"/>
      <c r="AZ7" s="34"/>
      <c r="BA7" s="81"/>
      <c r="BB7" s="34"/>
    </row>
    <row r="8" ht="21.75" customHeight="1">
      <c r="A8" s="76" t="s">
        <v>12</v>
      </c>
      <c r="B8" s="6"/>
      <c r="C8" s="6"/>
      <c r="D8" s="6"/>
      <c r="E8" s="6"/>
      <c r="F8" s="7"/>
      <c r="G8" s="73" t="s">
        <v>50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7"/>
      <c r="T8" s="76" t="s">
        <v>51</v>
      </c>
      <c r="U8" s="6"/>
      <c r="V8" s="6"/>
      <c r="W8" s="7"/>
      <c r="X8" s="76"/>
      <c r="Y8" s="6"/>
      <c r="Z8" s="6"/>
      <c r="AA8" s="6"/>
      <c r="AB8" s="6"/>
      <c r="AC8" s="6"/>
      <c r="AD8" s="7"/>
      <c r="AE8" s="73" t="s">
        <v>52</v>
      </c>
      <c r="AF8" s="6"/>
      <c r="AG8" s="6"/>
      <c r="AH8" s="6"/>
      <c r="AI8" s="6"/>
      <c r="AJ8" s="7"/>
      <c r="AK8" s="76"/>
      <c r="AL8" s="6"/>
      <c r="AM8" s="6"/>
      <c r="AN8" s="7"/>
      <c r="AO8" s="71"/>
      <c r="AP8" s="21"/>
      <c r="AQ8" s="22"/>
      <c r="AR8" s="22"/>
      <c r="AS8" s="22"/>
      <c r="AT8" s="23"/>
      <c r="AU8" s="82"/>
      <c r="AV8" s="31"/>
      <c r="AW8" s="34"/>
      <c r="AX8" s="66"/>
      <c r="BA8" s="66"/>
    </row>
    <row r="9" ht="45.0" customHeight="1">
      <c r="A9" s="83" t="s">
        <v>8</v>
      </c>
      <c r="B9" s="14"/>
      <c r="C9" s="14"/>
      <c r="D9" s="14"/>
      <c r="E9" s="14"/>
      <c r="F9" s="15"/>
      <c r="G9" s="84" t="s">
        <v>9</v>
      </c>
      <c r="H9" s="6"/>
      <c r="I9" s="6"/>
      <c r="J9" s="6"/>
      <c r="K9" s="7"/>
      <c r="L9" s="85" t="s">
        <v>10</v>
      </c>
      <c r="M9" s="14"/>
      <c r="N9" s="14"/>
      <c r="O9" s="14"/>
      <c r="P9" s="14"/>
      <c r="Q9" s="84" t="s">
        <v>11</v>
      </c>
      <c r="R9" s="6"/>
      <c r="S9" s="6"/>
      <c r="T9" s="7"/>
      <c r="U9" s="86" t="s">
        <v>53</v>
      </c>
      <c r="V9" s="6"/>
      <c r="W9" s="7"/>
      <c r="X9" s="86"/>
      <c r="Y9" s="6"/>
      <c r="Z9" s="6"/>
      <c r="AA9" s="6"/>
      <c r="AB9" s="6"/>
      <c r="AC9" s="6"/>
      <c r="AD9" s="7"/>
      <c r="AE9" s="86" t="s">
        <v>54</v>
      </c>
      <c r="AF9" s="6"/>
      <c r="AG9" s="7"/>
      <c r="AH9" s="87"/>
      <c r="AI9" s="6"/>
      <c r="AJ9" s="6"/>
      <c r="AK9" s="6"/>
      <c r="AL9" s="6"/>
      <c r="AM9" s="6"/>
      <c r="AN9" s="7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</row>
    <row r="10" ht="37.5" customHeight="1">
      <c r="A10" s="24"/>
      <c r="B10" s="25"/>
      <c r="C10" s="25"/>
      <c r="D10" s="25"/>
      <c r="E10" s="25"/>
      <c r="F10" s="26"/>
      <c r="G10" s="76"/>
      <c r="H10" s="6"/>
      <c r="I10" s="6"/>
      <c r="J10" s="6"/>
      <c r="K10" s="7"/>
      <c r="L10" s="84"/>
      <c r="M10" s="6"/>
      <c r="N10" s="6"/>
      <c r="O10" s="6"/>
      <c r="P10" s="7"/>
      <c r="Q10" s="84" t="s">
        <v>14</v>
      </c>
      <c r="R10" s="6"/>
      <c r="S10" s="6"/>
      <c r="T10" s="7"/>
      <c r="U10" s="86" t="s">
        <v>55</v>
      </c>
      <c r="V10" s="6"/>
      <c r="W10" s="7"/>
      <c r="X10" s="76"/>
      <c r="Y10" s="6"/>
      <c r="Z10" s="6"/>
      <c r="AA10" s="6"/>
      <c r="AB10" s="6"/>
      <c r="AC10" s="6"/>
      <c r="AD10" s="7"/>
      <c r="AE10" s="86" t="s">
        <v>56</v>
      </c>
      <c r="AF10" s="6"/>
      <c r="AG10" s="7"/>
      <c r="AH10" s="76"/>
      <c r="AI10" s="6"/>
      <c r="AJ10" s="6"/>
      <c r="AK10" s="6"/>
      <c r="AL10" s="6"/>
      <c r="AM10" s="6"/>
      <c r="AN10" s="7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</row>
    <row r="11" ht="15.0" customHeight="1">
      <c r="A11" s="88" t="s">
        <v>57</v>
      </c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90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</row>
    <row r="12" ht="3.75" customHeight="1">
      <c r="A12" s="92"/>
      <c r="B12" s="93"/>
      <c r="C12" s="93"/>
      <c r="D12" s="93"/>
      <c r="E12" s="93"/>
      <c r="F12" s="93"/>
      <c r="G12" s="93"/>
      <c r="H12" s="93"/>
      <c r="I12" s="93"/>
      <c r="J12" s="93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</row>
    <row r="13" ht="15.0" customHeight="1">
      <c r="A13" s="95" t="s">
        <v>58</v>
      </c>
      <c r="B13" s="37"/>
      <c r="C13" s="37"/>
      <c r="D13" s="37"/>
      <c r="E13" s="78"/>
      <c r="F13" s="61" t="s">
        <v>59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5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</row>
    <row r="14" ht="14.25" customHeight="1">
      <c r="A14" s="10"/>
      <c r="E14" s="11"/>
      <c r="F14" s="16"/>
      <c r="AM14" s="17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</row>
    <row r="15" ht="14.25" customHeight="1">
      <c r="A15" s="97"/>
      <c r="B15" s="22"/>
      <c r="C15" s="22"/>
      <c r="D15" s="22"/>
      <c r="E15" s="23"/>
      <c r="F15" s="24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</row>
    <row r="16" ht="15.0" customHeight="1">
      <c r="A16" s="45" t="s">
        <v>60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7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</row>
    <row r="17" ht="14.25" customHeight="1">
      <c r="A17" s="99"/>
      <c r="B17" s="100" t="s">
        <v>61</v>
      </c>
      <c r="C17" s="101"/>
      <c r="D17" s="101"/>
      <c r="E17" s="101"/>
      <c r="F17" s="101"/>
      <c r="G17" s="101"/>
      <c r="H17" s="101"/>
      <c r="I17" s="101"/>
      <c r="J17" s="101"/>
      <c r="K17" s="101"/>
      <c r="L17" s="28" t="s">
        <v>62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7"/>
      <c r="AN17" s="102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</row>
    <row r="18" ht="14.25" customHeight="1">
      <c r="A18" s="99"/>
      <c r="B18" s="100" t="s">
        <v>63</v>
      </c>
      <c r="C18" s="101"/>
      <c r="D18" s="101"/>
      <c r="E18" s="101"/>
      <c r="F18" s="104"/>
      <c r="G18" s="105" t="s">
        <v>64</v>
      </c>
      <c r="H18" s="101"/>
      <c r="I18" s="101"/>
      <c r="J18" s="101"/>
      <c r="K18" s="104"/>
      <c r="L18" s="106" t="s">
        <v>65</v>
      </c>
      <c r="M18" s="19"/>
      <c r="N18" s="107"/>
      <c r="O18" s="106">
        <v>1.0</v>
      </c>
      <c r="P18" s="19"/>
      <c r="Q18" s="107"/>
      <c r="R18" s="108" t="s">
        <v>66</v>
      </c>
      <c r="S18" s="19"/>
      <c r="T18" s="19"/>
      <c r="U18" s="19"/>
      <c r="V18" s="19"/>
      <c r="W18" s="19"/>
      <c r="X18" s="107"/>
      <c r="Y18" s="106">
        <v>2.0</v>
      </c>
      <c r="Z18" s="19"/>
      <c r="AA18" s="19"/>
      <c r="AB18" s="107"/>
      <c r="AC18" s="106" t="s">
        <v>67</v>
      </c>
      <c r="AD18" s="19"/>
      <c r="AE18" s="19"/>
      <c r="AF18" s="107"/>
      <c r="AG18" s="106" t="s">
        <v>68</v>
      </c>
      <c r="AH18" s="19"/>
      <c r="AI18" s="19"/>
      <c r="AJ18" s="19"/>
      <c r="AK18" s="19"/>
      <c r="AL18" s="19"/>
      <c r="AM18" s="107"/>
      <c r="AN18" s="102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</row>
    <row r="19" ht="3.75" customHeight="1">
      <c r="A19" s="109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11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</row>
    <row r="20" ht="15.0" customHeight="1">
      <c r="A20" s="45" t="s">
        <v>69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7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</row>
    <row r="21" ht="45.0" customHeight="1">
      <c r="A21" s="111" t="s">
        <v>70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7"/>
      <c r="P21" s="112" t="s">
        <v>71</v>
      </c>
      <c r="Q21" s="113"/>
      <c r="R21" s="113"/>
      <c r="S21" s="113"/>
      <c r="T21" s="114"/>
      <c r="U21" s="115" t="s">
        <v>72</v>
      </c>
      <c r="V21" s="113"/>
      <c r="W21" s="113"/>
      <c r="X21" s="113"/>
      <c r="Y21" s="114"/>
      <c r="Z21" s="115"/>
      <c r="AA21" s="113"/>
      <c r="AB21" s="113"/>
      <c r="AC21" s="113"/>
      <c r="AD21" s="114"/>
      <c r="AE21" s="115"/>
      <c r="AF21" s="113"/>
      <c r="AG21" s="113"/>
      <c r="AH21" s="113"/>
      <c r="AI21" s="114"/>
      <c r="AJ21" s="115"/>
      <c r="AK21" s="113"/>
      <c r="AL21" s="113"/>
      <c r="AM21" s="113"/>
      <c r="AN21" s="114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</row>
    <row r="22" ht="14.25" customHeight="1">
      <c r="A22" s="116" t="s">
        <v>73</v>
      </c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4"/>
      <c r="P22" s="117">
        <v>0.4722222222222222</v>
      </c>
      <c r="Q22" s="101"/>
      <c r="R22" s="101"/>
      <c r="S22" s="101"/>
      <c r="T22" s="104"/>
      <c r="U22" s="118"/>
      <c r="V22" s="101"/>
      <c r="W22" s="101"/>
      <c r="X22" s="101"/>
      <c r="Y22" s="104"/>
      <c r="Z22" s="118"/>
      <c r="AA22" s="101"/>
      <c r="AB22" s="101"/>
      <c r="AC22" s="101"/>
      <c r="AD22" s="104"/>
      <c r="AE22" s="118"/>
      <c r="AF22" s="101"/>
      <c r="AG22" s="101"/>
      <c r="AH22" s="101"/>
      <c r="AI22" s="104"/>
      <c r="AJ22" s="118"/>
      <c r="AK22" s="101"/>
      <c r="AL22" s="101"/>
      <c r="AM22" s="101"/>
      <c r="AN22" s="104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</row>
    <row r="23" ht="14.25" customHeight="1">
      <c r="A23" s="119" t="s">
        <v>74</v>
      </c>
      <c r="B23" s="101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4"/>
      <c r="P23" s="117">
        <v>0.4826388888888889</v>
      </c>
      <c r="Q23" s="101"/>
      <c r="R23" s="101"/>
      <c r="S23" s="101"/>
      <c r="T23" s="104"/>
      <c r="U23" s="118"/>
      <c r="V23" s="101"/>
      <c r="W23" s="101"/>
      <c r="X23" s="101"/>
      <c r="Y23" s="104"/>
      <c r="Z23" s="118"/>
      <c r="AA23" s="101"/>
      <c r="AB23" s="101"/>
      <c r="AC23" s="101"/>
      <c r="AD23" s="104"/>
      <c r="AE23" s="118"/>
      <c r="AF23" s="101"/>
      <c r="AG23" s="101"/>
      <c r="AH23" s="101"/>
      <c r="AI23" s="104"/>
      <c r="AJ23" s="118"/>
      <c r="AK23" s="101"/>
      <c r="AL23" s="101"/>
      <c r="AM23" s="101"/>
      <c r="AN23" s="104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</row>
    <row r="24" ht="14.25" customHeight="1">
      <c r="A24" s="119" t="s">
        <v>75</v>
      </c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4"/>
      <c r="P24" s="118" t="s">
        <v>76</v>
      </c>
      <c r="Q24" s="101"/>
      <c r="R24" s="101"/>
      <c r="S24" s="101"/>
      <c r="T24" s="104"/>
      <c r="U24" s="118"/>
      <c r="V24" s="101"/>
      <c r="W24" s="101"/>
      <c r="X24" s="101"/>
      <c r="Y24" s="104"/>
      <c r="Z24" s="118"/>
      <c r="AA24" s="101"/>
      <c r="AB24" s="101"/>
      <c r="AC24" s="101"/>
      <c r="AD24" s="104"/>
      <c r="AE24" s="118"/>
      <c r="AF24" s="101"/>
      <c r="AG24" s="101"/>
      <c r="AH24" s="101"/>
      <c r="AI24" s="104"/>
      <c r="AJ24" s="118"/>
      <c r="AK24" s="101"/>
      <c r="AL24" s="101"/>
      <c r="AM24" s="101"/>
      <c r="AN24" s="104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</row>
    <row r="25" ht="14.25" customHeight="1">
      <c r="A25" s="119" t="s">
        <v>77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4"/>
      <c r="P25" s="118"/>
      <c r="Q25" s="101"/>
      <c r="R25" s="101"/>
      <c r="S25" s="101"/>
      <c r="T25" s="104"/>
      <c r="U25" s="118"/>
      <c r="V25" s="101"/>
      <c r="W25" s="101"/>
      <c r="X25" s="101"/>
      <c r="Y25" s="104"/>
      <c r="Z25" s="118"/>
      <c r="AA25" s="101"/>
      <c r="AB25" s="101"/>
      <c r="AC25" s="101"/>
      <c r="AD25" s="104"/>
      <c r="AE25" s="118"/>
      <c r="AF25" s="101"/>
      <c r="AG25" s="101"/>
      <c r="AH25" s="101"/>
      <c r="AI25" s="104"/>
      <c r="AJ25" s="118"/>
      <c r="AK25" s="101"/>
      <c r="AL25" s="101"/>
      <c r="AM25" s="101"/>
      <c r="AN25" s="104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</row>
    <row r="26" ht="15.0" customHeight="1">
      <c r="A26" s="120" t="s">
        <v>78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4"/>
      <c r="P26" s="118">
        <v>5.0</v>
      </c>
      <c r="Q26" s="101"/>
      <c r="R26" s="101"/>
      <c r="S26" s="101"/>
      <c r="T26" s="104"/>
      <c r="U26" s="118"/>
      <c r="V26" s="101"/>
      <c r="W26" s="101"/>
      <c r="X26" s="101"/>
      <c r="Y26" s="104"/>
      <c r="Z26" s="118"/>
      <c r="AA26" s="101"/>
      <c r="AB26" s="101"/>
      <c r="AC26" s="101"/>
      <c r="AD26" s="104"/>
      <c r="AE26" s="118"/>
      <c r="AF26" s="101"/>
      <c r="AG26" s="101"/>
      <c r="AH26" s="101"/>
      <c r="AI26" s="104"/>
      <c r="AJ26" s="118"/>
      <c r="AK26" s="101"/>
      <c r="AL26" s="101"/>
      <c r="AM26" s="101"/>
      <c r="AN26" s="104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</row>
    <row r="27" ht="3.75" customHeight="1">
      <c r="A27" s="105"/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4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</row>
    <row r="28" ht="14.25" customHeight="1">
      <c r="A28" s="121" t="s">
        <v>79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4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</row>
    <row r="29" ht="15.0" customHeight="1">
      <c r="A29" s="122" t="s">
        <v>80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123"/>
      <c r="AJ29" s="124" t="s">
        <v>81</v>
      </c>
      <c r="AK29" s="125"/>
      <c r="AL29" s="125"/>
      <c r="AM29" s="125"/>
      <c r="AN29" s="126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</row>
    <row r="30" ht="32.25" customHeight="1">
      <c r="A30" s="127">
        <v>1.0</v>
      </c>
      <c r="B30" s="128" t="s">
        <v>82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7"/>
      <c r="AJ30" s="129">
        <v>2.0</v>
      </c>
      <c r="AK30" s="6"/>
      <c r="AL30" s="6"/>
      <c r="AM30" s="6"/>
      <c r="AN30" s="7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</row>
    <row r="31" ht="32.25" customHeight="1">
      <c r="A31" s="127">
        <v>2.0</v>
      </c>
      <c r="B31" s="128" t="s">
        <v>83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7"/>
      <c r="AJ31" s="129">
        <v>2.0</v>
      </c>
      <c r="AK31" s="6"/>
      <c r="AL31" s="6"/>
      <c r="AM31" s="6"/>
      <c r="AN31" s="7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</row>
    <row r="32" ht="32.25" customHeight="1">
      <c r="A32" s="127">
        <v>3.0</v>
      </c>
      <c r="B32" s="128" t="s">
        <v>84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7"/>
      <c r="AJ32" s="129">
        <v>2.0</v>
      </c>
      <c r="AK32" s="6"/>
      <c r="AL32" s="6"/>
      <c r="AM32" s="6"/>
      <c r="AN32" s="7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</row>
    <row r="33" ht="43.5" customHeight="1">
      <c r="A33" s="130" t="s">
        <v>40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7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</row>
    <row r="34" ht="32.25" customHeight="1">
      <c r="A34" s="28" t="s">
        <v>85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7"/>
      <c r="O34" s="131">
        <v>6.0</v>
      </c>
      <c r="P34" s="6"/>
      <c r="Q34" s="6"/>
      <c r="R34" s="7"/>
      <c r="S34" s="132" t="s">
        <v>86</v>
      </c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29">
        <v>6.0</v>
      </c>
      <c r="AK34" s="6"/>
      <c r="AL34" s="6"/>
      <c r="AM34" s="6"/>
      <c r="AN34" s="7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</row>
    <row r="35" ht="15.0" customHeight="1">
      <c r="A35" s="133" t="s">
        <v>87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2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</row>
    <row r="36" ht="35.25" customHeight="1">
      <c r="A36" s="127">
        <v>4.0</v>
      </c>
      <c r="B36" s="128" t="s">
        <v>88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7"/>
      <c r="AJ36" s="129">
        <v>2.0</v>
      </c>
      <c r="AK36" s="6"/>
      <c r="AL36" s="6"/>
      <c r="AM36" s="6"/>
      <c r="AN36" s="7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</row>
    <row r="37" ht="35.25" customHeight="1">
      <c r="A37" s="127">
        <v>5.0</v>
      </c>
      <c r="B37" s="128" t="s">
        <v>89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  <c r="AJ37" s="129">
        <v>2.0</v>
      </c>
      <c r="AK37" s="6"/>
      <c r="AL37" s="6"/>
      <c r="AM37" s="6"/>
      <c r="AN37" s="7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</row>
    <row r="38" ht="35.25" customHeight="1">
      <c r="A38" s="127">
        <v>6.0</v>
      </c>
      <c r="B38" s="128" t="s">
        <v>90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7"/>
      <c r="AJ38" s="129">
        <v>2.0</v>
      </c>
      <c r="AK38" s="6"/>
      <c r="AL38" s="6"/>
      <c r="AM38" s="6"/>
      <c r="AN38" s="7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</row>
    <row r="39" ht="35.25" customHeight="1">
      <c r="A39" s="127">
        <v>9.0</v>
      </c>
      <c r="B39" s="128" t="s">
        <v>91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7"/>
      <c r="AJ39" s="129">
        <v>2.0</v>
      </c>
      <c r="AK39" s="6"/>
      <c r="AL39" s="6"/>
      <c r="AM39" s="6"/>
      <c r="AN39" s="7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</row>
    <row r="40" ht="35.25" customHeight="1">
      <c r="A40" s="127">
        <v>10.0</v>
      </c>
      <c r="B40" s="128" t="s">
        <v>92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7"/>
      <c r="AJ40" s="129">
        <v>2.0</v>
      </c>
      <c r="AK40" s="6"/>
      <c r="AL40" s="6"/>
      <c r="AM40" s="6"/>
      <c r="AN40" s="7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</row>
    <row r="41" ht="35.25" customHeight="1">
      <c r="A41" s="127">
        <v>11.0</v>
      </c>
      <c r="B41" s="128" t="s">
        <v>93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7"/>
      <c r="AJ41" s="129">
        <v>2.0</v>
      </c>
      <c r="AK41" s="6"/>
      <c r="AL41" s="6"/>
      <c r="AM41" s="6"/>
      <c r="AN41" s="7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</row>
    <row r="42" ht="43.5" customHeight="1">
      <c r="A42" s="134" t="s">
        <v>94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7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</row>
    <row r="43" ht="30.75" customHeight="1">
      <c r="A43" s="28" t="s">
        <v>85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7"/>
      <c r="O43" s="131">
        <v>12.0</v>
      </c>
      <c r="P43" s="6"/>
      <c r="Q43" s="6"/>
      <c r="R43" s="7"/>
      <c r="S43" s="132" t="s">
        <v>86</v>
      </c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29">
        <v>12.0</v>
      </c>
      <c r="AK43" s="6"/>
      <c r="AL43" s="6"/>
      <c r="AM43" s="6"/>
      <c r="AN43" s="7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</row>
    <row r="44" ht="15.0" customHeight="1">
      <c r="A44" s="133" t="s">
        <v>95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2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</row>
    <row r="45" ht="33.0" customHeight="1">
      <c r="A45" s="127">
        <v>12.0</v>
      </c>
      <c r="B45" s="128" t="s">
        <v>96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7"/>
      <c r="AJ45" s="129">
        <v>2.0</v>
      </c>
      <c r="AK45" s="6"/>
      <c r="AL45" s="6"/>
      <c r="AM45" s="6"/>
      <c r="AN45" s="7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</row>
    <row r="46" ht="33.0" customHeight="1">
      <c r="A46" s="127">
        <v>13.0</v>
      </c>
      <c r="B46" s="128" t="s">
        <v>97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7"/>
      <c r="AJ46" s="129">
        <v>2.0</v>
      </c>
      <c r="AK46" s="6"/>
      <c r="AL46" s="6"/>
      <c r="AM46" s="6"/>
      <c r="AN46" s="7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</row>
    <row r="47" ht="33.0" customHeight="1">
      <c r="A47" s="127">
        <v>14.0</v>
      </c>
      <c r="B47" s="128" t="s">
        <v>98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7"/>
      <c r="AJ47" s="129">
        <v>2.0</v>
      </c>
      <c r="AK47" s="6"/>
      <c r="AL47" s="6"/>
      <c r="AM47" s="6"/>
      <c r="AN47" s="7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</row>
    <row r="48" ht="33.0" customHeight="1">
      <c r="A48" s="127">
        <v>15.0</v>
      </c>
      <c r="B48" s="128" t="s">
        <v>99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7"/>
      <c r="AJ48" s="129">
        <v>2.0</v>
      </c>
      <c r="AK48" s="6"/>
      <c r="AL48" s="6"/>
      <c r="AM48" s="6"/>
      <c r="AN48" s="7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</row>
    <row r="49" ht="33.0" customHeight="1">
      <c r="A49" s="127">
        <v>16.0</v>
      </c>
      <c r="B49" s="128" t="s">
        <v>100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7"/>
      <c r="AJ49" s="129">
        <v>2.0</v>
      </c>
      <c r="AK49" s="6"/>
      <c r="AL49" s="6"/>
      <c r="AM49" s="6"/>
      <c r="AN49" s="7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</row>
    <row r="50" ht="33.0" customHeight="1">
      <c r="A50" s="127">
        <v>17.0</v>
      </c>
      <c r="B50" s="128" t="s">
        <v>101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7"/>
      <c r="AJ50" s="129">
        <v>2.0</v>
      </c>
      <c r="AK50" s="6"/>
      <c r="AL50" s="6"/>
      <c r="AM50" s="6"/>
      <c r="AN50" s="7"/>
      <c r="AO50" s="70"/>
      <c r="AP50" s="70"/>
      <c r="AQ50" s="70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70"/>
    </row>
    <row r="51" ht="33.0" customHeight="1">
      <c r="A51" s="127">
        <v>18.0</v>
      </c>
      <c r="B51" s="128" t="s">
        <v>102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7"/>
      <c r="AJ51" s="129">
        <v>2.0</v>
      </c>
      <c r="AK51" s="6"/>
      <c r="AL51" s="6"/>
      <c r="AM51" s="6"/>
      <c r="AN51" s="7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</row>
    <row r="52" ht="43.5" customHeight="1">
      <c r="A52" s="134" t="s">
        <v>94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7"/>
      <c r="AO52" s="70"/>
      <c r="AP52" s="70"/>
      <c r="AQ52" s="70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70"/>
    </row>
    <row r="53" ht="33.0" customHeight="1">
      <c r="A53" s="28" t="s">
        <v>85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7"/>
      <c r="O53" s="131">
        <v>14.0</v>
      </c>
      <c r="P53" s="6"/>
      <c r="Q53" s="6"/>
      <c r="R53" s="7"/>
      <c r="S53" s="132" t="s">
        <v>86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29">
        <v>14.0</v>
      </c>
      <c r="AK53" s="6"/>
      <c r="AL53" s="6"/>
      <c r="AM53" s="6"/>
      <c r="AN53" s="7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70"/>
    </row>
    <row r="54" ht="15.0" customHeight="1">
      <c r="A54" s="133" t="s">
        <v>103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2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</row>
    <row r="55" ht="33.0" customHeight="1">
      <c r="A55" s="127">
        <v>19.0</v>
      </c>
      <c r="B55" s="128" t="s">
        <v>104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7"/>
      <c r="AJ55" s="129">
        <v>2.0</v>
      </c>
      <c r="AK55" s="6"/>
      <c r="AL55" s="6"/>
      <c r="AM55" s="6"/>
      <c r="AN55" s="7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</row>
    <row r="56" ht="33.0" customHeight="1">
      <c r="A56" s="127">
        <v>20.0</v>
      </c>
      <c r="B56" s="128" t="s">
        <v>105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7"/>
      <c r="AJ56" s="129">
        <v>2.0</v>
      </c>
      <c r="AK56" s="6"/>
      <c r="AL56" s="6"/>
      <c r="AM56" s="6"/>
      <c r="AN56" s="7"/>
      <c r="AO56" s="70"/>
      <c r="AP56" s="70"/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</row>
    <row r="57" ht="33.0" customHeight="1">
      <c r="A57" s="127">
        <v>21.0</v>
      </c>
      <c r="B57" s="128" t="s">
        <v>106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7"/>
      <c r="AJ57" s="129">
        <v>2.0</v>
      </c>
      <c r="AK57" s="6"/>
      <c r="AL57" s="6"/>
      <c r="AM57" s="6"/>
      <c r="AN57" s="7"/>
      <c r="AO57" s="70"/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</row>
    <row r="58" ht="33.0" customHeight="1">
      <c r="A58" s="127">
        <v>22.0</v>
      </c>
      <c r="B58" s="128" t="s">
        <v>107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7"/>
      <c r="AJ58" s="129">
        <v>2.0</v>
      </c>
      <c r="AK58" s="6"/>
      <c r="AL58" s="6"/>
      <c r="AM58" s="6"/>
      <c r="AN58" s="7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</row>
    <row r="59" ht="33.0" customHeight="1">
      <c r="A59" s="127">
        <v>23.0</v>
      </c>
      <c r="B59" s="128" t="s">
        <v>108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7"/>
      <c r="AJ59" s="129">
        <v>2.0</v>
      </c>
      <c r="AK59" s="6"/>
      <c r="AL59" s="6"/>
      <c r="AM59" s="6"/>
      <c r="AN59" s="7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</row>
    <row r="60" ht="23.25" customHeight="1">
      <c r="A60" s="28" t="s">
        <v>85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7"/>
      <c r="O60" s="131">
        <v>10.0</v>
      </c>
      <c r="P60" s="6"/>
      <c r="Q60" s="6"/>
      <c r="R60" s="7"/>
      <c r="S60" s="132" t="s">
        <v>86</v>
      </c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9">
        <v>10.0</v>
      </c>
      <c r="AK60" s="6"/>
      <c r="AL60" s="6"/>
      <c r="AM60" s="6"/>
      <c r="AN60" s="7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</row>
    <row r="61" ht="38.25" customHeight="1">
      <c r="A61" s="86" t="s">
        <v>109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7"/>
      <c r="R61" s="87" t="s">
        <v>110</v>
      </c>
      <c r="S61" s="6"/>
      <c r="T61" s="6"/>
      <c r="U61" s="6"/>
      <c r="V61" s="87">
        <v>42.0</v>
      </c>
      <c r="W61" s="7"/>
      <c r="X61" s="87" t="s">
        <v>111</v>
      </c>
      <c r="Y61" s="6"/>
      <c r="Z61" s="6"/>
      <c r="AA61" s="7"/>
      <c r="AB61" s="76">
        <v>42.0</v>
      </c>
      <c r="AC61" s="6"/>
      <c r="AD61" s="7"/>
      <c r="AE61" s="87" t="s">
        <v>112</v>
      </c>
      <c r="AF61" s="6"/>
      <c r="AG61" s="6"/>
      <c r="AH61" s="6"/>
      <c r="AI61" s="6"/>
      <c r="AJ61" s="7"/>
      <c r="AK61" s="135">
        <v>1.0</v>
      </c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</row>
    <row r="62" ht="29.25" customHeight="1">
      <c r="A62" s="136" t="s">
        <v>94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7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</row>
    <row r="63" ht="30.0" customHeight="1">
      <c r="A63" s="137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7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</row>
    <row r="64" ht="30.0" customHeight="1">
      <c r="A64" s="137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7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</row>
    <row r="65" ht="30.0" customHeight="1">
      <c r="A65" s="137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7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</row>
    <row r="66" ht="14.25" customHeight="1">
      <c r="A66" s="138"/>
      <c r="B66" s="139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  <c r="Z66" s="139"/>
      <c r="AA66" s="139"/>
      <c r="AB66" s="139"/>
      <c r="AC66" s="139"/>
      <c r="AD66" s="139"/>
      <c r="AE66" s="139"/>
      <c r="AF66" s="139"/>
      <c r="AG66" s="139"/>
      <c r="AH66" s="139"/>
      <c r="AI66" s="139"/>
      <c r="AJ66" s="139"/>
      <c r="AK66" s="139"/>
      <c r="AL66" s="139"/>
      <c r="AM66" s="139"/>
      <c r="AN66" s="140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</row>
    <row r="67" ht="15.0" customHeight="1">
      <c r="A67" s="59"/>
      <c r="B67" s="60"/>
      <c r="C67" s="14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4"/>
      <c r="O67" s="45" t="s">
        <v>113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7"/>
      <c r="AA67" s="45" t="s">
        <v>113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7"/>
      <c r="AM67" s="60"/>
      <c r="AN67" s="142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</row>
    <row r="68" ht="14.25" customHeight="1">
      <c r="A68" s="59"/>
      <c r="B68" s="60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61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5"/>
      <c r="AA68" s="61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5"/>
      <c r="AM68" s="60"/>
      <c r="AN68" s="142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</row>
    <row r="69" ht="14.25" customHeight="1">
      <c r="A69" s="59"/>
      <c r="B69" s="60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24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6"/>
      <c r="AA69" s="24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6"/>
      <c r="AM69" s="60"/>
      <c r="AN69" s="142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</row>
    <row r="70" ht="21.75" customHeight="1">
      <c r="A70" s="59"/>
      <c r="B70" s="60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29" t="s">
        <v>42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7"/>
      <c r="AA70" s="29" t="s">
        <v>42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7"/>
      <c r="AM70" s="60"/>
      <c r="AN70" s="142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</row>
    <row r="71" ht="24.0" customHeight="1">
      <c r="A71" s="59"/>
      <c r="B71" s="60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29" t="s">
        <v>43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7"/>
      <c r="AA71" s="29" t="s">
        <v>43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7"/>
      <c r="AM71" s="60"/>
      <c r="AN71" s="142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</row>
    <row r="72" ht="21.75" customHeight="1">
      <c r="A72" s="59"/>
      <c r="B72" s="60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29" t="s">
        <v>44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7"/>
      <c r="AA72" s="29" t="s">
        <v>44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7"/>
      <c r="AM72" s="60"/>
      <c r="AN72" s="142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</row>
    <row r="73" ht="14.25" customHeight="1">
      <c r="A73" s="63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5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</row>
    <row r="74" ht="14.25" customHeight="1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</row>
    <row r="75" ht="14.25" customHeight="1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</row>
    <row r="76" ht="14.25" customHeight="1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</row>
    <row r="77" ht="14.25" customHeight="1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70"/>
    </row>
    <row r="78" ht="14.25" customHeight="1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</row>
    <row r="79" ht="14.25" customHeight="1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</row>
    <row r="80" ht="14.25" customHeight="1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70"/>
      <c r="AX80" s="70"/>
      <c r="AY80" s="70"/>
      <c r="AZ80" s="70"/>
      <c r="BA80" s="70"/>
      <c r="BB80" s="70"/>
    </row>
    <row r="81" ht="14.25" customHeight="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  <c r="AX81" s="70"/>
      <c r="AY81" s="70"/>
      <c r="AZ81" s="70"/>
      <c r="BA81" s="70"/>
      <c r="BB81" s="70"/>
    </row>
    <row r="82" ht="14.25" customHeight="1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70"/>
      <c r="AX82" s="70"/>
      <c r="AY82" s="70"/>
      <c r="AZ82" s="70"/>
      <c r="BA82" s="70"/>
      <c r="BB82" s="70"/>
    </row>
    <row r="83" ht="14.25" customHeight="1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70"/>
    </row>
    <row r="84" ht="14.25" customHeight="1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  <c r="AX84" s="70"/>
      <c r="AY84" s="70"/>
      <c r="AZ84" s="70"/>
      <c r="BA84" s="70"/>
      <c r="BB84" s="70"/>
    </row>
    <row r="85" ht="14.25" customHeight="1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70"/>
    </row>
    <row r="86" ht="14.25" customHeight="1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70"/>
    </row>
    <row r="87" ht="14.25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70"/>
    </row>
    <row r="88" ht="14.25" customHeight="1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70"/>
      <c r="AX88" s="70"/>
      <c r="AY88" s="70"/>
      <c r="AZ88" s="70"/>
      <c r="BA88" s="70"/>
      <c r="BB88" s="70"/>
    </row>
    <row r="89" ht="14.25" customHeight="1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70"/>
      <c r="AX89" s="70"/>
      <c r="AY89" s="70"/>
      <c r="AZ89" s="70"/>
      <c r="BA89" s="70"/>
      <c r="BB89" s="70"/>
    </row>
    <row r="90" ht="14.25" customHeight="1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70"/>
      <c r="AX90" s="70"/>
      <c r="AY90" s="70"/>
      <c r="AZ90" s="70"/>
      <c r="BA90" s="70"/>
      <c r="BB90" s="70"/>
    </row>
    <row r="91" ht="14.25" customHeight="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  <c r="AW91" s="70"/>
      <c r="AX91" s="70"/>
      <c r="AY91" s="70"/>
      <c r="AZ91" s="70"/>
      <c r="BA91" s="70"/>
      <c r="BB91" s="70"/>
    </row>
    <row r="92" ht="14.25" customHeight="1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0"/>
      <c r="AX92" s="70"/>
      <c r="AY92" s="70"/>
      <c r="AZ92" s="70"/>
      <c r="BA92" s="70"/>
      <c r="BB92" s="70"/>
    </row>
    <row r="93" ht="14.25" customHeight="1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70"/>
      <c r="AX93" s="70"/>
      <c r="AY93" s="70"/>
      <c r="AZ93" s="70"/>
      <c r="BA93" s="70"/>
      <c r="BB93" s="70"/>
    </row>
    <row r="94" ht="14.25" customHeight="1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70"/>
      <c r="AX94" s="70"/>
      <c r="AY94" s="70"/>
      <c r="AZ94" s="70"/>
      <c r="BA94" s="70"/>
      <c r="BB94" s="70"/>
    </row>
    <row r="95" ht="14.25" customHeight="1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70"/>
      <c r="AX95" s="70"/>
      <c r="AY95" s="70"/>
      <c r="AZ95" s="70"/>
      <c r="BA95" s="70"/>
      <c r="BB95" s="70"/>
    </row>
    <row r="96" ht="14.25" customHeight="1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70"/>
      <c r="AX96" s="70"/>
      <c r="AY96" s="70"/>
      <c r="AZ96" s="70"/>
      <c r="BA96" s="70"/>
      <c r="BB96" s="70"/>
    </row>
    <row r="97" ht="14.25" customHeight="1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70"/>
      <c r="AX97" s="70"/>
      <c r="AY97" s="70"/>
      <c r="AZ97" s="70"/>
      <c r="BA97" s="70"/>
      <c r="BB97" s="70"/>
    </row>
    <row r="98" ht="14.25" customHeight="1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70"/>
      <c r="AX98" s="70"/>
      <c r="AY98" s="70"/>
      <c r="AZ98" s="70"/>
      <c r="BA98" s="70"/>
      <c r="BB98" s="70"/>
    </row>
    <row r="99" ht="14.25" customHeight="1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70"/>
      <c r="AX99" s="70"/>
      <c r="AY99" s="70"/>
      <c r="AZ99" s="70"/>
      <c r="BA99" s="70"/>
      <c r="BB99" s="70"/>
    </row>
    <row r="100" ht="14.25" customHeight="1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70"/>
    </row>
    <row r="101" ht="14.25" customHeight="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70"/>
      <c r="AX101" s="70"/>
      <c r="AY101" s="70"/>
      <c r="AZ101" s="70"/>
      <c r="BA101" s="70"/>
      <c r="BB101" s="70"/>
    </row>
    <row r="102" ht="14.25" customHeight="1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70"/>
      <c r="AX102" s="70"/>
      <c r="AY102" s="70"/>
      <c r="AZ102" s="70"/>
      <c r="BA102" s="70"/>
      <c r="BB102" s="70"/>
    </row>
    <row r="103" ht="14.25" customHeight="1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70"/>
      <c r="AX103" s="70"/>
      <c r="AY103" s="70"/>
      <c r="AZ103" s="70"/>
      <c r="BA103" s="70"/>
      <c r="BB103" s="70"/>
    </row>
    <row r="104" ht="14.25" customHeight="1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70"/>
    </row>
    <row r="105" ht="14.25" customHeight="1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70"/>
    </row>
    <row r="106" ht="14.25" customHeight="1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70"/>
      <c r="AX106" s="70"/>
      <c r="AY106" s="70"/>
      <c r="AZ106" s="70"/>
      <c r="BA106" s="70"/>
      <c r="BB106" s="70"/>
    </row>
    <row r="107" ht="14.25" customHeight="1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70"/>
    </row>
    <row r="108" ht="14.25" customHeight="1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70"/>
      <c r="AX108" s="70"/>
      <c r="AY108" s="70"/>
      <c r="AZ108" s="70"/>
      <c r="BA108" s="70"/>
      <c r="BB108" s="70"/>
    </row>
    <row r="109" ht="14.25" customHeight="1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70"/>
      <c r="AX109" s="70"/>
      <c r="AY109" s="70"/>
      <c r="AZ109" s="70"/>
      <c r="BA109" s="70"/>
      <c r="BB109" s="70"/>
    </row>
    <row r="110" ht="14.25" customHeight="1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  <c r="AX110" s="70"/>
      <c r="AY110" s="70"/>
      <c r="AZ110" s="70"/>
      <c r="BA110" s="70"/>
      <c r="BB110" s="70"/>
    </row>
    <row r="111" ht="14.25" customHeight="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0"/>
      <c r="AX111" s="70"/>
      <c r="AY111" s="70"/>
      <c r="AZ111" s="70"/>
      <c r="BA111" s="70"/>
      <c r="BB111" s="70"/>
    </row>
    <row r="112" ht="14.25" customHeight="1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70"/>
      <c r="AX112" s="70"/>
      <c r="AY112" s="70"/>
      <c r="AZ112" s="70"/>
      <c r="BA112" s="70"/>
      <c r="BB112" s="70"/>
    </row>
    <row r="113" ht="14.25" customHeight="1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70"/>
    </row>
    <row r="114" ht="14.25" customHeight="1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70"/>
    </row>
    <row r="115" ht="14.25" customHeight="1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70"/>
      <c r="AX115" s="70"/>
      <c r="AY115" s="70"/>
      <c r="AZ115" s="70"/>
      <c r="BA115" s="70"/>
      <c r="BB115" s="70"/>
    </row>
    <row r="116" ht="14.25" customHeight="1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70"/>
    </row>
    <row r="117" ht="14.25" customHeight="1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70"/>
      <c r="AX117" s="70"/>
      <c r="AY117" s="70"/>
      <c r="AZ117" s="70"/>
      <c r="BA117" s="70"/>
      <c r="BB117" s="70"/>
    </row>
    <row r="118" ht="14.25" customHeight="1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70"/>
      <c r="AX118" s="70"/>
      <c r="AY118" s="70"/>
      <c r="AZ118" s="70"/>
      <c r="BA118" s="70"/>
      <c r="BB118" s="70"/>
    </row>
    <row r="119" ht="14.25" customHeight="1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70"/>
      <c r="AX119" s="70"/>
      <c r="AY119" s="70"/>
      <c r="AZ119" s="70"/>
      <c r="BA119" s="70"/>
      <c r="BB119" s="70"/>
    </row>
    <row r="120" ht="14.25" customHeight="1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0"/>
      <c r="AX120" s="70"/>
      <c r="AY120" s="70"/>
      <c r="AZ120" s="70"/>
      <c r="BA120" s="70"/>
      <c r="BB120" s="70"/>
    </row>
    <row r="121" ht="14.25" customHeight="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0"/>
      <c r="AX121" s="70"/>
      <c r="AY121" s="70"/>
      <c r="AZ121" s="70"/>
      <c r="BA121" s="70"/>
      <c r="BB121" s="70"/>
    </row>
    <row r="122" ht="14.25" customHeight="1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70"/>
      <c r="AX122" s="70"/>
      <c r="AY122" s="70"/>
      <c r="AZ122" s="70"/>
      <c r="BA122" s="70"/>
      <c r="BB122" s="70"/>
    </row>
    <row r="123" ht="14.25" customHeight="1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0"/>
      <c r="AX123" s="70"/>
      <c r="AY123" s="70"/>
      <c r="AZ123" s="70"/>
      <c r="BA123" s="70"/>
      <c r="BB123" s="70"/>
    </row>
    <row r="124" ht="14.25" customHeight="1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0"/>
      <c r="AX124" s="70"/>
      <c r="AY124" s="70"/>
      <c r="AZ124" s="70"/>
      <c r="BA124" s="70"/>
      <c r="BB124" s="70"/>
    </row>
    <row r="125" ht="14.25" customHeight="1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70"/>
    </row>
    <row r="126" ht="14.25" customHeight="1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70"/>
    </row>
    <row r="127" ht="14.25" customHeight="1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70"/>
      <c r="AX127" s="70"/>
      <c r="AY127" s="70"/>
      <c r="AZ127" s="70"/>
      <c r="BA127" s="70"/>
      <c r="BB127" s="70"/>
    </row>
    <row r="128" ht="14.25" customHeight="1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70"/>
      <c r="AX128" s="70"/>
      <c r="AY128" s="70"/>
      <c r="AZ128" s="70"/>
      <c r="BA128" s="70"/>
      <c r="BB128" s="70"/>
    </row>
    <row r="129" ht="14.25" customHeight="1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70"/>
      <c r="AX129" s="70"/>
      <c r="AY129" s="70"/>
      <c r="AZ129" s="70"/>
      <c r="BA129" s="70"/>
      <c r="BB129" s="70"/>
    </row>
    <row r="130" ht="14.25" customHeight="1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70"/>
      <c r="AX130" s="70"/>
      <c r="AY130" s="70"/>
      <c r="AZ130" s="70"/>
      <c r="BA130" s="70"/>
      <c r="BB130" s="70"/>
    </row>
    <row r="131" ht="14.25" customHeight="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/>
      <c r="AX131" s="70"/>
      <c r="AY131" s="70"/>
      <c r="AZ131" s="70"/>
      <c r="BA131" s="70"/>
      <c r="BB131" s="70"/>
    </row>
    <row r="132" ht="14.25" customHeight="1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0"/>
      <c r="AX132" s="70"/>
      <c r="AY132" s="70"/>
      <c r="AZ132" s="70"/>
      <c r="BA132" s="70"/>
      <c r="BB132" s="70"/>
    </row>
    <row r="133" ht="14.25" customHeight="1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0"/>
      <c r="AX133" s="70"/>
      <c r="AY133" s="70"/>
      <c r="AZ133" s="70"/>
      <c r="BA133" s="70"/>
      <c r="BB133" s="70"/>
    </row>
    <row r="134" ht="14.25" customHeight="1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70"/>
      <c r="AX134" s="70"/>
      <c r="AY134" s="70"/>
      <c r="AZ134" s="70"/>
      <c r="BA134" s="70"/>
      <c r="BB134" s="70"/>
    </row>
    <row r="135" ht="14.25" customHeight="1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70"/>
      <c r="AX135" s="70"/>
      <c r="AY135" s="70"/>
      <c r="AZ135" s="70"/>
      <c r="BA135" s="70"/>
      <c r="BB135" s="70"/>
    </row>
    <row r="136" ht="14.25" customHeight="1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70"/>
      <c r="AX136" s="70"/>
      <c r="AY136" s="70"/>
      <c r="AZ136" s="70"/>
      <c r="BA136" s="70"/>
      <c r="BB136" s="70"/>
    </row>
    <row r="137" ht="14.25" customHeight="1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0"/>
      <c r="AX137" s="70"/>
      <c r="AY137" s="70"/>
      <c r="AZ137" s="70"/>
      <c r="BA137" s="70"/>
      <c r="BB137" s="70"/>
    </row>
    <row r="138" ht="14.25" customHeight="1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0"/>
      <c r="AX138" s="70"/>
      <c r="AY138" s="70"/>
      <c r="AZ138" s="70"/>
      <c r="BA138" s="70"/>
      <c r="BB138" s="70"/>
    </row>
    <row r="139" ht="14.25" customHeight="1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70"/>
      <c r="AX139" s="70"/>
      <c r="AY139" s="70"/>
      <c r="AZ139" s="70"/>
      <c r="BA139" s="70"/>
      <c r="BB139" s="70"/>
    </row>
    <row r="140" ht="14.25" customHeight="1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0"/>
      <c r="AX140" s="70"/>
      <c r="AY140" s="70"/>
      <c r="AZ140" s="70"/>
      <c r="BA140" s="70"/>
      <c r="BB140" s="70"/>
    </row>
    <row r="141" ht="14.25" customHeight="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0"/>
      <c r="AX141" s="70"/>
      <c r="AY141" s="70"/>
      <c r="AZ141" s="70"/>
      <c r="BA141" s="70"/>
      <c r="BB141" s="70"/>
    </row>
    <row r="142" ht="14.25" customHeight="1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70"/>
      <c r="AX142" s="70"/>
      <c r="AY142" s="70"/>
      <c r="AZ142" s="70"/>
      <c r="BA142" s="70"/>
      <c r="BB142" s="70"/>
    </row>
    <row r="143" ht="14.25" customHeight="1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70"/>
      <c r="AX143" s="70"/>
      <c r="AY143" s="70"/>
      <c r="AZ143" s="70"/>
      <c r="BA143" s="70"/>
      <c r="BB143" s="70"/>
    </row>
    <row r="144" ht="14.25" customHeight="1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70"/>
      <c r="AX144" s="70"/>
      <c r="AY144" s="70"/>
      <c r="AZ144" s="70"/>
      <c r="BA144" s="70"/>
      <c r="BB144" s="70"/>
    </row>
    <row r="145" ht="14.25" customHeight="1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70"/>
      <c r="AX145" s="70"/>
      <c r="AY145" s="70"/>
      <c r="AZ145" s="70"/>
      <c r="BA145" s="70"/>
      <c r="BB145" s="70"/>
    </row>
    <row r="146" ht="14.25" customHeight="1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  <c r="AX146" s="70"/>
      <c r="AY146" s="70"/>
      <c r="AZ146" s="70"/>
      <c r="BA146" s="70"/>
      <c r="BB146" s="70"/>
    </row>
    <row r="147" ht="14.25" customHeight="1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  <c r="AX147" s="70"/>
      <c r="AY147" s="70"/>
      <c r="AZ147" s="70"/>
      <c r="BA147" s="70"/>
      <c r="BB147" s="70"/>
    </row>
    <row r="148" ht="14.25" customHeight="1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  <c r="AX148" s="70"/>
      <c r="AY148" s="70"/>
      <c r="AZ148" s="70"/>
      <c r="BA148" s="70"/>
      <c r="BB148" s="70"/>
    </row>
    <row r="149" ht="14.25" customHeight="1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  <c r="AX149" s="70"/>
      <c r="AY149" s="70"/>
      <c r="AZ149" s="70"/>
      <c r="BA149" s="70"/>
      <c r="BB149" s="70"/>
    </row>
    <row r="150" ht="14.25" customHeight="1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70"/>
      <c r="AX150" s="70"/>
      <c r="AY150" s="70"/>
      <c r="AZ150" s="70"/>
      <c r="BA150" s="70"/>
      <c r="BB150" s="70"/>
    </row>
    <row r="151" ht="14.25" customHeight="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  <c r="AX151" s="70"/>
      <c r="AY151" s="70"/>
      <c r="AZ151" s="70"/>
      <c r="BA151" s="70"/>
      <c r="BB151" s="70"/>
    </row>
    <row r="152" ht="14.25" customHeight="1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70"/>
      <c r="AX152" s="70"/>
      <c r="AY152" s="70"/>
      <c r="AZ152" s="70"/>
      <c r="BA152" s="70"/>
      <c r="BB152" s="70"/>
    </row>
    <row r="153" ht="14.25" customHeight="1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70"/>
      <c r="AX153" s="70"/>
      <c r="AY153" s="70"/>
      <c r="AZ153" s="70"/>
      <c r="BA153" s="70"/>
      <c r="BB153" s="70"/>
    </row>
    <row r="154" ht="14.25" customHeight="1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  <c r="AW154" s="70"/>
      <c r="AX154" s="70"/>
      <c r="AY154" s="70"/>
      <c r="AZ154" s="70"/>
      <c r="BA154" s="70"/>
      <c r="BB154" s="70"/>
    </row>
    <row r="155" ht="14.25" customHeight="1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70"/>
      <c r="AX155" s="70"/>
      <c r="AY155" s="70"/>
      <c r="AZ155" s="70"/>
      <c r="BA155" s="70"/>
      <c r="BB155" s="70"/>
    </row>
    <row r="156" ht="14.25" customHeight="1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  <c r="AW156" s="70"/>
      <c r="AX156" s="70"/>
      <c r="AY156" s="70"/>
      <c r="AZ156" s="70"/>
      <c r="BA156" s="70"/>
      <c r="BB156" s="70"/>
    </row>
    <row r="157" ht="14.25" customHeight="1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 s="70"/>
      <c r="AX157" s="70"/>
      <c r="AY157" s="70"/>
      <c r="AZ157" s="70"/>
      <c r="BA157" s="70"/>
      <c r="BB157" s="70"/>
    </row>
    <row r="158" ht="14.25" customHeight="1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70"/>
      <c r="AX158" s="70"/>
      <c r="AY158" s="70"/>
      <c r="AZ158" s="70"/>
      <c r="BA158" s="70"/>
      <c r="BB158" s="70"/>
    </row>
    <row r="159" ht="14.25" customHeight="1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0"/>
      <c r="AX159" s="70"/>
      <c r="AY159" s="70"/>
      <c r="AZ159" s="70"/>
      <c r="BA159" s="70"/>
      <c r="BB159" s="70"/>
    </row>
    <row r="160" ht="14.25" customHeight="1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70"/>
      <c r="AX160" s="70"/>
      <c r="AY160" s="70"/>
      <c r="AZ160" s="70"/>
      <c r="BA160" s="70"/>
      <c r="BB160" s="70"/>
    </row>
    <row r="161" ht="14.25" customHeight="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  <c r="AT161" s="70"/>
      <c r="AU161" s="70"/>
      <c r="AV161" s="70"/>
      <c r="AW161" s="70"/>
      <c r="AX161" s="70"/>
      <c r="AY161" s="70"/>
      <c r="AZ161" s="70"/>
      <c r="BA161" s="70"/>
      <c r="BB161" s="70"/>
    </row>
    <row r="162" ht="14.25" customHeight="1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  <c r="AT162" s="70"/>
      <c r="AU162" s="70"/>
      <c r="AV162" s="70"/>
      <c r="AW162" s="70"/>
      <c r="AX162" s="70"/>
      <c r="AY162" s="70"/>
      <c r="AZ162" s="70"/>
      <c r="BA162" s="70"/>
      <c r="BB162" s="70"/>
    </row>
    <row r="163" ht="14.25" customHeight="1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  <c r="AW163" s="70"/>
      <c r="AX163" s="70"/>
      <c r="AY163" s="70"/>
      <c r="AZ163" s="70"/>
      <c r="BA163" s="70"/>
      <c r="BB163" s="70"/>
    </row>
    <row r="164" ht="14.25" customHeight="1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 s="70"/>
      <c r="AX164" s="70"/>
      <c r="AY164" s="70"/>
      <c r="AZ164" s="70"/>
      <c r="BA164" s="70"/>
      <c r="BB164" s="70"/>
    </row>
    <row r="165" ht="14.25" customHeight="1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70"/>
      <c r="AX165" s="70"/>
      <c r="AY165" s="70"/>
      <c r="AZ165" s="70"/>
      <c r="BA165" s="70"/>
      <c r="BB165" s="70"/>
    </row>
    <row r="166" ht="14.25" customHeight="1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70"/>
      <c r="AX166" s="70"/>
      <c r="AY166" s="70"/>
      <c r="AZ166" s="70"/>
      <c r="BA166" s="70"/>
      <c r="BB166" s="70"/>
    </row>
    <row r="167" ht="14.25" customHeight="1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70"/>
      <c r="AX167" s="70"/>
      <c r="AY167" s="70"/>
      <c r="AZ167" s="70"/>
      <c r="BA167" s="70"/>
      <c r="BB167" s="70"/>
    </row>
    <row r="168" ht="14.25" customHeight="1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70"/>
      <c r="AX168" s="70"/>
      <c r="AY168" s="70"/>
      <c r="AZ168" s="70"/>
      <c r="BA168" s="70"/>
      <c r="BB168" s="70"/>
    </row>
    <row r="169" ht="14.25" customHeight="1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0"/>
      <c r="AX169" s="70"/>
      <c r="AY169" s="70"/>
      <c r="AZ169" s="70"/>
      <c r="BA169" s="70"/>
      <c r="BB169" s="70"/>
    </row>
    <row r="170" ht="14.25" customHeight="1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70"/>
      <c r="AX170" s="70"/>
      <c r="AY170" s="70"/>
      <c r="AZ170" s="70"/>
      <c r="BA170" s="70"/>
      <c r="BB170" s="70"/>
    </row>
    <row r="171" ht="14.25" customHeight="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70"/>
      <c r="AX171" s="70"/>
      <c r="AY171" s="70"/>
      <c r="AZ171" s="70"/>
      <c r="BA171" s="70"/>
      <c r="BB171" s="70"/>
    </row>
    <row r="172" ht="14.25" customHeight="1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0"/>
      <c r="AX172" s="70"/>
      <c r="AY172" s="70"/>
      <c r="AZ172" s="70"/>
      <c r="BA172" s="70"/>
      <c r="BB172" s="70"/>
    </row>
    <row r="173" ht="14.25" customHeight="1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70"/>
      <c r="AX173" s="70"/>
      <c r="AY173" s="70"/>
      <c r="AZ173" s="70"/>
      <c r="BA173" s="70"/>
      <c r="BB173" s="70"/>
    </row>
    <row r="174" ht="14.25" customHeight="1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0"/>
      <c r="AX174" s="70"/>
      <c r="AY174" s="70"/>
      <c r="AZ174" s="70"/>
      <c r="BA174" s="70"/>
      <c r="BB174" s="70"/>
    </row>
    <row r="175" ht="14.25" customHeight="1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0"/>
      <c r="AX175" s="70"/>
      <c r="AY175" s="70"/>
      <c r="AZ175" s="70"/>
      <c r="BA175" s="70"/>
      <c r="BB175" s="70"/>
    </row>
    <row r="176" ht="14.25" customHeight="1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0"/>
      <c r="AX176" s="70"/>
      <c r="AY176" s="70"/>
      <c r="AZ176" s="70"/>
      <c r="BA176" s="70"/>
      <c r="BB176" s="70"/>
    </row>
    <row r="177" ht="14.25" customHeight="1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0"/>
      <c r="AX177" s="70"/>
      <c r="AY177" s="70"/>
      <c r="AZ177" s="70"/>
      <c r="BA177" s="70"/>
      <c r="BB177" s="70"/>
    </row>
    <row r="178" ht="14.25" customHeight="1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0"/>
      <c r="AX178" s="70"/>
      <c r="AY178" s="70"/>
      <c r="AZ178" s="70"/>
      <c r="BA178" s="70"/>
      <c r="BB178" s="70"/>
    </row>
    <row r="179" ht="14.25" customHeight="1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0"/>
      <c r="AX179" s="70"/>
      <c r="AY179" s="70"/>
      <c r="AZ179" s="70"/>
      <c r="BA179" s="70"/>
      <c r="BB179" s="70"/>
    </row>
    <row r="180" ht="14.25" customHeight="1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0"/>
      <c r="AX180" s="70"/>
      <c r="AY180" s="70"/>
      <c r="AZ180" s="70"/>
      <c r="BA180" s="70"/>
      <c r="BB180" s="70"/>
    </row>
    <row r="181" ht="14.25" customHeight="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0"/>
      <c r="AX181" s="70"/>
      <c r="AY181" s="70"/>
      <c r="AZ181" s="70"/>
      <c r="BA181" s="70"/>
      <c r="BB181" s="70"/>
    </row>
    <row r="182" ht="14.25" customHeight="1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0"/>
      <c r="AX182" s="70"/>
      <c r="AY182" s="70"/>
      <c r="AZ182" s="70"/>
      <c r="BA182" s="70"/>
      <c r="BB182" s="70"/>
    </row>
    <row r="183" ht="14.25" customHeight="1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0"/>
      <c r="AX183" s="70"/>
      <c r="AY183" s="70"/>
      <c r="AZ183" s="70"/>
      <c r="BA183" s="70"/>
      <c r="BB183" s="70"/>
    </row>
    <row r="184" ht="14.25" customHeight="1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0"/>
      <c r="AX184" s="70"/>
      <c r="AY184" s="70"/>
      <c r="AZ184" s="70"/>
      <c r="BA184" s="70"/>
      <c r="BB184" s="70"/>
    </row>
    <row r="185" ht="14.25" customHeight="1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0"/>
      <c r="AX185" s="70"/>
      <c r="AY185" s="70"/>
      <c r="AZ185" s="70"/>
      <c r="BA185" s="70"/>
      <c r="BB185" s="70"/>
    </row>
    <row r="186" ht="14.25" customHeight="1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0"/>
      <c r="AX186" s="70"/>
      <c r="AY186" s="70"/>
      <c r="AZ186" s="70"/>
      <c r="BA186" s="70"/>
      <c r="BB186" s="70"/>
    </row>
    <row r="187" ht="14.25" customHeight="1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0"/>
      <c r="AX187" s="70"/>
      <c r="AY187" s="70"/>
      <c r="AZ187" s="70"/>
      <c r="BA187" s="70"/>
      <c r="BB187" s="70"/>
    </row>
    <row r="188" ht="14.25" customHeight="1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0"/>
      <c r="AX188" s="70"/>
      <c r="AY188" s="70"/>
      <c r="AZ188" s="70"/>
      <c r="BA188" s="70"/>
      <c r="BB188" s="70"/>
    </row>
    <row r="189" ht="14.25" customHeight="1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0"/>
      <c r="AX189" s="70"/>
      <c r="AY189" s="70"/>
      <c r="AZ189" s="70"/>
      <c r="BA189" s="70"/>
      <c r="BB189" s="70"/>
    </row>
    <row r="190" ht="14.25" customHeight="1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0"/>
      <c r="AX190" s="70"/>
      <c r="AY190" s="70"/>
      <c r="AZ190" s="70"/>
      <c r="BA190" s="70"/>
      <c r="BB190" s="70"/>
    </row>
    <row r="191" ht="14.25" customHeight="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  <c r="AW191" s="70"/>
      <c r="AX191" s="70"/>
      <c r="AY191" s="70"/>
      <c r="AZ191" s="70"/>
      <c r="BA191" s="70"/>
      <c r="BB191" s="70"/>
    </row>
    <row r="192" ht="14.25" customHeight="1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  <c r="AW192" s="70"/>
      <c r="AX192" s="70"/>
      <c r="AY192" s="70"/>
      <c r="AZ192" s="70"/>
      <c r="BA192" s="70"/>
      <c r="BB192" s="70"/>
    </row>
    <row r="193" ht="14.25" customHeight="1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 s="70"/>
      <c r="AX193" s="70"/>
      <c r="AY193" s="70"/>
      <c r="AZ193" s="70"/>
      <c r="BA193" s="70"/>
      <c r="BB193" s="70"/>
    </row>
    <row r="194" ht="14.25" customHeight="1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70"/>
      <c r="AX194" s="70"/>
      <c r="AY194" s="70"/>
      <c r="AZ194" s="70"/>
      <c r="BA194" s="70"/>
      <c r="BB194" s="70"/>
    </row>
    <row r="195" ht="14.25" customHeight="1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70"/>
      <c r="AX195" s="70"/>
      <c r="AY195" s="70"/>
      <c r="AZ195" s="70"/>
      <c r="BA195" s="70"/>
      <c r="BB195" s="70"/>
    </row>
    <row r="196" ht="14.25" customHeight="1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70"/>
      <c r="AX196" s="70"/>
      <c r="AY196" s="70"/>
      <c r="AZ196" s="70"/>
      <c r="BA196" s="70"/>
      <c r="BB196" s="70"/>
    </row>
    <row r="197" ht="14.25" customHeight="1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70"/>
      <c r="AX197" s="70"/>
      <c r="AY197" s="70"/>
      <c r="AZ197" s="70"/>
      <c r="BA197" s="70"/>
      <c r="BB197" s="70"/>
    </row>
    <row r="198" ht="14.25" customHeight="1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  <c r="AW198" s="70"/>
      <c r="AX198" s="70"/>
      <c r="AY198" s="70"/>
      <c r="AZ198" s="70"/>
      <c r="BA198" s="70"/>
      <c r="BB198" s="70"/>
    </row>
    <row r="199" ht="14.25" customHeight="1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 s="70"/>
      <c r="AX199" s="70"/>
      <c r="AY199" s="70"/>
      <c r="AZ199" s="70"/>
      <c r="BA199" s="70"/>
      <c r="BB199" s="70"/>
    </row>
    <row r="200" ht="14.25" customHeight="1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70"/>
      <c r="AX200" s="70"/>
      <c r="AY200" s="70"/>
      <c r="AZ200" s="70"/>
      <c r="BA200" s="70"/>
      <c r="BB200" s="70"/>
    </row>
    <row r="201" ht="14.25" customHeight="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70"/>
      <c r="AX201" s="70"/>
      <c r="AY201" s="70"/>
      <c r="AZ201" s="70"/>
      <c r="BA201" s="70"/>
      <c r="BB201" s="70"/>
    </row>
    <row r="202" ht="14.25" customHeight="1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70"/>
      <c r="AX202" s="70"/>
      <c r="AY202" s="70"/>
      <c r="AZ202" s="70"/>
      <c r="BA202" s="70"/>
      <c r="BB202" s="70"/>
    </row>
    <row r="203" ht="14.25" customHeight="1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70"/>
      <c r="AX203" s="70"/>
      <c r="AY203" s="70"/>
      <c r="AZ203" s="70"/>
      <c r="BA203" s="70"/>
      <c r="BB203" s="70"/>
    </row>
    <row r="204" ht="14.25" customHeight="1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70"/>
      <c r="AX204" s="70"/>
      <c r="AY204" s="70"/>
      <c r="AZ204" s="70"/>
      <c r="BA204" s="70"/>
      <c r="BB204" s="70"/>
    </row>
    <row r="205" ht="14.25" customHeight="1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70"/>
      <c r="AX205" s="70"/>
      <c r="AY205" s="70"/>
      <c r="AZ205" s="70"/>
      <c r="BA205" s="70"/>
      <c r="BB205" s="70"/>
    </row>
    <row r="206" ht="14.25" customHeight="1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70"/>
      <c r="AX206" s="70"/>
      <c r="AY206" s="70"/>
      <c r="AZ206" s="70"/>
      <c r="BA206" s="70"/>
      <c r="BB206" s="70"/>
    </row>
    <row r="207" ht="14.25" customHeight="1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70"/>
      <c r="AX207" s="70"/>
      <c r="AY207" s="70"/>
      <c r="AZ207" s="70"/>
      <c r="BA207" s="70"/>
      <c r="BB207" s="70"/>
    </row>
    <row r="208" ht="14.25" customHeight="1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70"/>
      <c r="AX208" s="70"/>
      <c r="AY208" s="70"/>
      <c r="AZ208" s="70"/>
      <c r="BA208" s="70"/>
      <c r="BB208" s="70"/>
    </row>
    <row r="209" ht="14.25" customHeight="1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70"/>
      <c r="AX209" s="70"/>
      <c r="AY209" s="70"/>
      <c r="AZ209" s="70"/>
      <c r="BA209" s="70"/>
      <c r="BB209" s="70"/>
    </row>
    <row r="210" ht="14.25" customHeight="1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70"/>
      <c r="AX210" s="70"/>
      <c r="AY210" s="70"/>
      <c r="AZ210" s="70"/>
      <c r="BA210" s="70"/>
      <c r="BB210" s="70"/>
    </row>
    <row r="211" ht="14.25" customHeight="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70"/>
      <c r="AX211" s="70"/>
      <c r="AY211" s="70"/>
      <c r="AZ211" s="70"/>
      <c r="BA211" s="70"/>
      <c r="BB211" s="70"/>
    </row>
    <row r="212" ht="14.25" customHeight="1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  <c r="AW212" s="70"/>
      <c r="AX212" s="70"/>
      <c r="AY212" s="70"/>
      <c r="AZ212" s="70"/>
      <c r="BA212" s="70"/>
      <c r="BB212" s="70"/>
    </row>
    <row r="213" ht="14.25" customHeight="1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70"/>
      <c r="AX213" s="70"/>
      <c r="AY213" s="70"/>
      <c r="AZ213" s="70"/>
      <c r="BA213" s="70"/>
      <c r="BB213" s="70"/>
    </row>
    <row r="214" ht="14.25" customHeight="1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0"/>
      <c r="AX214" s="70"/>
      <c r="AY214" s="70"/>
      <c r="AZ214" s="70"/>
      <c r="BA214" s="70"/>
      <c r="BB214" s="70"/>
    </row>
    <row r="215" ht="14.25" customHeight="1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0"/>
      <c r="AX215" s="70"/>
      <c r="AY215" s="70"/>
      <c r="AZ215" s="70"/>
      <c r="BA215" s="70"/>
      <c r="BB215" s="70"/>
    </row>
    <row r="216" ht="14.25" customHeight="1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0"/>
      <c r="AX216" s="70"/>
      <c r="AY216" s="70"/>
      <c r="AZ216" s="70"/>
      <c r="BA216" s="70"/>
      <c r="BB216" s="70"/>
    </row>
    <row r="217" ht="14.25" customHeight="1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70"/>
      <c r="AX217" s="70"/>
      <c r="AY217" s="70"/>
      <c r="AZ217" s="70"/>
      <c r="BA217" s="70"/>
      <c r="BB217" s="70"/>
    </row>
    <row r="218" ht="14.25" customHeight="1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70"/>
      <c r="AX218" s="70"/>
      <c r="AY218" s="70"/>
      <c r="AZ218" s="70"/>
      <c r="BA218" s="70"/>
      <c r="BB218" s="70"/>
    </row>
    <row r="219" ht="14.25" customHeight="1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70"/>
      <c r="AX219" s="70"/>
      <c r="AY219" s="70"/>
      <c r="AZ219" s="70"/>
      <c r="BA219" s="70"/>
      <c r="BB219" s="70"/>
    </row>
    <row r="220" ht="14.25" customHeight="1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 s="70"/>
      <c r="AX220" s="70"/>
      <c r="AY220" s="70"/>
      <c r="AZ220" s="70"/>
      <c r="BA220" s="70"/>
      <c r="BB220" s="70"/>
    </row>
    <row r="221" ht="14.25" customHeight="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 s="70"/>
      <c r="AX221" s="70"/>
      <c r="AY221" s="70"/>
      <c r="AZ221" s="70"/>
      <c r="BA221" s="70"/>
      <c r="BB221" s="70"/>
    </row>
    <row r="222" ht="14.25" customHeight="1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 s="70"/>
      <c r="AX222" s="70"/>
      <c r="AY222" s="70"/>
      <c r="AZ222" s="70"/>
      <c r="BA222" s="70"/>
      <c r="BB222" s="70"/>
    </row>
    <row r="223" ht="14.25" customHeight="1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70"/>
      <c r="AX223" s="70"/>
      <c r="AY223" s="70"/>
      <c r="AZ223" s="70"/>
      <c r="BA223" s="70"/>
      <c r="BB223" s="70"/>
    </row>
    <row r="224" ht="14.25" customHeight="1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0"/>
      <c r="AX224" s="70"/>
      <c r="AY224" s="70"/>
      <c r="AZ224" s="70"/>
      <c r="BA224" s="70"/>
      <c r="BB224" s="70"/>
    </row>
    <row r="225" ht="14.25" customHeight="1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0"/>
      <c r="AX225" s="70"/>
      <c r="AY225" s="70"/>
      <c r="AZ225" s="70"/>
      <c r="BA225" s="70"/>
      <c r="BB225" s="70"/>
    </row>
    <row r="226" ht="14.25" customHeight="1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0"/>
      <c r="AX226" s="70"/>
      <c r="AY226" s="70"/>
      <c r="AZ226" s="70"/>
      <c r="BA226" s="70"/>
      <c r="BB226" s="70"/>
    </row>
    <row r="227" ht="14.25" customHeight="1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0"/>
      <c r="AX227" s="70"/>
      <c r="AY227" s="70"/>
      <c r="AZ227" s="70"/>
      <c r="BA227" s="70"/>
      <c r="BB227" s="70"/>
    </row>
    <row r="228" ht="14.25" customHeight="1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0"/>
      <c r="AX228" s="70"/>
      <c r="AY228" s="70"/>
      <c r="AZ228" s="70"/>
      <c r="BA228" s="70"/>
      <c r="BB228" s="70"/>
    </row>
    <row r="229" ht="14.25" customHeight="1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0"/>
      <c r="AX229" s="70"/>
      <c r="AY229" s="70"/>
      <c r="AZ229" s="70"/>
      <c r="BA229" s="70"/>
      <c r="BB229" s="70"/>
    </row>
    <row r="230" ht="14.25" customHeight="1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  <c r="AX230" s="70"/>
      <c r="AY230" s="70"/>
      <c r="AZ230" s="70"/>
      <c r="BA230" s="70"/>
      <c r="BB230" s="70"/>
    </row>
    <row r="231" ht="14.25" customHeight="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  <c r="AX231" s="70"/>
      <c r="AY231" s="70"/>
      <c r="AZ231" s="70"/>
      <c r="BA231" s="70"/>
      <c r="BB231" s="70"/>
    </row>
    <row r="232" ht="14.25" customHeight="1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0"/>
      <c r="AX232" s="70"/>
      <c r="AY232" s="70"/>
      <c r="AZ232" s="70"/>
      <c r="BA232" s="70"/>
      <c r="BB232" s="70"/>
    </row>
    <row r="233" ht="14.25" customHeight="1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70"/>
      <c r="AX233" s="70"/>
      <c r="AY233" s="70"/>
      <c r="AZ233" s="70"/>
      <c r="BA233" s="70"/>
      <c r="BB233" s="70"/>
    </row>
    <row r="234" ht="14.25" customHeight="1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 s="70"/>
      <c r="AX234" s="70"/>
      <c r="AY234" s="70"/>
      <c r="AZ234" s="70"/>
      <c r="BA234" s="70"/>
      <c r="BB234" s="70"/>
    </row>
    <row r="235" ht="14.25" customHeight="1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  <c r="AS235" s="70"/>
      <c r="AT235" s="70"/>
      <c r="AU235" s="70"/>
      <c r="AV235" s="70"/>
      <c r="AW235" s="70"/>
      <c r="AX235" s="70"/>
      <c r="AY235" s="70"/>
      <c r="AZ235" s="70"/>
      <c r="BA235" s="70"/>
      <c r="BB235" s="70"/>
    </row>
    <row r="236" ht="14.25" customHeight="1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 s="70"/>
      <c r="AX236" s="70"/>
      <c r="AY236" s="70"/>
      <c r="AZ236" s="70"/>
      <c r="BA236" s="70"/>
      <c r="BB236" s="70"/>
    </row>
    <row r="237" ht="14.25" customHeight="1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 s="70"/>
      <c r="AX237" s="70"/>
      <c r="AY237" s="70"/>
      <c r="AZ237" s="70"/>
      <c r="BA237" s="70"/>
      <c r="BB237" s="70"/>
    </row>
    <row r="238" ht="14.25" customHeight="1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 s="70"/>
      <c r="AX238" s="70"/>
      <c r="AY238" s="70"/>
      <c r="AZ238" s="70"/>
      <c r="BA238" s="70"/>
      <c r="BB238" s="70"/>
    </row>
    <row r="239" ht="14.25" customHeight="1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 s="70"/>
      <c r="AX239" s="70"/>
      <c r="AY239" s="70"/>
      <c r="AZ239" s="70"/>
      <c r="BA239" s="70"/>
      <c r="BB239" s="70"/>
    </row>
    <row r="240" ht="14.25" customHeight="1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0"/>
      <c r="AX240" s="70"/>
      <c r="AY240" s="70"/>
      <c r="AZ240" s="70"/>
      <c r="BA240" s="70"/>
      <c r="BB240" s="70"/>
    </row>
    <row r="241" ht="14.25" customHeight="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0"/>
      <c r="AX241" s="70"/>
      <c r="AY241" s="70"/>
      <c r="AZ241" s="70"/>
      <c r="BA241" s="70"/>
      <c r="BB241" s="70"/>
    </row>
    <row r="242" ht="14.25" customHeight="1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0"/>
      <c r="AX242" s="70"/>
      <c r="AY242" s="70"/>
      <c r="AZ242" s="70"/>
      <c r="BA242" s="70"/>
      <c r="BB242" s="70"/>
    </row>
    <row r="243" ht="14.25" customHeight="1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0"/>
      <c r="AX243" s="70"/>
      <c r="AY243" s="70"/>
      <c r="AZ243" s="70"/>
      <c r="BA243" s="70"/>
      <c r="BB243" s="70"/>
    </row>
    <row r="244" ht="14.25" customHeight="1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0"/>
      <c r="AX244" s="70"/>
      <c r="AY244" s="70"/>
      <c r="AZ244" s="70"/>
      <c r="BA244" s="70"/>
      <c r="BB244" s="70"/>
    </row>
    <row r="245" ht="14.25" customHeight="1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70"/>
      <c r="AX245" s="70"/>
      <c r="AY245" s="70"/>
      <c r="AZ245" s="70"/>
      <c r="BA245" s="70"/>
      <c r="BB245" s="70"/>
    </row>
    <row r="246" ht="14.25" customHeight="1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70"/>
      <c r="AX246" s="70"/>
      <c r="AY246" s="70"/>
      <c r="AZ246" s="70"/>
      <c r="BA246" s="70"/>
      <c r="BB246" s="70"/>
    </row>
    <row r="247" ht="14.25" customHeight="1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  <c r="AW247" s="70"/>
      <c r="AX247" s="70"/>
      <c r="AY247" s="70"/>
      <c r="AZ247" s="70"/>
      <c r="BA247" s="70"/>
      <c r="BB247" s="70"/>
    </row>
    <row r="248" ht="14.25" customHeight="1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  <c r="AW248" s="70"/>
      <c r="AX248" s="70"/>
      <c r="AY248" s="70"/>
      <c r="AZ248" s="70"/>
      <c r="BA248" s="70"/>
      <c r="BB248" s="70"/>
    </row>
    <row r="249" ht="14.25" customHeight="1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  <c r="AW249" s="70"/>
      <c r="AX249" s="70"/>
      <c r="AY249" s="70"/>
      <c r="AZ249" s="70"/>
      <c r="BA249" s="70"/>
      <c r="BB249" s="70"/>
    </row>
    <row r="250" ht="14.25" customHeight="1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  <c r="AW250" s="70"/>
      <c r="AX250" s="70"/>
      <c r="AY250" s="70"/>
      <c r="AZ250" s="70"/>
      <c r="BA250" s="70"/>
      <c r="BB250" s="70"/>
    </row>
    <row r="251" ht="14.25" customHeight="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  <c r="AW251" s="70"/>
      <c r="AX251" s="70"/>
      <c r="AY251" s="70"/>
      <c r="AZ251" s="70"/>
      <c r="BA251" s="70"/>
      <c r="BB251" s="70"/>
    </row>
    <row r="252" ht="14.25" customHeight="1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  <c r="AW252" s="70"/>
      <c r="AX252" s="70"/>
      <c r="AY252" s="70"/>
      <c r="AZ252" s="70"/>
      <c r="BA252" s="70"/>
      <c r="BB252" s="70"/>
    </row>
    <row r="253" ht="14.25" customHeight="1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  <c r="AW253" s="70"/>
      <c r="AX253" s="70"/>
      <c r="AY253" s="70"/>
      <c r="AZ253" s="70"/>
      <c r="BA253" s="70"/>
      <c r="BB253" s="70"/>
    </row>
    <row r="254" ht="14.25" customHeight="1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  <c r="AW254" s="70"/>
      <c r="AX254" s="70"/>
      <c r="AY254" s="70"/>
      <c r="AZ254" s="70"/>
      <c r="BA254" s="70"/>
      <c r="BB254" s="70"/>
    </row>
    <row r="255" ht="14.25" customHeight="1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  <c r="AR255" s="70"/>
      <c r="AS255" s="70"/>
      <c r="AT255" s="70"/>
      <c r="AU255" s="70"/>
      <c r="AV255" s="70"/>
      <c r="AW255" s="70"/>
      <c r="AX255" s="70"/>
      <c r="AY255" s="70"/>
      <c r="AZ255" s="70"/>
      <c r="BA255" s="70"/>
      <c r="BB255" s="70"/>
    </row>
    <row r="256" ht="14.25" customHeight="1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  <c r="AW256" s="70"/>
      <c r="AX256" s="70"/>
      <c r="AY256" s="70"/>
      <c r="AZ256" s="70"/>
      <c r="BA256" s="70"/>
      <c r="BB256" s="70"/>
    </row>
    <row r="257" ht="14.25" customHeight="1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 s="70"/>
      <c r="AX257" s="70"/>
      <c r="AY257" s="70"/>
      <c r="AZ257" s="70"/>
      <c r="BA257" s="70"/>
      <c r="BB257" s="70"/>
    </row>
    <row r="258" ht="14.25" customHeight="1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 s="70"/>
      <c r="AX258" s="70"/>
      <c r="AY258" s="70"/>
      <c r="AZ258" s="70"/>
      <c r="BA258" s="70"/>
      <c r="BB258" s="70"/>
    </row>
    <row r="259" ht="14.25" customHeight="1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0"/>
      <c r="AX259" s="70"/>
      <c r="AY259" s="70"/>
      <c r="AZ259" s="70"/>
      <c r="BA259" s="70"/>
      <c r="BB259" s="70"/>
    </row>
    <row r="260" ht="14.25" customHeight="1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0"/>
      <c r="AX260" s="70"/>
      <c r="AY260" s="70"/>
      <c r="AZ260" s="70"/>
      <c r="BA260" s="70"/>
      <c r="BB260" s="70"/>
    </row>
    <row r="261" ht="14.25" customHeight="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70"/>
      <c r="AX261" s="70"/>
      <c r="AY261" s="70"/>
      <c r="AZ261" s="70"/>
      <c r="BA261" s="70"/>
      <c r="BB261" s="70"/>
    </row>
    <row r="262" ht="14.25" customHeight="1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70"/>
      <c r="AX262" s="70"/>
      <c r="AY262" s="70"/>
      <c r="AZ262" s="70"/>
      <c r="BA262" s="70"/>
      <c r="BB262" s="70"/>
    </row>
    <row r="263" ht="14.25" customHeight="1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  <c r="AW263" s="70"/>
      <c r="AX263" s="70"/>
      <c r="AY263" s="70"/>
      <c r="AZ263" s="70"/>
      <c r="BA263" s="70"/>
      <c r="BB263" s="70"/>
    </row>
    <row r="264" ht="14.25" customHeight="1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  <c r="AW264" s="70"/>
      <c r="AX264" s="70"/>
      <c r="AY264" s="70"/>
      <c r="AZ264" s="70"/>
      <c r="BA264" s="70"/>
      <c r="BB264" s="70"/>
    </row>
    <row r="265" ht="14.25" customHeight="1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  <c r="AW265" s="70"/>
      <c r="AX265" s="70"/>
      <c r="AY265" s="70"/>
      <c r="AZ265" s="70"/>
      <c r="BA265" s="70"/>
      <c r="BB265" s="70"/>
    </row>
    <row r="266" ht="14.25" customHeight="1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 s="70"/>
      <c r="AX266" s="70"/>
      <c r="AY266" s="70"/>
      <c r="AZ266" s="70"/>
      <c r="BA266" s="70"/>
      <c r="BB266" s="70"/>
    </row>
    <row r="267" ht="14.25" customHeight="1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 s="70"/>
      <c r="AX267" s="70"/>
      <c r="AY267" s="70"/>
      <c r="AZ267" s="70"/>
      <c r="BA267" s="70"/>
      <c r="BB267" s="70"/>
    </row>
    <row r="268" ht="14.25" customHeight="1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 s="70"/>
      <c r="AX268" s="70"/>
      <c r="AY268" s="70"/>
      <c r="AZ268" s="70"/>
      <c r="BA268" s="70"/>
      <c r="BB268" s="70"/>
    </row>
    <row r="269" ht="14.25" customHeight="1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 s="70"/>
      <c r="AX269" s="70"/>
      <c r="AY269" s="70"/>
      <c r="AZ269" s="70"/>
      <c r="BA269" s="70"/>
      <c r="BB269" s="70"/>
    </row>
    <row r="270" ht="14.25" customHeight="1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 s="70"/>
      <c r="AX270" s="70"/>
      <c r="AY270" s="70"/>
      <c r="AZ270" s="70"/>
      <c r="BA270" s="70"/>
      <c r="BB270" s="70"/>
    </row>
    <row r="271" ht="14.25" customHeight="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  <c r="AW271" s="70"/>
      <c r="AX271" s="70"/>
      <c r="AY271" s="70"/>
      <c r="AZ271" s="70"/>
      <c r="BA271" s="70"/>
      <c r="BB271" s="70"/>
    </row>
    <row r="272" ht="14.25" customHeight="1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 s="70"/>
      <c r="AX272" s="70"/>
      <c r="AY272" s="70"/>
      <c r="AZ272" s="70"/>
      <c r="BA272" s="70"/>
      <c r="BB272" s="70"/>
    </row>
    <row r="273" ht="14.25" customHeight="1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 s="70"/>
      <c r="AX273" s="70"/>
      <c r="AY273" s="70"/>
      <c r="AZ273" s="70"/>
      <c r="BA273" s="70"/>
      <c r="BB273" s="70"/>
    </row>
    <row r="274" ht="14.25" customHeight="1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 s="70"/>
      <c r="AX274" s="70"/>
      <c r="AY274" s="70"/>
      <c r="AZ274" s="70"/>
      <c r="BA274" s="70"/>
      <c r="BB274" s="70"/>
    </row>
    <row r="275" ht="14.25" customHeight="1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70"/>
      <c r="AX275" s="70"/>
      <c r="AY275" s="70"/>
      <c r="AZ275" s="70"/>
      <c r="BA275" s="70"/>
      <c r="BB275" s="70"/>
    </row>
    <row r="276" ht="14.25" customHeight="1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  <c r="AW276" s="70"/>
      <c r="AX276" s="70"/>
      <c r="AY276" s="70"/>
      <c r="AZ276" s="70"/>
      <c r="BA276" s="70"/>
      <c r="BB276" s="70"/>
    </row>
    <row r="277" ht="14.25" customHeight="1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  <c r="AW277" s="70"/>
      <c r="AX277" s="70"/>
      <c r="AY277" s="70"/>
      <c r="AZ277" s="70"/>
      <c r="BA277" s="70"/>
      <c r="BB277" s="70"/>
    </row>
    <row r="278" ht="14.25" customHeight="1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  <c r="AW278" s="70"/>
      <c r="AX278" s="70"/>
      <c r="AY278" s="70"/>
      <c r="AZ278" s="70"/>
      <c r="BA278" s="70"/>
      <c r="BB278" s="70"/>
    </row>
    <row r="279" ht="14.25" customHeight="1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0"/>
      <c r="AX279" s="70"/>
      <c r="AY279" s="70"/>
      <c r="AZ279" s="70"/>
      <c r="BA279" s="70"/>
      <c r="BB279" s="70"/>
    </row>
    <row r="280" ht="14.25" customHeight="1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0"/>
      <c r="AX280" s="70"/>
      <c r="AY280" s="70"/>
      <c r="AZ280" s="70"/>
      <c r="BA280" s="70"/>
      <c r="BB280" s="70"/>
    </row>
    <row r="281" ht="14.25" customHeight="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0"/>
      <c r="AX281" s="70"/>
      <c r="AY281" s="70"/>
      <c r="AZ281" s="70"/>
      <c r="BA281" s="70"/>
      <c r="BB281" s="70"/>
    </row>
    <row r="282" ht="14.25" customHeight="1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0"/>
      <c r="AX282" s="70"/>
      <c r="AY282" s="70"/>
      <c r="AZ282" s="70"/>
      <c r="BA282" s="70"/>
      <c r="BB282" s="70"/>
    </row>
    <row r="283" ht="14.25" customHeight="1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0"/>
      <c r="AX283" s="70"/>
      <c r="AY283" s="70"/>
      <c r="AZ283" s="70"/>
      <c r="BA283" s="70"/>
      <c r="BB283" s="70"/>
    </row>
    <row r="284" ht="14.25" customHeight="1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70"/>
      <c r="AX284" s="70"/>
      <c r="AY284" s="70"/>
      <c r="AZ284" s="70"/>
      <c r="BA284" s="70"/>
      <c r="BB284" s="70"/>
    </row>
    <row r="285" ht="14.25" customHeight="1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70"/>
      <c r="AX285" s="70"/>
      <c r="AY285" s="70"/>
      <c r="AZ285" s="70"/>
      <c r="BA285" s="70"/>
      <c r="BB285" s="70"/>
    </row>
    <row r="286" ht="14.25" customHeight="1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70"/>
      <c r="AX286" s="70"/>
      <c r="AY286" s="70"/>
      <c r="AZ286" s="70"/>
      <c r="BA286" s="70"/>
      <c r="BB286" s="70"/>
    </row>
    <row r="287" ht="14.25" customHeight="1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70"/>
      <c r="AX287" s="70"/>
      <c r="AY287" s="70"/>
      <c r="AZ287" s="70"/>
      <c r="BA287" s="70"/>
      <c r="BB287" s="70"/>
    </row>
    <row r="288" ht="14.25" customHeight="1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70"/>
      <c r="AX288" s="70"/>
      <c r="AY288" s="70"/>
      <c r="AZ288" s="70"/>
      <c r="BA288" s="70"/>
      <c r="BB288" s="70"/>
    </row>
    <row r="289" ht="14.25" customHeight="1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70"/>
      <c r="AX289" s="70"/>
      <c r="AY289" s="70"/>
      <c r="AZ289" s="70"/>
      <c r="BA289" s="70"/>
      <c r="BB289" s="70"/>
    </row>
    <row r="290" ht="14.25" customHeight="1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 s="70"/>
      <c r="AX290" s="70"/>
      <c r="AY290" s="70"/>
      <c r="AZ290" s="70"/>
      <c r="BA290" s="70"/>
      <c r="BB290" s="70"/>
    </row>
    <row r="291" ht="14.25" customHeight="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 s="70"/>
      <c r="AX291" s="70"/>
      <c r="AY291" s="70"/>
      <c r="AZ291" s="70"/>
      <c r="BA291" s="70"/>
      <c r="BB291" s="70"/>
    </row>
    <row r="292" ht="14.25" customHeight="1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 s="70"/>
      <c r="AX292" s="70"/>
      <c r="AY292" s="70"/>
      <c r="AZ292" s="70"/>
      <c r="BA292" s="70"/>
      <c r="BB292" s="70"/>
    </row>
    <row r="293" ht="14.25" customHeight="1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 s="70"/>
      <c r="AX293" s="70"/>
      <c r="AY293" s="70"/>
      <c r="AZ293" s="70"/>
      <c r="BA293" s="70"/>
      <c r="BB293" s="70"/>
    </row>
    <row r="294" ht="14.25" customHeight="1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 s="70"/>
      <c r="AX294" s="70"/>
      <c r="AY294" s="70"/>
      <c r="AZ294" s="70"/>
      <c r="BA294" s="70"/>
      <c r="BB294" s="70"/>
    </row>
    <row r="295" ht="14.25" customHeight="1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70"/>
      <c r="AX295" s="70"/>
      <c r="AY295" s="70"/>
      <c r="AZ295" s="70"/>
      <c r="BA295" s="70"/>
      <c r="BB295" s="70"/>
    </row>
    <row r="296" ht="14.25" customHeight="1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70"/>
      <c r="AX296" s="70"/>
      <c r="AY296" s="70"/>
      <c r="AZ296" s="70"/>
      <c r="BA296" s="70"/>
      <c r="BB296" s="70"/>
    </row>
    <row r="297" ht="14.25" customHeight="1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 s="70"/>
      <c r="AX297" s="70"/>
      <c r="AY297" s="70"/>
      <c r="AZ297" s="70"/>
      <c r="BA297" s="70"/>
      <c r="BB297" s="70"/>
    </row>
    <row r="298" ht="14.25" customHeight="1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 s="70"/>
      <c r="AX298" s="70"/>
      <c r="AY298" s="70"/>
      <c r="AZ298" s="70"/>
      <c r="BA298" s="70"/>
      <c r="BB298" s="70"/>
    </row>
    <row r="299" ht="14.25" customHeight="1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 s="70"/>
      <c r="AX299" s="70"/>
      <c r="AY299" s="70"/>
      <c r="AZ299" s="70"/>
      <c r="BA299" s="70"/>
      <c r="BB299" s="70"/>
    </row>
    <row r="300" ht="14.25" customHeight="1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70"/>
      <c r="AX300" s="70"/>
      <c r="AY300" s="70"/>
      <c r="AZ300" s="70"/>
      <c r="BA300" s="70"/>
      <c r="BB300" s="70"/>
    </row>
    <row r="301" ht="14.25" customHeight="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 s="70"/>
      <c r="AX301" s="70"/>
      <c r="AY301" s="70"/>
      <c r="AZ301" s="70"/>
      <c r="BA301" s="70"/>
      <c r="BB301" s="70"/>
    </row>
    <row r="302" ht="14.25" customHeight="1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 s="70"/>
      <c r="AX302" s="70"/>
      <c r="AY302" s="70"/>
      <c r="AZ302" s="70"/>
      <c r="BA302" s="70"/>
      <c r="BB302" s="70"/>
    </row>
    <row r="303" ht="14.25" customHeight="1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  <c r="AW303" s="70"/>
      <c r="AX303" s="70"/>
      <c r="AY303" s="70"/>
      <c r="AZ303" s="70"/>
      <c r="BA303" s="70"/>
      <c r="BB303" s="70"/>
    </row>
    <row r="304" ht="14.25" customHeight="1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  <c r="AW304" s="70"/>
      <c r="AX304" s="70"/>
      <c r="AY304" s="70"/>
      <c r="AZ304" s="70"/>
      <c r="BA304" s="70"/>
      <c r="BB304" s="70"/>
    </row>
    <row r="305" ht="14.25" customHeight="1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0"/>
      <c r="AX305" s="70"/>
      <c r="AY305" s="70"/>
      <c r="AZ305" s="70"/>
      <c r="BA305" s="70"/>
      <c r="BB305" s="70"/>
    </row>
    <row r="306" ht="14.25" customHeight="1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0"/>
      <c r="AX306" s="70"/>
      <c r="AY306" s="70"/>
      <c r="AZ306" s="70"/>
      <c r="BA306" s="70"/>
      <c r="BB306" s="70"/>
    </row>
    <row r="307" ht="14.25" customHeight="1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0"/>
      <c r="AX307" s="70"/>
      <c r="AY307" s="70"/>
      <c r="AZ307" s="70"/>
      <c r="BA307" s="70"/>
      <c r="BB307" s="70"/>
    </row>
    <row r="308" ht="14.25" customHeight="1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0"/>
      <c r="AX308" s="70"/>
      <c r="AY308" s="70"/>
      <c r="AZ308" s="70"/>
      <c r="BA308" s="70"/>
      <c r="BB308" s="70"/>
    </row>
    <row r="309" ht="14.25" customHeight="1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0"/>
      <c r="AX309" s="70"/>
      <c r="AY309" s="70"/>
      <c r="AZ309" s="70"/>
      <c r="BA309" s="70"/>
      <c r="BB309" s="70"/>
    </row>
    <row r="310" ht="14.25" customHeight="1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0"/>
      <c r="AX310" s="70"/>
      <c r="AY310" s="70"/>
      <c r="AZ310" s="70"/>
      <c r="BA310" s="70"/>
      <c r="BB310" s="70"/>
    </row>
    <row r="311" ht="14.25" customHeight="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70"/>
      <c r="AX311" s="70"/>
      <c r="AY311" s="70"/>
      <c r="AZ311" s="70"/>
      <c r="BA311" s="70"/>
      <c r="BB311" s="70"/>
    </row>
    <row r="312" ht="14.25" customHeight="1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0"/>
      <c r="AX312" s="70"/>
      <c r="AY312" s="70"/>
      <c r="AZ312" s="70"/>
      <c r="BA312" s="70"/>
      <c r="BB312" s="70"/>
    </row>
    <row r="313" ht="14.25" customHeight="1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0"/>
      <c r="AX313" s="70"/>
      <c r="AY313" s="70"/>
      <c r="AZ313" s="70"/>
      <c r="BA313" s="70"/>
      <c r="BB313" s="70"/>
    </row>
    <row r="314" ht="14.25" customHeight="1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0"/>
      <c r="AX314" s="70"/>
      <c r="AY314" s="70"/>
      <c r="AZ314" s="70"/>
      <c r="BA314" s="70"/>
      <c r="BB314" s="70"/>
    </row>
    <row r="315" ht="14.25" customHeight="1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0"/>
      <c r="AX315" s="70"/>
      <c r="AY315" s="70"/>
      <c r="AZ315" s="70"/>
      <c r="BA315" s="70"/>
      <c r="BB315" s="70"/>
    </row>
    <row r="316" ht="14.25" customHeight="1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0"/>
      <c r="AX316" s="70"/>
      <c r="AY316" s="70"/>
      <c r="AZ316" s="70"/>
      <c r="BA316" s="70"/>
      <c r="BB316" s="70"/>
    </row>
    <row r="317" ht="14.25" customHeight="1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70"/>
      <c r="AX317" s="70"/>
      <c r="AY317" s="70"/>
      <c r="AZ317" s="70"/>
      <c r="BA317" s="70"/>
      <c r="BB317" s="70"/>
    </row>
    <row r="318" ht="14.25" customHeight="1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0"/>
      <c r="AX318" s="70"/>
      <c r="AY318" s="70"/>
      <c r="AZ318" s="70"/>
      <c r="BA318" s="70"/>
      <c r="BB318" s="70"/>
    </row>
    <row r="319" ht="14.25" customHeight="1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70"/>
      <c r="AX319" s="70"/>
      <c r="AY319" s="70"/>
      <c r="AZ319" s="70"/>
      <c r="BA319" s="70"/>
      <c r="BB319" s="70"/>
    </row>
    <row r="320" ht="14.25" customHeight="1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 s="70"/>
      <c r="AX320" s="70"/>
      <c r="AY320" s="70"/>
      <c r="AZ320" s="70"/>
      <c r="BA320" s="70"/>
      <c r="BB320" s="70"/>
    </row>
    <row r="321" ht="14.25" customHeight="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70"/>
      <c r="AX321" s="70"/>
      <c r="AY321" s="70"/>
      <c r="AZ321" s="70"/>
      <c r="BA321" s="70"/>
      <c r="BB321" s="70"/>
    </row>
    <row r="322" ht="14.25" customHeight="1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 s="70"/>
      <c r="AX322" s="70"/>
      <c r="AY322" s="70"/>
      <c r="AZ322" s="70"/>
      <c r="BA322" s="70"/>
      <c r="BB322" s="70"/>
    </row>
    <row r="323" ht="14.25" customHeight="1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 s="70"/>
      <c r="AX323" s="70"/>
      <c r="AY323" s="70"/>
      <c r="AZ323" s="70"/>
      <c r="BA323" s="70"/>
      <c r="BB323" s="70"/>
    </row>
    <row r="324" ht="14.25" customHeight="1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 s="70"/>
      <c r="AX324" s="70"/>
      <c r="AY324" s="70"/>
      <c r="AZ324" s="70"/>
      <c r="BA324" s="70"/>
      <c r="BB324" s="70"/>
    </row>
    <row r="325" ht="14.25" customHeight="1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 s="70"/>
      <c r="AX325" s="70"/>
      <c r="AY325" s="70"/>
      <c r="AZ325" s="70"/>
      <c r="BA325" s="70"/>
      <c r="BB325" s="70"/>
    </row>
    <row r="326" ht="14.25" customHeight="1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 s="70"/>
      <c r="AX326" s="70"/>
      <c r="AY326" s="70"/>
      <c r="AZ326" s="70"/>
      <c r="BA326" s="70"/>
      <c r="BB326" s="70"/>
    </row>
    <row r="327" ht="14.25" customHeight="1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 s="70"/>
      <c r="AX327" s="70"/>
      <c r="AY327" s="70"/>
      <c r="AZ327" s="70"/>
      <c r="BA327" s="70"/>
      <c r="BB327" s="70"/>
    </row>
    <row r="328" ht="14.25" customHeight="1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 s="70"/>
      <c r="AX328" s="70"/>
      <c r="AY328" s="70"/>
      <c r="AZ328" s="70"/>
      <c r="BA328" s="70"/>
      <c r="BB328" s="70"/>
    </row>
    <row r="329" ht="14.25" customHeight="1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 s="70"/>
      <c r="AX329" s="70"/>
      <c r="AY329" s="70"/>
      <c r="AZ329" s="70"/>
      <c r="BA329" s="70"/>
      <c r="BB329" s="70"/>
    </row>
    <row r="330" ht="14.25" customHeight="1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 s="70"/>
      <c r="AX330" s="70"/>
      <c r="AY330" s="70"/>
      <c r="AZ330" s="70"/>
      <c r="BA330" s="70"/>
      <c r="BB330" s="70"/>
    </row>
    <row r="331" ht="14.25" customHeight="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  <c r="AW331" s="70"/>
      <c r="AX331" s="70"/>
      <c r="AY331" s="70"/>
      <c r="AZ331" s="70"/>
      <c r="BA331" s="70"/>
      <c r="BB331" s="70"/>
    </row>
    <row r="332" ht="14.25" customHeight="1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0"/>
      <c r="AX332" s="70"/>
      <c r="AY332" s="70"/>
      <c r="AZ332" s="70"/>
      <c r="BA332" s="70"/>
      <c r="BB332" s="70"/>
    </row>
    <row r="333" ht="14.25" customHeight="1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  <c r="AW333" s="70"/>
      <c r="AX333" s="70"/>
      <c r="AY333" s="70"/>
      <c r="AZ333" s="70"/>
      <c r="BA333" s="70"/>
      <c r="BB333" s="70"/>
    </row>
    <row r="334" ht="14.25" customHeight="1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  <c r="AW334" s="70"/>
      <c r="AX334" s="70"/>
      <c r="AY334" s="70"/>
      <c r="AZ334" s="70"/>
      <c r="BA334" s="70"/>
      <c r="BB334" s="70"/>
    </row>
    <row r="335" ht="14.25" customHeight="1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  <c r="AW335" s="70"/>
      <c r="AX335" s="70"/>
      <c r="AY335" s="70"/>
      <c r="AZ335" s="70"/>
      <c r="BA335" s="70"/>
      <c r="BB335" s="70"/>
    </row>
    <row r="336" ht="14.25" customHeight="1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  <c r="AW336" s="70"/>
      <c r="AX336" s="70"/>
      <c r="AY336" s="70"/>
      <c r="AZ336" s="70"/>
      <c r="BA336" s="70"/>
      <c r="BB336" s="70"/>
    </row>
    <row r="337" ht="14.25" customHeight="1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0"/>
      <c r="AX337" s="70"/>
      <c r="AY337" s="70"/>
      <c r="AZ337" s="70"/>
      <c r="BA337" s="70"/>
      <c r="BB337" s="70"/>
    </row>
    <row r="338" ht="14.25" customHeight="1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0"/>
      <c r="AX338" s="70"/>
      <c r="AY338" s="70"/>
      <c r="AZ338" s="70"/>
      <c r="BA338" s="70"/>
      <c r="BB338" s="70"/>
    </row>
    <row r="339" ht="14.25" customHeight="1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0"/>
      <c r="AX339" s="70"/>
      <c r="AY339" s="70"/>
      <c r="AZ339" s="70"/>
      <c r="BA339" s="70"/>
      <c r="BB339" s="70"/>
    </row>
    <row r="340" ht="14.25" customHeight="1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  <c r="AW340" s="70"/>
      <c r="AX340" s="70"/>
      <c r="AY340" s="70"/>
      <c r="AZ340" s="70"/>
      <c r="BA340" s="70"/>
      <c r="BB340" s="70"/>
    </row>
    <row r="341" ht="14.25" customHeight="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70"/>
      <c r="AX341" s="70"/>
      <c r="AY341" s="70"/>
      <c r="AZ341" s="70"/>
      <c r="BA341" s="70"/>
      <c r="BB341" s="70"/>
    </row>
    <row r="342" ht="14.25" customHeight="1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70"/>
      <c r="AX342" s="70"/>
      <c r="AY342" s="70"/>
      <c r="AZ342" s="70"/>
      <c r="BA342" s="70"/>
      <c r="BB342" s="70"/>
    </row>
    <row r="343" ht="14.25" customHeight="1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70"/>
      <c r="AX343" s="70"/>
      <c r="AY343" s="70"/>
      <c r="AZ343" s="70"/>
      <c r="BA343" s="70"/>
      <c r="BB343" s="70"/>
    </row>
    <row r="344" ht="14.25" customHeight="1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  <c r="AW344" s="70"/>
      <c r="AX344" s="70"/>
      <c r="AY344" s="70"/>
      <c r="AZ344" s="70"/>
      <c r="BA344" s="70"/>
      <c r="BB344" s="70"/>
    </row>
    <row r="345" ht="14.25" customHeight="1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 s="70"/>
      <c r="AX345" s="70"/>
      <c r="AY345" s="70"/>
      <c r="AZ345" s="70"/>
      <c r="BA345" s="70"/>
      <c r="BB345" s="70"/>
    </row>
    <row r="346" ht="14.25" customHeight="1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70"/>
      <c r="AX346" s="70"/>
      <c r="AY346" s="70"/>
      <c r="AZ346" s="70"/>
      <c r="BA346" s="70"/>
      <c r="BB346" s="70"/>
    </row>
    <row r="347" ht="14.25" customHeight="1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70"/>
      <c r="AX347" s="70"/>
      <c r="AY347" s="70"/>
      <c r="AZ347" s="70"/>
      <c r="BA347" s="70"/>
      <c r="BB347" s="70"/>
    </row>
    <row r="348" ht="14.25" customHeight="1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70"/>
      <c r="AX348" s="70"/>
      <c r="AY348" s="70"/>
      <c r="AZ348" s="70"/>
      <c r="BA348" s="70"/>
      <c r="BB348" s="70"/>
    </row>
    <row r="349" ht="14.25" customHeight="1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70"/>
      <c r="AX349" s="70"/>
      <c r="AY349" s="70"/>
      <c r="AZ349" s="70"/>
      <c r="BA349" s="70"/>
      <c r="BB349" s="70"/>
    </row>
    <row r="350" ht="14.25" customHeight="1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70"/>
      <c r="AX350" s="70"/>
      <c r="AY350" s="70"/>
      <c r="AZ350" s="70"/>
      <c r="BA350" s="70"/>
      <c r="BB350" s="70"/>
    </row>
    <row r="351" ht="14.25" customHeight="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70"/>
      <c r="AX351" s="70"/>
      <c r="AY351" s="70"/>
      <c r="AZ351" s="70"/>
      <c r="BA351" s="70"/>
      <c r="BB351" s="70"/>
    </row>
    <row r="352" ht="14.25" customHeight="1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70"/>
      <c r="AX352" s="70"/>
      <c r="AY352" s="70"/>
      <c r="AZ352" s="70"/>
      <c r="BA352" s="70"/>
      <c r="BB352" s="70"/>
    </row>
    <row r="353" ht="14.25" customHeight="1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70"/>
      <c r="AX353" s="70"/>
      <c r="AY353" s="70"/>
      <c r="AZ353" s="70"/>
      <c r="BA353" s="70"/>
      <c r="BB353" s="70"/>
    </row>
    <row r="354" ht="14.25" customHeight="1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70"/>
      <c r="AX354" s="70"/>
      <c r="AY354" s="70"/>
      <c r="AZ354" s="70"/>
      <c r="BA354" s="70"/>
      <c r="BB354" s="70"/>
    </row>
    <row r="355" ht="14.25" customHeight="1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70"/>
      <c r="AX355" s="70"/>
      <c r="AY355" s="70"/>
      <c r="AZ355" s="70"/>
      <c r="BA355" s="70"/>
      <c r="BB355" s="70"/>
    </row>
    <row r="356" ht="14.25" customHeight="1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  <c r="AW356" s="70"/>
      <c r="AX356" s="70"/>
      <c r="AY356" s="70"/>
      <c r="AZ356" s="70"/>
      <c r="BA356" s="70"/>
      <c r="BB356" s="70"/>
    </row>
    <row r="357" ht="14.25" customHeight="1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70"/>
      <c r="AX357" s="70"/>
      <c r="AY357" s="70"/>
      <c r="AZ357" s="70"/>
      <c r="BA357" s="70"/>
      <c r="BB357" s="70"/>
    </row>
    <row r="358" ht="14.25" customHeight="1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  <c r="AW358" s="70"/>
      <c r="AX358" s="70"/>
      <c r="AY358" s="70"/>
      <c r="AZ358" s="70"/>
      <c r="BA358" s="70"/>
      <c r="BB358" s="70"/>
    </row>
    <row r="359" ht="14.25" customHeight="1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  <c r="AW359" s="70"/>
      <c r="AX359" s="70"/>
      <c r="AY359" s="70"/>
      <c r="AZ359" s="70"/>
      <c r="BA359" s="70"/>
      <c r="BB359" s="70"/>
    </row>
    <row r="360" ht="14.25" customHeight="1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  <c r="AW360" s="70"/>
      <c r="AX360" s="70"/>
      <c r="AY360" s="70"/>
      <c r="AZ360" s="70"/>
      <c r="BA360" s="70"/>
      <c r="BB360" s="70"/>
    </row>
    <row r="361" ht="14.25" customHeight="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 s="70"/>
      <c r="AX361" s="70"/>
      <c r="AY361" s="70"/>
      <c r="AZ361" s="70"/>
      <c r="BA361" s="70"/>
      <c r="BB361" s="70"/>
    </row>
    <row r="362" ht="14.25" customHeight="1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 s="70"/>
      <c r="AX362" s="70"/>
      <c r="AY362" s="70"/>
      <c r="AZ362" s="70"/>
      <c r="BA362" s="70"/>
      <c r="BB362" s="70"/>
    </row>
    <row r="363" ht="14.25" customHeight="1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 s="70"/>
      <c r="AX363" s="70"/>
      <c r="AY363" s="70"/>
      <c r="AZ363" s="70"/>
      <c r="BA363" s="70"/>
      <c r="BB363" s="70"/>
    </row>
    <row r="364" ht="14.25" customHeight="1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 s="70"/>
      <c r="AX364" s="70"/>
      <c r="AY364" s="70"/>
      <c r="AZ364" s="70"/>
      <c r="BA364" s="70"/>
      <c r="BB364" s="70"/>
    </row>
    <row r="365" ht="14.25" customHeight="1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 s="70"/>
      <c r="AX365" s="70"/>
      <c r="AY365" s="70"/>
      <c r="AZ365" s="70"/>
      <c r="BA365" s="70"/>
      <c r="BB365" s="70"/>
    </row>
    <row r="366" ht="14.25" customHeight="1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70"/>
      <c r="AX366" s="70"/>
      <c r="AY366" s="70"/>
      <c r="AZ366" s="70"/>
      <c r="BA366" s="70"/>
      <c r="BB366" s="70"/>
    </row>
    <row r="367" ht="14.25" customHeight="1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0"/>
      <c r="AX367" s="70"/>
      <c r="AY367" s="70"/>
      <c r="AZ367" s="70"/>
      <c r="BA367" s="70"/>
      <c r="BB367" s="70"/>
    </row>
    <row r="368" ht="14.25" customHeight="1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0"/>
      <c r="AX368" s="70"/>
      <c r="AY368" s="70"/>
      <c r="AZ368" s="70"/>
      <c r="BA368" s="70"/>
      <c r="BB368" s="70"/>
    </row>
    <row r="369" ht="14.25" customHeight="1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0"/>
      <c r="AX369" s="70"/>
      <c r="AY369" s="70"/>
      <c r="AZ369" s="70"/>
      <c r="BA369" s="70"/>
      <c r="BB369" s="70"/>
    </row>
    <row r="370" ht="14.25" customHeight="1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0"/>
      <c r="AX370" s="70"/>
      <c r="AY370" s="70"/>
      <c r="AZ370" s="70"/>
      <c r="BA370" s="70"/>
      <c r="BB370" s="70"/>
    </row>
    <row r="371" ht="14.25" customHeight="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0"/>
      <c r="AX371" s="70"/>
      <c r="AY371" s="70"/>
      <c r="AZ371" s="70"/>
      <c r="BA371" s="70"/>
      <c r="BB371" s="70"/>
    </row>
    <row r="372" ht="14.25" customHeight="1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0"/>
      <c r="AX372" s="70"/>
      <c r="AY372" s="70"/>
      <c r="AZ372" s="70"/>
      <c r="BA372" s="70"/>
      <c r="BB372" s="70"/>
    </row>
    <row r="373" ht="14.25" customHeight="1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0"/>
      <c r="AX373" s="70"/>
      <c r="AY373" s="70"/>
      <c r="AZ373" s="70"/>
      <c r="BA373" s="70"/>
      <c r="BB373" s="70"/>
    </row>
    <row r="374" ht="14.25" customHeight="1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0"/>
      <c r="AX374" s="70"/>
      <c r="AY374" s="70"/>
      <c r="AZ374" s="70"/>
      <c r="BA374" s="70"/>
      <c r="BB374" s="70"/>
    </row>
    <row r="375" ht="14.25" customHeight="1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0"/>
      <c r="AX375" s="70"/>
      <c r="AY375" s="70"/>
      <c r="AZ375" s="70"/>
      <c r="BA375" s="70"/>
      <c r="BB375" s="70"/>
    </row>
    <row r="376" ht="14.25" customHeight="1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0"/>
      <c r="AX376" s="70"/>
      <c r="AY376" s="70"/>
      <c r="AZ376" s="70"/>
      <c r="BA376" s="70"/>
      <c r="BB376" s="70"/>
    </row>
    <row r="377" ht="14.25" customHeight="1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0"/>
      <c r="AX377" s="70"/>
      <c r="AY377" s="70"/>
      <c r="AZ377" s="70"/>
      <c r="BA377" s="70"/>
      <c r="BB377" s="70"/>
    </row>
    <row r="378" ht="14.25" customHeight="1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0"/>
      <c r="AX378" s="70"/>
      <c r="AY378" s="70"/>
      <c r="AZ378" s="70"/>
      <c r="BA378" s="70"/>
      <c r="BB378" s="70"/>
    </row>
    <row r="379" ht="14.25" customHeight="1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0"/>
      <c r="AX379" s="70"/>
      <c r="AY379" s="70"/>
      <c r="AZ379" s="70"/>
      <c r="BA379" s="70"/>
      <c r="BB379" s="70"/>
    </row>
    <row r="380" ht="14.25" customHeight="1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70"/>
      <c r="AX380" s="70"/>
      <c r="AY380" s="70"/>
      <c r="AZ380" s="70"/>
      <c r="BA380" s="70"/>
      <c r="BB380" s="70"/>
    </row>
    <row r="381" ht="14.25" customHeight="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70"/>
      <c r="AX381" s="70"/>
      <c r="AY381" s="70"/>
      <c r="AZ381" s="70"/>
      <c r="BA381" s="70"/>
      <c r="BB381" s="70"/>
    </row>
    <row r="382" ht="14.25" customHeight="1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0"/>
      <c r="AX382" s="70"/>
      <c r="AY382" s="70"/>
      <c r="AZ382" s="70"/>
      <c r="BA382" s="70"/>
      <c r="BB382" s="70"/>
    </row>
    <row r="383" ht="14.25" customHeight="1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0"/>
      <c r="AX383" s="70"/>
      <c r="AY383" s="70"/>
      <c r="AZ383" s="70"/>
      <c r="BA383" s="70"/>
      <c r="BB383" s="70"/>
    </row>
    <row r="384" ht="14.25" customHeight="1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0"/>
      <c r="AX384" s="70"/>
      <c r="AY384" s="70"/>
      <c r="AZ384" s="70"/>
      <c r="BA384" s="70"/>
      <c r="BB384" s="70"/>
    </row>
    <row r="385" ht="14.25" customHeight="1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0"/>
      <c r="AX385" s="70"/>
      <c r="AY385" s="70"/>
      <c r="AZ385" s="70"/>
      <c r="BA385" s="70"/>
      <c r="BB385" s="70"/>
    </row>
    <row r="386" ht="14.25" customHeight="1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0"/>
      <c r="AX386" s="70"/>
      <c r="AY386" s="70"/>
      <c r="AZ386" s="70"/>
      <c r="BA386" s="70"/>
      <c r="BB386" s="70"/>
    </row>
    <row r="387" ht="14.25" customHeight="1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70"/>
      <c r="AX387" s="70"/>
      <c r="AY387" s="70"/>
      <c r="AZ387" s="70"/>
      <c r="BA387" s="70"/>
      <c r="BB387" s="70"/>
    </row>
    <row r="388" ht="14.25" customHeight="1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70"/>
      <c r="AX388" s="70"/>
      <c r="AY388" s="70"/>
      <c r="AZ388" s="70"/>
      <c r="BA388" s="70"/>
      <c r="BB388" s="70"/>
    </row>
    <row r="389" ht="14.25" customHeight="1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70"/>
      <c r="AX389" s="70"/>
      <c r="AY389" s="70"/>
      <c r="AZ389" s="70"/>
      <c r="BA389" s="70"/>
      <c r="BB389" s="70"/>
    </row>
    <row r="390" ht="14.25" customHeight="1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70"/>
      <c r="AX390" s="70"/>
      <c r="AY390" s="70"/>
      <c r="AZ390" s="70"/>
      <c r="BA390" s="70"/>
      <c r="BB390" s="70"/>
    </row>
    <row r="391" ht="14.25" customHeight="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70"/>
      <c r="AX391" s="70"/>
      <c r="AY391" s="70"/>
      <c r="AZ391" s="70"/>
      <c r="BA391" s="70"/>
      <c r="BB391" s="70"/>
    </row>
    <row r="392" ht="14.25" customHeight="1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70"/>
      <c r="AX392" s="70"/>
      <c r="AY392" s="70"/>
      <c r="AZ392" s="70"/>
      <c r="BA392" s="70"/>
      <c r="BB392" s="70"/>
    </row>
    <row r="393" ht="14.25" customHeight="1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70"/>
      <c r="AX393" s="70"/>
      <c r="AY393" s="70"/>
      <c r="AZ393" s="70"/>
      <c r="BA393" s="70"/>
      <c r="BB393" s="70"/>
    </row>
    <row r="394" ht="14.25" customHeight="1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70"/>
      <c r="AX394" s="70"/>
      <c r="AY394" s="70"/>
      <c r="AZ394" s="70"/>
      <c r="BA394" s="70"/>
      <c r="BB394" s="70"/>
    </row>
    <row r="395" ht="14.25" customHeight="1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0"/>
      <c r="AX395" s="70"/>
      <c r="AY395" s="70"/>
      <c r="AZ395" s="70"/>
      <c r="BA395" s="70"/>
      <c r="BB395" s="70"/>
    </row>
    <row r="396" ht="14.25" customHeight="1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70"/>
      <c r="AX396" s="70"/>
      <c r="AY396" s="70"/>
      <c r="AZ396" s="70"/>
      <c r="BA396" s="70"/>
      <c r="BB396" s="70"/>
    </row>
    <row r="397" ht="14.25" customHeight="1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 s="70"/>
      <c r="AX397" s="70"/>
      <c r="AY397" s="70"/>
      <c r="AZ397" s="70"/>
      <c r="BA397" s="70"/>
      <c r="BB397" s="70"/>
    </row>
    <row r="398" ht="14.25" customHeight="1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  <c r="AW398" s="70"/>
      <c r="AX398" s="70"/>
      <c r="AY398" s="70"/>
      <c r="AZ398" s="70"/>
      <c r="BA398" s="70"/>
      <c r="BB398" s="70"/>
    </row>
    <row r="399" ht="14.25" customHeight="1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70"/>
      <c r="AW399" s="70"/>
      <c r="AX399" s="70"/>
      <c r="AY399" s="70"/>
      <c r="AZ399" s="70"/>
      <c r="BA399" s="70"/>
      <c r="BB399" s="70"/>
    </row>
    <row r="400" ht="14.25" customHeight="1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 s="70"/>
      <c r="AX400" s="70"/>
      <c r="AY400" s="70"/>
      <c r="AZ400" s="70"/>
      <c r="BA400" s="70"/>
      <c r="BB400" s="70"/>
    </row>
    <row r="401" ht="14.25" customHeight="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 s="70"/>
      <c r="AX401" s="70"/>
      <c r="AY401" s="70"/>
      <c r="AZ401" s="70"/>
      <c r="BA401" s="70"/>
      <c r="BB401" s="70"/>
    </row>
    <row r="402" ht="14.25" customHeight="1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  <c r="AR402" s="70"/>
      <c r="AS402" s="70"/>
      <c r="AT402" s="70"/>
      <c r="AU402" s="70"/>
      <c r="AV402" s="70"/>
      <c r="AW402" s="70"/>
      <c r="AX402" s="70"/>
      <c r="AY402" s="70"/>
      <c r="AZ402" s="70"/>
      <c r="BA402" s="70"/>
      <c r="BB402" s="70"/>
    </row>
    <row r="403" ht="14.25" customHeight="1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  <c r="AR403" s="70"/>
      <c r="AS403" s="70"/>
      <c r="AT403" s="70"/>
      <c r="AU403" s="70"/>
      <c r="AV403" s="70"/>
      <c r="AW403" s="70"/>
      <c r="AX403" s="70"/>
      <c r="AY403" s="70"/>
      <c r="AZ403" s="70"/>
      <c r="BA403" s="70"/>
      <c r="BB403" s="70"/>
    </row>
    <row r="404" ht="14.25" customHeight="1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  <c r="AS404" s="70"/>
      <c r="AT404" s="70"/>
      <c r="AU404" s="70"/>
      <c r="AV404" s="70"/>
      <c r="AW404" s="70"/>
      <c r="AX404" s="70"/>
      <c r="AY404" s="70"/>
      <c r="AZ404" s="70"/>
      <c r="BA404" s="70"/>
      <c r="BB404" s="70"/>
    </row>
    <row r="405" ht="14.25" customHeight="1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/>
      <c r="AS405" s="70"/>
      <c r="AT405" s="70"/>
      <c r="AU405" s="70"/>
      <c r="AV405" s="70"/>
      <c r="AW405" s="70"/>
      <c r="AX405" s="70"/>
      <c r="AY405" s="70"/>
      <c r="AZ405" s="70"/>
      <c r="BA405" s="70"/>
      <c r="BB405" s="70"/>
    </row>
    <row r="406" ht="14.25" customHeight="1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  <c r="AR406" s="70"/>
      <c r="AS406" s="70"/>
      <c r="AT406" s="70"/>
      <c r="AU406" s="70"/>
      <c r="AV406" s="70"/>
      <c r="AW406" s="70"/>
      <c r="AX406" s="70"/>
      <c r="AY406" s="70"/>
      <c r="AZ406" s="70"/>
      <c r="BA406" s="70"/>
      <c r="BB406" s="70"/>
    </row>
    <row r="407" ht="14.25" customHeight="1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  <c r="AR407" s="70"/>
      <c r="AS407" s="70"/>
      <c r="AT407" s="70"/>
      <c r="AU407" s="70"/>
      <c r="AV407" s="70"/>
      <c r="AW407" s="70"/>
      <c r="AX407" s="70"/>
      <c r="AY407" s="70"/>
      <c r="AZ407" s="70"/>
      <c r="BA407" s="70"/>
      <c r="BB407" s="70"/>
    </row>
    <row r="408" ht="14.25" customHeight="1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  <c r="AW408" s="70"/>
      <c r="AX408" s="70"/>
      <c r="AY408" s="70"/>
      <c r="AZ408" s="70"/>
      <c r="BA408" s="70"/>
      <c r="BB408" s="70"/>
    </row>
    <row r="409" ht="14.25" customHeight="1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  <c r="AW409" s="70"/>
      <c r="AX409" s="70"/>
      <c r="AY409" s="70"/>
      <c r="AZ409" s="70"/>
      <c r="BA409" s="70"/>
      <c r="BB409" s="70"/>
    </row>
    <row r="410" ht="14.25" customHeight="1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0"/>
      <c r="AX410" s="70"/>
      <c r="AY410" s="70"/>
      <c r="AZ410" s="70"/>
      <c r="BA410" s="70"/>
      <c r="BB410" s="70"/>
    </row>
    <row r="411" ht="14.25" customHeight="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  <c r="AW411" s="70"/>
      <c r="AX411" s="70"/>
      <c r="AY411" s="70"/>
      <c r="AZ411" s="70"/>
      <c r="BA411" s="70"/>
      <c r="BB411" s="70"/>
    </row>
    <row r="412" ht="14.25" customHeight="1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  <c r="AW412" s="70"/>
      <c r="AX412" s="70"/>
      <c r="AY412" s="70"/>
      <c r="AZ412" s="70"/>
      <c r="BA412" s="70"/>
      <c r="BB412" s="70"/>
    </row>
    <row r="413" ht="14.25" customHeight="1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  <c r="AW413" s="70"/>
      <c r="AX413" s="70"/>
      <c r="AY413" s="70"/>
      <c r="AZ413" s="70"/>
      <c r="BA413" s="70"/>
      <c r="BB413" s="70"/>
    </row>
    <row r="414" ht="14.25" customHeight="1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  <c r="AW414" s="70"/>
      <c r="AX414" s="70"/>
      <c r="AY414" s="70"/>
      <c r="AZ414" s="70"/>
      <c r="BA414" s="70"/>
      <c r="BB414" s="70"/>
    </row>
    <row r="415" ht="14.25" customHeight="1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  <c r="AW415" s="70"/>
      <c r="AX415" s="70"/>
      <c r="AY415" s="70"/>
      <c r="AZ415" s="70"/>
      <c r="BA415" s="70"/>
      <c r="BB415" s="70"/>
    </row>
    <row r="416" ht="14.25" customHeight="1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 s="70"/>
      <c r="AX416" s="70"/>
      <c r="AY416" s="70"/>
      <c r="AZ416" s="70"/>
      <c r="BA416" s="70"/>
      <c r="BB416" s="70"/>
    </row>
    <row r="417" ht="14.25" customHeight="1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 s="70"/>
      <c r="AX417" s="70"/>
      <c r="AY417" s="70"/>
      <c r="AZ417" s="70"/>
      <c r="BA417" s="70"/>
      <c r="BB417" s="70"/>
    </row>
    <row r="418" ht="14.25" customHeight="1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 s="70"/>
      <c r="AX418" s="70"/>
      <c r="AY418" s="70"/>
      <c r="AZ418" s="70"/>
      <c r="BA418" s="70"/>
      <c r="BB418" s="70"/>
    </row>
    <row r="419" ht="14.25" customHeight="1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 s="70"/>
      <c r="AX419" s="70"/>
      <c r="AY419" s="70"/>
      <c r="AZ419" s="70"/>
      <c r="BA419" s="70"/>
      <c r="BB419" s="70"/>
    </row>
    <row r="420" ht="14.25" customHeight="1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 s="70"/>
      <c r="AX420" s="70"/>
      <c r="AY420" s="70"/>
      <c r="AZ420" s="70"/>
      <c r="BA420" s="70"/>
      <c r="BB420" s="70"/>
    </row>
    <row r="421" ht="14.25" customHeight="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 s="70"/>
      <c r="AX421" s="70"/>
      <c r="AY421" s="70"/>
      <c r="AZ421" s="70"/>
      <c r="BA421" s="70"/>
      <c r="BB421" s="70"/>
    </row>
    <row r="422" ht="14.25" customHeight="1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 s="70"/>
      <c r="AX422" s="70"/>
      <c r="AY422" s="70"/>
      <c r="AZ422" s="70"/>
      <c r="BA422" s="70"/>
      <c r="BB422" s="70"/>
    </row>
    <row r="423" ht="14.25" customHeight="1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 s="70"/>
      <c r="AX423" s="70"/>
      <c r="AY423" s="70"/>
      <c r="AZ423" s="70"/>
      <c r="BA423" s="70"/>
      <c r="BB423" s="70"/>
    </row>
    <row r="424" ht="14.25" customHeight="1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 s="70"/>
      <c r="AX424" s="70"/>
      <c r="AY424" s="70"/>
      <c r="AZ424" s="70"/>
      <c r="BA424" s="70"/>
      <c r="BB424" s="70"/>
    </row>
    <row r="425" ht="14.25" customHeight="1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 s="70"/>
      <c r="AX425" s="70"/>
      <c r="AY425" s="70"/>
      <c r="AZ425" s="70"/>
      <c r="BA425" s="70"/>
      <c r="BB425" s="70"/>
    </row>
    <row r="426" ht="14.25" customHeight="1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 s="70"/>
      <c r="AX426" s="70"/>
      <c r="AY426" s="70"/>
      <c r="AZ426" s="70"/>
      <c r="BA426" s="70"/>
      <c r="BB426" s="70"/>
    </row>
    <row r="427" ht="14.25" customHeight="1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 s="70"/>
      <c r="AX427" s="70"/>
      <c r="AY427" s="70"/>
      <c r="AZ427" s="70"/>
      <c r="BA427" s="70"/>
      <c r="BB427" s="70"/>
    </row>
    <row r="428" ht="14.25" customHeight="1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 s="70"/>
      <c r="AX428" s="70"/>
      <c r="AY428" s="70"/>
      <c r="AZ428" s="70"/>
      <c r="BA428" s="70"/>
      <c r="BB428" s="70"/>
    </row>
    <row r="429" ht="14.25" customHeight="1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 s="70"/>
      <c r="AX429" s="70"/>
      <c r="AY429" s="70"/>
      <c r="AZ429" s="70"/>
      <c r="BA429" s="70"/>
      <c r="BB429" s="70"/>
    </row>
    <row r="430" ht="14.25" customHeight="1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70"/>
      <c r="AX430" s="70"/>
      <c r="AY430" s="70"/>
      <c r="AZ430" s="70"/>
      <c r="BA430" s="70"/>
      <c r="BB430" s="70"/>
    </row>
    <row r="431" ht="14.25" customHeight="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 s="70"/>
      <c r="AX431" s="70"/>
      <c r="AY431" s="70"/>
      <c r="AZ431" s="70"/>
      <c r="BA431" s="70"/>
      <c r="BB431" s="70"/>
    </row>
    <row r="432" ht="14.25" customHeight="1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 s="70"/>
      <c r="AX432" s="70"/>
      <c r="AY432" s="70"/>
      <c r="AZ432" s="70"/>
      <c r="BA432" s="70"/>
      <c r="BB432" s="70"/>
    </row>
    <row r="433" ht="14.25" customHeight="1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 s="70"/>
      <c r="AX433" s="70"/>
      <c r="AY433" s="70"/>
      <c r="AZ433" s="70"/>
      <c r="BA433" s="70"/>
      <c r="BB433" s="70"/>
    </row>
    <row r="434" ht="14.25" customHeight="1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 s="70"/>
      <c r="AX434" s="70"/>
      <c r="AY434" s="70"/>
      <c r="AZ434" s="70"/>
      <c r="BA434" s="70"/>
      <c r="BB434" s="70"/>
    </row>
    <row r="435" ht="14.25" customHeight="1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 s="70"/>
      <c r="AX435" s="70"/>
      <c r="AY435" s="70"/>
      <c r="AZ435" s="70"/>
      <c r="BA435" s="70"/>
      <c r="BB435" s="70"/>
    </row>
    <row r="436" ht="14.25" customHeight="1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 s="70"/>
      <c r="AX436" s="70"/>
      <c r="AY436" s="70"/>
      <c r="AZ436" s="70"/>
      <c r="BA436" s="70"/>
      <c r="BB436" s="70"/>
    </row>
    <row r="437" ht="14.25" customHeight="1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 s="70"/>
      <c r="AX437" s="70"/>
      <c r="AY437" s="70"/>
      <c r="AZ437" s="70"/>
      <c r="BA437" s="70"/>
      <c r="BB437" s="70"/>
    </row>
    <row r="438" ht="14.25" customHeight="1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70"/>
      <c r="AX438" s="70"/>
      <c r="AY438" s="70"/>
      <c r="AZ438" s="70"/>
      <c r="BA438" s="70"/>
      <c r="BB438" s="70"/>
    </row>
    <row r="439" ht="14.25" customHeight="1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0"/>
      <c r="AX439" s="70"/>
      <c r="AY439" s="70"/>
      <c r="AZ439" s="70"/>
      <c r="BA439" s="70"/>
      <c r="BB439" s="70"/>
    </row>
    <row r="440" ht="14.25" customHeight="1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0"/>
      <c r="AX440" s="70"/>
      <c r="AY440" s="70"/>
      <c r="AZ440" s="70"/>
      <c r="BA440" s="70"/>
      <c r="BB440" s="70"/>
    </row>
    <row r="441" ht="14.25" customHeight="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70"/>
      <c r="AX441" s="70"/>
      <c r="AY441" s="70"/>
      <c r="AZ441" s="70"/>
      <c r="BA441" s="70"/>
      <c r="BB441" s="70"/>
    </row>
    <row r="442" ht="14.25" customHeight="1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 s="70"/>
      <c r="AX442" s="70"/>
      <c r="AY442" s="70"/>
      <c r="AZ442" s="70"/>
      <c r="BA442" s="70"/>
      <c r="BB442" s="70"/>
    </row>
    <row r="443" ht="14.25" customHeight="1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70"/>
      <c r="AX443" s="70"/>
      <c r="AY443" s="70"/>
      <c r="AZ443" s="70"/>
      <c r="BA443" s="70"/>
      <c r="BB443" s="70"/>
    </row>
    <row r="444" ht="14.25" customHeight="1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70"/>
      <c r="AX444" s="70"/>
      <c r="AY444" s="70"/>
      <c r="AZ444" s="70"/>
      <c r="BA444" s="70"/>
      <c r="BB444" s="70"/>
    </row>
    <row r="445" ht="14.25" customHeight="1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70"/>
      <c r="AX445" s="70"/>
      <c r="AY445" s="70"/>
      <c r="AZ445" s="70"/>
      <c r="BA445" s="70"/>
      <c r="BB445" s="70"/>
    </row>
    <row r="446" ht="14.25" customHeight="1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70"/>
      <c r="AX446" s="70"/>
      <c r="AY446" s="70"/>
      <c r="AZ446" s="70"/>
      <c r="BA446" s="70"/>
      <c r="BB446" s="70"/>
    </row>
    <row r="447" ht="14.25" customHeight="1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70"/>
      <c r="AX447" s="70"/>
      <c r="AY447" s="70"/>
      <c r="AZ447" s="70"/>
      <c r="BA447" s="70"/>
      <c r="BB447" s="70"/>
    </row>
    <row r="448" ht="14.25" customHeight="1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70"/>
      <c r="AX448" s="70"/>
      <c r="AY448" s="70"/>
      <c r="AZ448" s="70"/>
      <c r="BA448" s="70"/>
      <c r="BB448" s="70"/>
    </row>
    <row r="449" ht="14.25" customHeight="1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70"/>
      <c r="AX449" s="70"/>
      <c r="AY449" s="70"/>
      <c r="AZ449" s="70"/>
      <c r="BA449" s="70"/>
      <c r="BB449" s="70"/>
    </row>
    <row r="450" ht="14.25" customHeight="1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70"/>
      <c r="AX450" s="70"/>
      <c r="AY450" s="70"/>
      <c r="AZ450" s="70"/>
      <c r="BA450" s="70"/>
      <c r="BB450" s="70"/>
    </row>
    <row r="451" ht="14.25" customHeight="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 s="70"/>
      <c r="AX451" s="70"/>
      <c r="AY451" s="70"/>
      <c r="AZ451" s="70"/>
      <c r="BA451" s="70"/>
      <c r="BB451" s="70"/>
    </row>
    <row r="452" ht="14.25" customHeight="1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 s="70"/>
      <c r="AX452" s="70"/>
      <c r="AY452" s="70"/>
      <c r="AZ452" s="70"/>
      <c r="BA452" s="70"/>
      <c r="BB452" s="70"/>
    </row>
    <row r="453" ht="14.25" customHeight="1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 s="70"/>
      <c r="AX453" s="70"/>
      <c r="AY453" s="70"/>
      <c r="AZ453" s="70"/>
      <c r="BA453" s="70"/>
      <c r="BB453" s="70"/>
    </row>
    <row r="454" ht="14.25" customHeight="1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  <c r="AW454" s="70"/>
      <c r="AX454" s="70"/>
      <c r="AY454" s="70"/>
      <c r="AZ454" s="70"/>
      <c r="BA454" s="70"/>
      <c r="BB454" s="70"/>
    </row>
    <row r="455" ht="14.25" customHeight="1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  <c r="AW455" s="70"/>
      <c r="AX455" s="70"/>
      <c r="AY455" s="70"/>
      <c r="AZ455" s="70"/>
      <c r="BA455" s="70"/>
      <c r="BB455" s="70"/>
    </row>
    <row r="456" ht="14.25" customHeight="1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  <c r="AW456" s="70"/>
      <c r="AX456" s="70"/>
      <c r="AY456" s="70"/>
      <c r="AZ456" s="70"/>
      <c r="BA456" s="70"/>
      <c r="BB456" s="70"/>
    </row>
    <row r="457" ht="14.25" customHeight="1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 s="70"/>
      <c r="AX457" s="70"/>
      <c r="AY457" s="70"/>
      <c r="AZ457" s="70"/>
      <c r="BA457" s="70"/>
      <c r="BB457" s="70"/>
    </row>
    <row r="458" ht="14.25" customHeight="1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 s="70"/>
      <c r="AX458" s="70"/>
      <c r="AY458" s="70"/>
      <c r="AZ458" s="70"/>
      <c r="BA458" s="70"/>
      <c r="BB458" s="70"/>
    </row>
    <row r="459" ht="14.25" customHeight="1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70"/>
      <c r="AX459" s="70"/>
      <c r="AY459" s="70"/>
      <c r="AZ459" s="70"/>
      <c r="BA459" s="70"/>
      <c r="BB459" s="70"/>
    </row>
    <row r="460" ht="14.25" customHeight="1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0"/>
      <c r="AX460" s="70"/>
      <c r="AY460" s="70"/>
      <c r="AZ460" s="70"/>
      <c r="BA460" s="70"/>
      <c r="BB460" s="70"/>
    </row>
    <row r="461" ht="14.25" customHeight="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0"/>
      <c r="AX461" s="70"/>
      <c r="AY461" s="70"/>
      <c r="AZ461" s="70"/>
      <c r="BA461" s="70"/>
      <c r="BB461" s="70"/>
    </row>
    <row r="462" ht="14.25" customHeight="1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0"/>
      <c r="AX462" s="70"/>
      <c r="AY462" s="70"/>
      <c r="AZ462" s="70"/>
      <c r="BA462" s="70"/>
      <c r="BB462" s="70"/>
    </row>
    <row r="463" ht="14.25" customHeight="1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70"/>
      <c r="AX463" s="70"/>
      <c r="AY463" s="70"/>
      <c r="AZ463" s="70"/>
      <c r="BA463" s="70"/>
      <c r="BB463" s="70"/>
    </row>
    <row r="464" ht="14.25" customHeight="1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70"/>
      <c r="AX464" s="70"/>
      <c r="AY464" s="70"/>
      <c r="AZ464" s="70"/>
      <c r="BA464" s="70"/>
      <c r="BB464" s="70"/>
    </row>
    <row r="465" ht="14.25" customHeight="1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70"/>
      <c r="AX465" s="70"/>
      <c r="AY465" s="70"/>
      <c r="AZ465" s="70"/>
      <c r="BA465" s="70"/>
      <c r="BB465" s="70"/>
    </row>
    <row r="466" ht="14.25" customHeight="1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70"/>
      <c r="AX466" s="70"/>
      <c r="AY466" s="70"/>
      <c r="AZ466" s="70"/>
      <c r="BA466" s="70"/>
      <c r="BB466" s="70"/>
    </row>
    <row r="467" ht="14.25" customHeight="1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70"/>
      <c r="AX467" s="70"/>
      <c r="AY467" s="70"/>
      <c r="AZ467" s="70"/>
      <c r="BA467" s="70"/>
      <c r="BB467" s="70"/>
    </row>
    <row r="468" ht="14.25" customHeight="1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70"/>
      <c r="AX468" s="70"/>
      <c r="AY468" s="70"/>
      <c r="AZ468" s="70"/>
      <c r="BA468" s="70"/>
      <c r="BB468" s="70"/>
    </row>
    <row r="469" ht="14.25" customHeight="1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 s="70"/>
      <c r="AX469" s="70"/>
      <c r="AY469" s="70"/>
      <c r="AZ469" s="70"/>
      <c r="BA469" s="70"/>
      <c r="BB469" s="70"/>
    </row>
    <row r="470" ht="14.25" customHeight="1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 s="70"/>
      <c r="AX470" s="70"/>
      <c r="AY470" s="70"/>
      <c r="AZ470" s="70"/>
      <c r="BA470" s="70"/>
      <c r="BB470" s="70"/>
    </row>
    <row r="471" ht="14.25" customHeight="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 s="70"/>
      <c r="AX471" s="70"/>
      <c r="AY471" s="70"/>
      <c r="AZ471" s="70"/>
      <c r="BA471" s="70"/>
      <c r="BB471" s="70"/>
    </row>
    <row r="472" ht="14.25" customHeight="1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 s="70"/>
      <c r="AX472" s="70"/>
      <c r="AY472" s="70"/>
      <c r="AZ472" s="70"/>
      <c r="BA472" s="70"/>
      <c r="BB472" s="70"/>
    </row>
    <row r="473" ht="14.25" customHeight="1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 s="70"/>
      <c r="AX473" s="70"/>
      <c r="AY473" s="70"/>
      <c r="AZ473" s="70"/>
      <c r="BA473" s="70"/>
      <c r="BB473" s="70"/>
    </row>
    <row r="474" ht="14.25" customHeight="1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0"/>
      <c r="AX474" s="70"/>
      <c r="AY474" s="70"/>
      <c r="AZ474" s="70"/>
      <c r="BA474" s="70"/>
      <c r="BB474" s="70"/>
    </row>
    <row r="475" ht="14.25" customHeight="1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0"/>
      <c r="AX475" s="70"/>
      <c r="AY475" s="70"/>
      <c r="AZ475" s="70"/>
      <c r="BA475" s="70"/>
      <c r="BB475" s="70"/>
    </row>
    <row r="476" ht="14.25" customHeight="1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70"/>
      <c r="AX476" s="70"/>
      <c r="AY476" s="70"/>
      <c r="AZ476" s="70"/>
      <c r="BA476" s="70"/>
      <c r="BB476" s="70"/>
    </row>
    <row r="477" ht="14.25" customHeight="1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 s="70"/>
      <c r="AX477" s="70"/>
      <c r="AY477" s="70"/>
      <c r="AZ477" s="70"/>
      <c r="BA477" s="70"/>
      <c r="BB477" s="70"/>
    </row>
    <row r="478" ht="14.25" customHeight="1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 s="70"/>
      <c r="AX478" s="70"/>
      <c r="AY478" s="70"/>
      <c r="AZ478" s="70"/>
      <c r="BA478" s="70"/>
      <c r="BB478" s="70"/>
    </row>
    <row r="479" ht="14.25" customHeight="1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 s="70"/>
      <c r="AX479" s="70"/>
      <c r="AY479" s="70"/>
      <c r="AZ479" s="70"/>
      <c r="BA479" s="70"/>
      <c r="BB479" s="70"/>
    </row>
    <row r="480" ht="14.25" customHeight="1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 s="70"/>
      <c r="AX480" s="70"/>
      <c r="AY480" s="70"/>
      <c r="AZ480" s="70"/>
      <c r="BA480" s="70"/>
      <c r="BB480" s="70"/>
    </row>
    <row r="481" ht="14.25" customHeight="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70"/>
      <c r="AX481" s="70"/>
      <c r="AY481" s="70"/>
      <c r="AZ481" s="70"/>
      <c r="BA481" s="70"/>
      <c r="BB481" s="70"/>
    </row>
    <row r="482" ht="14.25" customHeight="1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0"/>
      <c r="AX482" s="70"/>
      <c r="AY482" s="70"/>
      <c r="AZ482" s="70"/>
      <c r="BA482" s="70"/>
      <c r="BB482" s="70"/>
    </row>
    <row r="483" ht="14.25" customHeight="1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0"/>
      <c r="AX483" s="70"/>
      <c r="AY483" s="70"/>
      <c r="AZ483" s="70"/>
      <c r="BA483" s="70"/>
      <c r="BB483" s="70"/>
    </row>
    <row r="484" ht="14.25" customHeight="1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70"/>
      <c r="AX484" s="70"/>
      <c r="AY484" s="70"/>
      <c r="AZ484" s="70"/>
      <c r="BA484" s="70"/>
      <c r="BB484" s="70"/>
    </row>
    <row r="485" ht="14.25" customHeight="1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 s="70"/>
      <c r="AX485" s="70"/>
      <c r="AY485" s="70"/>
      <c r="AZ485" s="70"/>
      <c r="BA485" s="70"/>
      <c r="BB485" s="70"/>
    </row>
    <row r="486" ht="14.25" customHeight="1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0"/>
      <c r="AX486" s="70"/>
      <c r="AY486" s="70"/>
      <c r="AZ486" s="70"/>
      <c r="BA486" s="70"/>
      <c r="BB486" s="70"/>
    </row>
    <row r="487" ht="14.25" customHeight="1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70"/>
      <c r="AX487" s="70"/>
      <c r="AY487" s="70"/>
      <c r="AZ487" s="70"/>
      <c r="BA487" s="70"/>
      <c r="BB487" s="70"/>
    </row>
    <row r="488" ht="14.25" customHeight="1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70"/>
      <c r="AX488" s="70"/>
      <c r="AY488" s="70"/>
      <c r="AZ488" s="70"/>
      <c r="BA488" s="70"/>
      <c r="BB488" s="70"/>
    </row>
    <row r="489" ht="14.25" customHeight="1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70"/>
      <c r="AX489" s="70"/>
      <c r="AY489" s="70"/>
      <c r="AZ489" s="70"/>
      <c r="BA489" s="70"/>
      <c r="BB489" s="70"/>
    </row>
    <row r="490" ht="14.25" customHeight="1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 s="70"/>
      <c r="AX490" s="70"/>
      <c r="AY490" s="70"/>
      <c r="AZ490" s="70"/>
      <c r="BA490" s="70"/>
      <c r="BB490" s="70"/>
    </row>
    <row r="491" ht="14.25" customHeight="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70"/>
      <c r="AX491" s="70"/>
      <c r="AY491" s="70"/>
      <c r="AZ491" s="70"/>
      <c r="BA491" s="70"/>
      <c r="BB491" s="70"/>
    </row>
    <row r="492" ht="14.25" customHeight="1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 s="70"/>
      <c r="AX492" s="70"/>
      <c r="AY492" s="70"/>
      <c r="AZ492" s="70"/>
      <c r="BA492" s="70"/>
      <c r="BB492" s="70"/>
    </row>
    <row r="493" ht="14.25" customHeight="1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70"/>
      <c r="AX493" s="70"/>
      <c r="AY493" s="70"/>
      <c r="AZ493" s="70"/>
      <c r="BA493" s="70"/>
      <c r="BB493" s="70"/>
    </row>
    <row r="494" ht="14.25" customHeight="1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 s="70"/>
      <c r="AX494" s="70"/>
      <c r="AY494" s="70"/>
      <c r="AZ494" s="70"/>
      <c r="BA494" s="70"/>
      <c r="BB494" s="70"/>
    </row>
    <row r="495" ht="14.25" customHeight="1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 s="70"/>
      <c r="AX495" s="70"/>
      <c r="AY495" s="70"/>
      <c r="AZ495" s="70"/>
      <c r="BA495" s="70"/>
      <c r="BB495" s="70"/>
    </row>
    <row r="496" ht="14.25" customHeight="1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0"/>
      <c r="AX496" s="70"/>
      <c r="AY496" s="70"/>
      <c r="AZ496" s="70"/>
      <c r="BA496" s="70"/>
      <c r="BB496" s="70"/>
    </row>
    <row r="497" ht="14.25" customHeight="1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70"/>
      <c r="AX497" s="70"/>
      <c r="AY497" s="70"/>
      <c r="AZ497" s="70"/>
      <c r="BA497" s="70"/>
      <c r="BB497" s="70"/>
    </row>
    <row r="498" ht="14.25" customHeight="1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0"/>
      <c r="AX498" s="70"/>
      <c r="AY498" s="70"/>
      <c r="AZ498" s="70"/>
      <c r="BA498" s="70"/>
      <c r="BB498" s="70"/>
    </row>
    <row r="499" ht="14.25" customHeight="1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  <c r="AW499" s="70"/>
      <c r="AX499" s="70"/>
      <c r="AY499" s="70"/>
      <c r="AZ499" s="70"/>
      <c r="BA499" s="70"/>
      <c r="BB499" s="70"/>
    </row>
    <row r="500" ht="14.25" customHeight="1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0"/>
      <c r="AX500" s="70"/>
      <c r="AY500" s="70"/>
      <c r="AZ500" s="70"/>
      <c r="BA500" s="70"/>
      <c r="BB500" s="70"/>
    </row>
    <row r="501" ht="14.25" customHeight="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0"/>
      <c r="AX501" s="70"/>
      <c r="AY501" s="70"/>
      <c r="AZ501" s="70"/>
      <c r="BA501" s="70"/>
      <c r="BB501" s="70"/>
    </row>
    <row r="502" ht="14.25" customHeight="1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0"/>
      <c r="AX502" s="70"/>
      <c r="AY502" s="70"/>
      <c r="AZ502" s="70"/>
      <c r="BA502" s="70"/>
      <c r="BB502" s="70"/>
    </row>
    <row r="503" ht="14.25" customHeight="1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0"/>
      <c r="AX503" s="70"/>
      <c r="AY503" s="70"/>
      <c r="AZ503" s="70"/>
      <c r="BA503" s="70"/>
      <c r="BB503" s="70"/>
    </row>
    <row r="504" ht="14.25" customHeight="1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0"/>
      <c r="AX504" s="70"/>
      <c r="AY504" s="70"/>
      <c r="AZ504" s="70"/>
      <c r="BA504" s="70"/>
      <c r="BB504" s="70"/>
    </row>
    <row r="505" ht="14.25" customHeight="1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0"/>
      <c r="AX505" s="70"/>
      <c r="AY505" s="70"/>
      <c r="AZ505" s="70"/>
      <c r="BA505" s="70"/>
      <c r="BB505" s="70"/>
    </row>
    <row r="506" ht="14.25" customHeight="1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0"/>
      <c r="AX506" s="70"/>
      <c r="AY506" s="70"/>
      <c r="AZ506" s="70"/>
      <c r="BA506" s="70"/>
      <c r="BB506" s="70"/>
    </row>
    <row r="507" ht="14.25" customHeight="1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0"/>
      <c r="AX507" s="70"/>
      <c r="AY507" s="70"/>
      <c r="AZ507" s="70"/>
      <c r="BA507" s="70"/>
      <c r="BB507" s="70"/>
    </row>
    <row r="508" ht="14.25" customHeight="1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0"/>
      <c r="AX508" s="70"/>
      <c r="AY508" s="70"/>
      <c r="AZ508" s="70"/>
      <c r="BA508" s="70"/>
      <c r="BB508" s="70"/>
    </row>
    <row r="509" ht="14.25" customHeight="1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0"/>
      <c r="AX509" s="70"/>
      <c r="AY509" s="70"/>
      <c r="AZ509" s="70"/>
      <c r="BA509" s="70"/>
      <c r="BB509" s="70"/>
    </row>
    <row r="510" ht="14.25" customHeight="1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0"/>
      <c r="AX510" s="70"/>
      <c r="AY510" s="70"/>
      <c r="AZ510" s="70"/>
      <c r="BA510" s="70"/>
      <c r="BB510" s="70"/>
    </row>
    <row r="511" ht="14.25" customHeight="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0"/>
      <c r="AX511" s="70"/>
      <c r="AY511" s="70"/>
      <c r="AZ511" s="70"/>
      <c r="BA511" s="70"/>
      <c r="BB511" s="70"/>
    </row>
    <row r="512" ht="14.25" customHeight="1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0"/>
      <c r="AX512" s="70"/>
      <c r="AY512" s="70"/>
      <c r="AZ512" s="70"/>
      <c r="BA512" s="70"/>
      <c r="BB512" s="70"/>
    </row>
    <row r="513" ht="14.25" customHeight="1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0"/>
      <c r="AX513" s="70"/>
      <c r="AY513" s="70"/>
      <c r="AZ513" s="70"/>
      <c r="BA513" s="70"/>
      <c r="BB513" s="70"/>
    </row>
    <row r="514" ht="14.25" customHeight="1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0"/>
      <c r="AX514" s="70"/>
      <c r="AY514" s="70"/>
      <c r="AZ514" s="70"/>
      <c r="BA514" s="70"/>
      <c r="BB514" s="70"/>
    </row>
    <row r="515" ht="14.25" customHeight="1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70"/>
      <c r="AX515" s="70"/>
      <c r="AY515" s="70"/>
      <c r="AZ515" s="70"/>
      <c r="BA515" s="70"/>
      <c r="BB515" s="70"/>
    </row>
    <row r="516" ht="14.25" customHeight="1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70"/>
      <c r="AX516" s="70"/>
      <c r="AY516" s="70"/>
      <c r="AZ516" s="70"/>
      <c r="BA516" s="70"/>
      <c r="BB516" s="70"/>
    </row>
    <row r="517" ht="14.25" customHeight="1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  <c r="AW517" s="70"/>
      <c r="AX517" s="70"/>
      <c r="AY517" s="70"/>
      <c r="AZ517" s="70"/>
      <c r="BA517" s="70"/>
      <c r="BB517" s="70"/>
    </row>
    <row r="518" ht="14.25" customHeight="1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70"/>
      <c r="AX518" s="70"/>
      <c r="AY518" s="70"/>
      <c r="AZ518" s="70"/>
      <c r="BA518" s="70"/>
      <c r="BB518" s="70"/>
    </row>
    <row r="519" ht="14.25" customHeight="1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 s="70"/>
      <c r="AX519" s="70"/>
      <c r="AY519" s="70"/>
      <c r="AZ519" s="70"/>
      <c r="BA519" s="70"/>
      <c r="BB519" s="70"/>
    </row>
    <row r="520" ht="14.25" customHeight="1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  <c r="AW520" s="70"/>
      <c r="AX520" s="70"/>
      <c r="AY520" s="70"/>
      <c r="AZ520" s="70"/>
      <c r="BA520" s="70"/>
      <c r="BB520" s="70"/>
    </row>
    <row r="521" ht="14.25" customHeight="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 s="70"/>
      <c r="AX521" s="70"/>
      <c r="AY521" s="70"/>
      <c r="AZ521" s="70"/>
      <c r="BA521" s="70"/>
      <c r="BB521" s="70"/>
    </row>
    <row r="522" ht="14.25" customHeight="1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  <c r="AW522" s="70"/>
      <c r="AX522" s="70"/>
      <c r="AY522" s="70"/>
      <c r="AZ522" s="70"/>
      <c r="BA522" s="70"/>
      <c r="BB522" s="70"/>
    </row>
    <row r="523" ht="14.25" customHeight="1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  <c r="AW523" s="70"/>
      <c r="AX523" s="70"/>
      <c r="AY523" s="70"/>
      <c r="AZ523" s="70"/>
      <c r="BA523" s="70"/>
      <c r="BB523" s="70"/>
    </row>
    <row r="524" ht="14.25" customHeight="1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  <c r="AW524" s="70"/>
      <c r="AX524" s="70"/>
      <c r="AY524" s="70"/>
      <c r="AZ524" s="70"/>
      <c r="BA524" s="70"/>
      <c r="BB524" s="70"/>
    </row>
    <row r="525" ht="14.25" customHeight="1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  <c r="AW525" s="70"/>
      <c r="AX525" s="70"/>
      <c r="AY525" s="70"/>
      <c r="AZ525" s="70"/>
      <c r="BA525" s="70"/>
      <c r="BB525" s="70"/>
    </row>
    <row r="526" ht="14.25" customHeight="1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  <c r="AW526" s="70"/>
      <c r="AX526" s="70"/>
      <c r="AY526" s="70"/>
      <c r="AZ526" s="70"/>
      <c r="BA526" s="70"/>
      <c r="BB526" s="70"/>
    </row>
    <row r="527" ht="14.25" customHeight="1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 s="70"/>
      <c r="AX527" s="70"/>
      <c r="AY527" s="70"/>
      <c r="AZ527" s="70"/>
      <c r="BA527" s="70"/>
      <c r="BB527" s="70"/>
    </row>
    <row r="528" ht="14.25" customHeight="1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 s="70"/>
      <c r="AX528" s="70"/>
      <c r="AY528" s="70"/>
      <c r="AZ528" s="70"/>
      <c r="BA528" s="70"/>
      <c r="BB528" s="70"/>
    </row>
    <row r="529" ht="14.25" customHeight="1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  <c r="AW529" s="70"/>
      <c r="AX529" s="70"/>
      <c r="AY529" s="70"/>
      <c r="AZ529" s="70"/>
      <c r="BA529" s="70"/>
      <c r="BB529" s="70"/>
    </row>
    <row r="530" ht="14.25" customHeight="1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  <c r="AW530" s="70"/>
      <c r="AX530" s="70"/>
      <c r="AY530" s="70"/>
      <c r="AZ530" s="70"/>
      <c r="BA530" s="70"/>
      <c r="BB530" s="70"/>
    </row>
    <row r="531" ht="14.25" customHeight="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  <c r="AW531" s="70"/>
      <c r="AX531" s="70"/>
      <c r="AY531" s="70"/>
      <c r="AZ531" s="70"/>
      <c r="BA531" s="70"/>
      <c r="BB531" s="70"/>
    </row>
    <row r="532" ht="14.25" customHeight="1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  <c r="AW532" s="70"/>
      <c r="AX532" s="70"/>
      <c r="AY532" s="70"/>
      <c r="AZ532" s="70"/>
      <c r="BA532" s="70"/>
      <c r="BB532" s="70"/>
    </row>
    <row r="533" ht="14.25" customHeight="1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  <c r="AW533" s="70"/>
      <c r="AX533" s="70"/>
      <c r="AY533" s="70"/>
      <c r="AZ533" s="70"/>
      <c r="BA533" s="70"/>
      <c r="BB533" s="70"/>
    </row>
    <row r="534" ht="14.25" customHeight="1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 s="70"/>
      <c r="AX534" s="70"/>
      <c r="AY534" s="70"/>
      <c r="AZ534" s="70"/>
      <c r="BA534" s="70"/>
      <c r="BB534" s="70"/>
    </row>
    <row r="535" ht="14.25" customHeight="1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70"/>
      <c r="AX535" s="70"/>
      <c r="AY535" s="70"/>
      <c r="AZ535" s="70"/>
      <c r="BA535" s="70"/>
      <c r="BB535" s="70"/>
    </row>
    <row r="536" ht="14.25" customHeight="1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70"/>
      <c r="AX536" s="70"/>
      <c r="AY536" s="70"/>
      <c r="AZ536" s="70"/>
      <c r="BA536" s="70"/>
      <c r="BB536" s="70"/>
    </row>
    <row r="537" ht="14.25" customHeight="1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70"/>
      <c r="AX537" s="70"/>
      <c r="AY537" s="70"/>
      <c r="AZ537" s="70"/>
      <c r="BA537" s="70"/>
      <c r="BB537" s="70"/>
    </row>
    <row r="538" ht="14.25" customHeight="1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70"/>
      <c r="AX538" s="70"/>
      <c r="AY538" s="70"/>
      <c r="AZ538" s="70"/>
      <c r="BA538" s="70"/>
      <c r="BB538" s="70"/>
    </row>
    <row r="539" ht="14.25" customHeight="1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 s="70"/>
      <c r="AX539" s="70"/>
      <c r="AY539" s="70"/>
      <c r="AZ539" s="70"/>
      <c r="BA539" s="70"/>
      <c r="BB539" s="70"/>
    </row>
    <row r="540" ht="14.25" customHeight="1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 s="70"/>
      <c r="AX540" s="70"/>
      <c r="AY540" s="70"/>
      <c r="AZ540" s="70"/>
      <c r="BA540" s="70"/>
      <c r="BB540" s="70"/>
    </row>
    <row r="541" ht="14.25" customHeight="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 s="70"/>
      <c r="AX541" s="70"/>
      <c r="AY541" s="70"/>
      <c r="AZ541" s="70"/>
      <c r="BA541" s="70"/>
      <c r="BB541" s="70"/>
    </row>
    <row r="542" ht="14.25" customHeight="1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0"/>
      <c r="AX542" s="70"/>
      <c r="AY542" s="70"/>
      <c r="AZ542" s="70"/>
      <c r="BA542" s="70"/>
      <c r="BB542" s="70"/>
    </row>
    <row r="543" ht="14.25" customHeight="1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70"/>
      <c r="AX543" s="70"/>
      <c r="AY543" s="70"/>
      <c r="AZ543" s="70"/>
      <c r="BA543" s="70"/>
      <c r="BB543" s="70"/>
    </row>
    <row r="544" ht="14.25" customHeight="1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0"/>
      <c r="AX544" s="70"/>
      <c r="AY544" s="70"/>
      <c r="AZ544" s="70"/>
      <c r="BA544" s="70"/>
      <c r="BB544" s="70"/>
    </row>
    <row r="545" ht="14.25" customHeight="1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70"/>
      <c r="AX545" s="70"/>
      <c r="AY545" s="70"/>
      <c r="AZ545" s="70"/>
      <c r="BA545" s="70"/>
      <c r="BB545" s="70"/>
    </row>
    <row r="546" ht="14.25" customHeight="1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70"/>
      <c r="AX546" s="70"/>
      <c r="AY546" s="70"/>
      <c r="AZ546" s="70"/>
      <c r="BA546" s="70"/>
      <c r="BB546" s="70"/>
    </row>
    <row r="547" ht="14.25" customHeight="1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 s="70"/>
      <c r="AX547" s="70"/>
      <c r="AY547" s="70"/>
      <c r="AZ547" s="70"/>
      <c r="BA547" s="70"/>
      <c r="BB547" s="70"/>
    </row>
    <row r="548" ht="14.25" customHeight="1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 s="70"/>
      <c r="AX548" s="70"/>
      <c r="AY548" s="70"/>
      <c r="AZ548" s="70"/>
      <c r="BA548" s="70"/>
      <c r="BB548" s="70"/>
    </row>
    <row r="549" ht="14.25" customHeight="1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70"/>
      <c r="AX549" s="70"/>
      <c r="AY549" s="70"/>
      <c r="AZ549" s="70"/>
      <c r="BA549" s="70"/>
      <c r="BB549" s="70"/>
    </row>
    <row r="550" ht="14.25" customHeight="1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 s="70"/>
      <c r="AX550" s="70"/>
      <c r="AY550" s="70"/>
      <c r="AZ550" s="70"/>
      <c r="BA550" s="70"/>
      <c r="BB550" s="70"/>
    </row>
    <row r="551" ht="14.25" customHeight="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0"/>
      <c r="AX551" s="70"/>
      <c r="AY551" s="70"/>
      <c r="AZ551" s="70"/>
      <c r="BA551" s="70"/>
      <c r="BB551" s="70"/>
    </row>
    <row r="552" ht="14.25" customHeight="1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 s="70"/>
      <c r="AX552" s="70"/>
      <c r="AY552" s="70"/>
      <c r="AZ552" s="70"/>
      <c r="BA552" s="70"/>
      <c r="BB552" s="70"/>
    </row>
    <row r="553" ht="14.25" customHeight="1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70"/>
      <c r="AX553" s="70"/>
      <c r="AY553" s="70"/>
      <c r="AZ553" s="70"/>
      <c r="BA553" s="70"/>
      <c r="BB553" s="70"/>
    </row>
    <row r="554" ht="14.25" customHeight="1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 s="70"/>
      <c r="AX554" s="70"/>
      <c r="AY554" s="70"/>
      <c r="AZ554" s="70"/>
      <c r="BA554" s="70"/>
      <c r="BB554" s="70"/>
    </row>
    <row r="555" ht="14.25" customHeight="1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 s="70"/>
      <c r="AX555" s="70"/>
      <c r="AY555" s="70"/>
      <c r="AZ555" s="70"/>
      <c r="BA555" s="70"/>
      <c r="BB555" s="70"/>
    </row>
    <row r="556" ht="14.25" customHeight="1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 s="70"/>
      <c r="AX556" s="70"/>
      <c r="AY556" s="70"/>
      <c r="AZ556" s="70"/>
      <c r="BA556" s="70"/>
      <c r="BB556" s="70"/>
    </row>
    <row r="557" ht="14.25" customHeight="1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 s="70"/>
      <c r="AX557" s="70"/>
      <c r="AY557" s="70"/>
      <c r="AZ557" s="70"/>
      <c r="BA557" s="70"/>
      <c r="BB557" s="70"/>
    </row>
    <row r="558" ht="14.25" customHeight="1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 s="70"/>
      <c r="AX558" s="70"/>
      <c r="AY558" s="70"/>
      <c r="AZ558" s="70"/>
      <c r="BA558" s="70"/>
      <c r="BB558" s="70"/>
    </row>
    <row r="559" ht="14.25" customHeight="1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 s="70"/>
      <c r="AX559" s="70"/>
      <c r="AY559" s="70"/>
      <c r="AZ559" s="70"/>
      <c r="BA559" s="70"/>
      <c r="BB559" s="70"/>
    </row>
    <row r="560" ht="14.25" customHeight="1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 s="70"/>
      <c r="AX560" s="70"/>
      <c r="AY560" s="70"/>
      <c r="AZ560" s="70"/>
      <c r="BA560" s="70"/>
      <c r="BB560" s="70"/>
    </row>
    <row r="561" ht="14.25" customHeight="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 s="70"/>
      <c r="AX561" s="70"/>
      <c r="AY561" s="70"/>
      <c r="AZ561" s="70"/>
      <c r="BA561" s="70"/>
      <c r="BB561" s="70"/>
    </row>
    <row r="562" ht="14.25" customHeight="1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 s="70"/>
      <c r="AX562" s="70"/>
      <c r="AY562" s="70"/>
      <c r="AZ562" s="70"/>
      <c r="BA562" s="70"/>
      <c r="BB562" s="70"/>
    </row>
    <row r="563" ht="14.25" customHeight="1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 s="70"/>
      <c r="AX563" s="70"/>
      <c r="AY563" s="70"/>
      <c r="AZ563" s="70"/>
      <c r="BA563" s="70"/>
      <c r="BB563" s="70"/>
    </row>
    <row r="564" ht="14.25" customHeight="1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 s="70"/>
      <c r="AX564" s="70"/>
      <c r="AY564" s="70"/>
      <c r="AZ564" s="70"/>
      <c r="BA564" s="70"/>
      <c r="BB564" s="70"/>
    </row>
    <row r="565" ht="14.25" customHeight="1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70"/>
      <c r="AX565" s="70"/>
      <c r="AY565" s="70"/>
      <c r="AZ565" s="70"/>
      <c r="BA565" s="70"/>
      <c r="BB565" s="70"/>
    </row>
    <row r="566" ht="14.25" customHeight="1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70"/>
      <c r="AX566" s="70"/>
      <c r="AY566" s="70"/>
      <c r="AZ566" s="70"/>
      <c r="BA566" s="70"/>
      <c r="BB566" s="70"/>
    </row>
    <row r="567" ht="14.25" customHeight="1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70"/>
      <c r="AX567" s="70"/>
      <c r="AY567" s="70"/>
      <c r="AZ567" s="70"/>
      <c r="BA567" s="70"/>
      <c r="BB567" s="70"/>
    </row>
    <row r="568" ht="14.25" customHeight="1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70"/>
      <c r="AX568" s="70"/>
      <c r="AY568" s="70"/>
      <c r="AZ568" s="70"/>
      <c r="BA568" s="70"/>
      <c r="BB568" s="70"/>
    </row>
    <row r="569" ht="14.25" customHeight="1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70"/>
      <c r="AX569" s="70"/>
      <c r="AY569" s="70"/>
      <c r="AZ569" s="70"/>
      <c r="BA569" s="70"/>
      <c r="BB569" s="70"/>
    </row>
    <row r="570" ht="14.25" customHeight="1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0"/>
      <c r="AX570" s="70"/>
      <c r="AY570" s="70"/>
      <c r="AZ570" s="70"/>
      <c r="BA570" s="70"/>
      <c r="BB570" s="70"/>
    </row>
    <row r="571" ht="14.25" customHeight="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0"/>
      <c r="AX571" s="70"/>
      <c r="AY571" s="70"/>
      <c r="AZ571" s="70"/>
      <c r="BA571" s="70"/>
      <c r="BB571" s="70"/>
    </row>
    <row r="572" ht="14.25" customHeight="1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0"/>
      <c r="AX572" s="70"/>
      <c r="AY572" s="70"/>
      <c r="AZ572" s="70"/>
      <c r="BA572" s="70"/>
      <c r="BB572" s="70"/>
    </row>
    <row r="573" ht="14.25" customHeight="1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0"/>
      <c r="AX573" s="70"/>
      <c r="AY573" s="70"/>
      <c r="AZ573" s="70"/>
      <c r="BA573" s="70"/>
      <c r="BB573" s="70"/>
    </row>
    <row r="574" ht="14.25" customHeight="1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0"/>
      <c r="AX574" s="70"/>
      <c r="AY574" s="70"/>
      <c r="AZ574" s="70"/>
      <c r="BA574" s="70"/>
      <c r="BB574" s="70"/>
    </row>
    <row r="575" ht="14.25" customHeight="1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0"/>
      <c r="AX575" s="70"/>
      <c r="AY575" s="70"/>
      <c r="AZ575" s="70"/>
      <c r="BA575" s="70"/>
      <c r="BB575" s="70"/>
    </row>
    <row r="576" ht="14.25" customHeight="1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0"/>
      <c r="AX576" s="70"/>
      <c r="AY576" s="70"/>
      <c r="AZ576" s="70"/>
      <c r="BA576" s="70"/>
      <c r="BB576" s="70"/>
    </row>
    <row r="577" ht="14.25" customHeight="1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70"/>
      <c r="AX577" s="70"/>
      <c r="AY577" s="70"/>
      <c r="AZ577" s="70"/>
      <c r="BA577" s="70"/>
      <c r="BB577" s="70"/>
    </row>
    <row r="578" ht="14.25" customHeight="1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70"/>
      <c r="AX578" s="70"/>
      <c r="AY578" s="70"/>
      <c r="AZ578" s="70"/>
      <c r="BA578" s="70"/>
      <c r="BB578" s="70"/>
    </row>
    <row r="579" ht="14.25" customHeight="1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0"/>
      <c r="AX579" s="70"/>
      <c r="AY579" s="70"/>
      <c r="AZ579" s="70"/>
      <c r="BA579" s="70"/>
      <c r="BB579" s="70"/>
    </row>
    <row r="580" ht="14.25" customHeight="1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0"/>
      <c r="AX580" s="70"/>
      <c r="AY580" s="70"/>
      <c r="AZ580" s="70"/>
      <c r="BA580" s="70"/>
      <c r="BB580" s="70"/>
    </row>
    <row r="581" ht="14.25" customHeight="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0"/>
      <c r="AX581" s="70"/>
      <c r="AY581" s="70"/>
      <c r="AZ581" s="70"/>
      <c r="BA581" s="70"/>
      <c r="BB581" s="70"/>
    </row>
    <row r="582" ht="14.25" customHeight="1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0"/>
      <c r="AX582" s="70"/>
      <c r="AY582" s="70"/>
      <c r="AZ582" s="70"/>
      <c r="BA582" s="70"/>
      <c r="BB582" s="70"/>
    </row>
    <row r="583" ht="14.25" customHeight="1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0"/>
      <c r="AX583" s="70"/>
      <c r="AY583" s="70"/>
      <c r="AZ583" s="70"/>
      <c r="BA583" s="70"/>
      <c r="BB583" s="70"/>
    </row>
    <row r="584" ht="14.25" customHeight="1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0"/>
      <c r="AX584" s="70"/>
      <c r="AY584" s="70"/>
      <c r="AZ584" s="70"/>
      <c r="BA584" s="70"/>
      <c r="BB584" s="70"/>
    </row>
    <row r="585" ht="14.25" customHeight="1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0"/>
      <c r="AX585" s="70"/>
      <c r="AY585" s="70"/>
      <c r="AZ585" s="70"/>
      <c r="BA585" s="70"/>
      <c r="BB585" s="70"/>
    </row>
    <row r="586" ht="14.25" customHeight="1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0"/>
      <c r="AX586" s="70"/>
      <c r="AY586" s="70"/>
      <c r="AZ586" s="70"/>
      <c r="BA586" s="70"/>
      <c r="BB586" s="70"/>
    </row>
    <row r="587" ht="14.25" customHeight="1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0"/>
      <c r="AX587" s="70"/>
      <c r="AY587" s="70"/>
      <c r="AZ587" s="70"/>
      <c r="BA587" s="70"/>
      <c r="BB587" s="70"/>
    </row>
    <row r="588" ht="14.25" customHeight="1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70"/>
      <c r="AX588" s="70"/>
      <c r="AY588" s="70"/>
      <c r="AZ588" s="70"/>
      <c r="BA588" s="70"/>
      <c r="BB588" s="70"/>
    </row>
    <row r="589" ht="14.25" customHeight="1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70"/>
      <c r="AX589" s="70"/>
      <c r="AY589" s="70"/>
      <c r="AZ589" s="70"/>
      <c r="BA589" s="70"/>
      <c r="BB589" s="70"/>
    </row>
    <row r="590" ht="14.25" customHeight="1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70"/>
      <c r="AX590" s="70"/>
      <c r="AY590" s="70"/>
      <c r="AZ590" s="70"/>
      <c r="BA590" s="70"/>
      <c r="BB590" s="70"/>
    </row>
    <row r="591" ht="14.25" customHeight="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70"/>
      <c r="AX591" s="70"/>
      <c r="AY591" s="70"/>
      <c r="AZ591" s="70"/>
      <c r="BA591" s="70"/>
      <c r="BB591" s="70"/>
    </row>
    <row r="592" ht="14.25" customHeight="1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70"/>
      <c r="AX592" s="70"/>
      <c r="AY592" s="70"/>
      <c r="AZ592" s="70"/>
      <c r="BA592" s="70"/>
      <c r="BB592" s="70"/>
    </row>
    <row r="593" ht="14.25" customHeight="1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70"/>
      <c r="AX593" s="70"/>
      <c r="AY593" s="70"/>
      <c r="AZ593" s="70"/>
      <c r="BA593" s="70"/>
      <c r="BB593" s="70"/>
    </row>
    <row r="594" ht="14.25" customHeight="1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70"/>
      <c r="AX594" s="70"/>
      <c r="AY594" s="70"/>
      <c r="AZ594" s="70"/>
      <c r="BA594" s="70"/>
      <c r="BB594" s="70"/>
    </row>
    <row r="595" ht="14.25" customHeight="1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70"/>
      <c r="AX595" s="70"/>
      <c r="AY595" s="70"/>
      <c r="AZ595" s="70"/>
      <c r="BA595" s="70"/>
      <c r="BB595" s="70"/>
    </row>
    <row r="596" ht="14.25" customHeight="1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70"/>
      <c r="AX596" s="70"/>
      <c r="AY596" s="70"/>
      <c r="AZ596" s="70"/>
      <c r="BA596" s="70"/>
      <c r="BB596" s="70"/>
    </row>
    <row r="597" ht="14.25" customHeight="1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 s="70"/>
      <c r="AX597" s="70"/>
      <c r="AY597" s="70"/>
      <c r="AZ597" s="70"/>
      <c r="BA597" s="70"/>
      <c r="BB597" s="70"/>
    </row>
    <row r="598" ht="14.25" customHeight="1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70"/>
      <c r="AX598" s="70"/>
      <c r="AY598" s="70"/>
      <c r="AZ598" s="70"/>
      <c r="BA598" s="70"/>
      <c r="BB598" s="70"/>
    </row>
    <row r="599" ht="14.25" customHeight="1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 s="70"/>
      <c r="AX599" s="70"/>
      <c r="AY599" s="70"/>
      <c r="AZ599" s="70"/>
      <c r="BA599" s="70"/>
      <c r="BB599" s="70"/>
    </row>
    <row r="600" ht="14.25" customHeight="1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 s="70"/>
      <c r="AX600" s="70"/>
      <c r="AY600" s="70"/>
      <c r="AZ600" s="70"/>
      <c r="BA600" s="70"/>
      <c r="BB600" s="70"/>
    </row>
    <row r="601" ht="14.25" customHeight="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 s="70"/>
      <c r="AX601" s="70"/>
      <c r="AY601" s="70"/>
      <c r="AZ601" s="70"/>
      <c r="BA601" s="70"/>
      <c r="BB601" s="70"/>
    </row>
    <row r="602" ht="14.25" customHeight="1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  <c r="AW602" s="70"/>
      <c r="AX602" s="70"/>
      <c r="AY602" s="70"/>
      <c r="AZ602" s="70"/>
      <c r="BA602" s="70"/>
      <c r="BB602" s="70"/>
    </row>
    <row r="603" ht="14.25" customHeight="1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  <c r="AW603" s="70"/>
      <c r="AX603" s="70"/>
      <c r="AY603" s="70"/>
      <c r="AZ603" s="70"/>
      <c r="BA603" s="70"/>
      <c r="BB603" s="70"/>
    </row>
    <row r="604" ht="14.25" customHeight="1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  <c r="AW604" s="70"/>
      <c r="AX604" s="70"/>
      <c r="AY604" s="70"/>
      <c r="AZ604" s="70"/>
      <c r="BA604" s="70"/>
      <c r="BB604" s="70"/>
    </row>
    <row r="605" ht="14.25" customHeight="1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  <c r="AW605" s="70"/>
      <c r="AX605" s="70"/>
      <c r="AY605" s="70"/>
      <c r="AZ605" s="70"/>
      <c r="BA605" s="70"/>
      <c r="BB605" s="70"/>
    </row>
    <row r="606" ht="14.25" customHeight="1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  <c r="AH606" s="70"/>
      <c r="AI606" s="70"/>
      <c r="AJ606" s="70"/>
      <c r="AK606" s="70"/>
      <c r="AL606" s="70"/>
      <c r="AM606" s="70"/>
      <c r="AN606" s="70"/>
      <c r="AO606" s="70"/>
      <c r="AP606" s="70"/>
      <c r="AQ606" s="70"/>
      <c r="AR606" s="70"/>
      <c r="AS606" s="70"/>
      <c r="AT606" s="70"/>
      <c r="AU606" s="70"/>
      <c r="AV606" s="70"/>
      <c r="AW606" s="70"/>
      <c r="AX606" s="70"/>
      <c r="AY606" s="70"/>
      <c r="AZ606" s="70"/>
      <c r="BA606" s="70"/>
      <c r="BB606" s="70"/>
    </row>
    <row r="607" ht="14.25" customHeight="1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  <c r="AF607" s="70"/>
      <c r="AG607" s="70"/>
      <c r="AH607" s="70"/>
      <c r="AI607" s="70"/>
      <c r="AJ607" s="70"/>
      <c r="AK607" s="70"/>
      <c r="AL607" s="70"/>
      <c r="AM607" s="70"/>
      <c r="AN607" s="70"/>
      <c r="AO607" s="70"/>
      <c r="AP607" s="70"/>
      <c r="AQ607" s="70"/>
      <c r="AR607" s="70"/>
      <c r="AS607" s="70"/>
      <c r="AT607" s="70"/>
      <c r="AU607" s="70"/>
      <c r="AV607" s="70"/>
      <c r="AW607" s="70"/>
      <c r="AX607" s="70"/>
      <c r="AY607" s="70"/>
      <c r="AZ607" s="70"/>
      <c r="BA607" s="70"/>
      <c r="BB607" s="70"/>
    </row>
    <row r="608" ht="14.25" customHeight="1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  <c r="AD608" s="70"/>
      <c r="AE608" s="70"/>
      <c r="AF608" s="70"/>
      <c r="AG608" s="70"/>
      <c r="AH608" s="70"/>
      <c r="AI608" s="70"/>
      <c r="AJ608" s="70"/>
      <c r="AK608" s="70"/>
      <c r="AL608" s="70"/>
      <c r="AM608" s="70"/>
      <c r="AN608" s="70"/>
      <c r="AO608" s="70"/>
      <c r="AP608" s="70"/>
      <c r="AQ608" s="70"/>
      <c r="AR608" s="70"/>
      <c r="AS608" s="70"/>
      <c r="AT608" s="70"/>
      <c r="AU608" s="70"/>
      <c r="AV608" s="70"/>
      <c r="AW608" s="70"/>
      <c r="AX608" s="70"/>
      <c r="AY608" s="70"/>
      <c r="AZ608" s="70"/>
      <c r="BA608" s="70"/>
      <c r="BB608" s="70"/>
    </row>
    <row r="609" ht="14.25" customHeight="1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70"/>
      <c r="AF609" s="70"/>
      <c r="AG609" s="70"/>
      <c r="AH609" s="70"/>
      <c r="AI609" s="70"/>
      <c r="AJ609" s="70"/>
      <c r="AK609" s="70"/>
      <c r="AL609" s="70"/>
      <c r="AM609" s="70"/>
      <c r="AN609" s="70"/>
      <c r="AO609" s="70"/>
      <c r="AP609" s="70"/>
      <c r="AQ609" s="70"/>
      <c r="AR609" s="70"/>
      <c r="AS609" s="70"/>
      <c r="AT609" s="70"/>
      <c r="AU609" s="70"/>
      <c r="AV609" s="70"/>
      <c r="AW609" s="70"/>
      <c r="AX609" s="70"/>
      <c r="AY609" s="70"/>
      <c r="AZ609" s="70"/>
      <c r="BA609" s="70"/>
      <c r="BB609" s="70"/>
    </row>
    <row r="610" ht="14.25" customHeight="1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  <c r="AD610" s="70"/>
      <c r="AE610" s="70"/>
      <c r="AF610" s="70"/>
      <c r="AG610" s="70"/>
      <c r="AH610" s="70"/>
      <c r="AI610" s="70"/>
      <c r="AJ610" s="70"/>
      <c r="AK610" s="70"/>
      <c r="AL610" s="70"/>
      <c r="AM610" s="70"/>
      <c r="AN610" s="70"/>
      <c r="AO610" s="70"/>
      <c r="AP610" s="70"/>
      <c r="AQ610" s="70"/>
      <c r="AR610" s="70"/>
      <c r="AS610" s="70"/>
      <c r="AT610" s="70"/>
      <c r="AU610" s="70"/>
      <c r="AV610" s="70"/>
      <c r="AW610" s="70"/>
      <c r="AX610" s="70"/>
      <c r="AY610" s="70"/>
      <c r="AZ610" s="70"/>
      <c r="BA610" s="70"/>
      <c r="BB610" s="70"/>
    </row>
    <row r="611" ht="14.25" customHeight="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70"/>
      <c r="AF611" s="70"/>
      <c r="AG611" s="70"/>
      <c r="AH611" s="70"/>
      <c r="AI611" s="70"/>
      <c r="AJ611" s="70"/>
      <c r="AK611" s="70"/>
      <c r="AL611" s="70"/>
      <c r="AM611" s="70"/>
      <c r="AN611" s="70"/>
      <c r="AO611" s="70"/>
      <c r="AP611" s="70"/>
      <c r="AQ611" s="70"/>
      <c r="AR611" s="70"/>
      <c r="AS611" s="70"/>
      <c r="AT611" s="70"/>
      <c r="AU611" s="70"/>
      <c r="AV611" s="70"/>
      <c r="AW611" s="70"/>
      <c r="AX611" s="70"/>
      <c r="AY611" s="70"/>
      <c r="AZ611" s="70"/>
      <c r="BA611" s="70"/>
      <c r="BB611" s="70"/>
    </row>
    <row r="612" ht="14.25" customHeight="1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  <c r="AD612" s="70"/>
      <c r="AE612" s="70"/>
      <c r="AF612" s="70"/>
      <c r="AG612" s="70"/>
      <c r="AH612" s="70"/>
      <c r="AI612" s="70"/>
      <c r="AJ612" s="70"/>
      <c r="AK612" s="70"/>
      <c r="AL612" s="70"/>
      <c r="AM612" s="70"/>
      <c r="AN612" s="70"/>
      <c r="AO612" s="70"/>
      <c r="AP612" s="70"/>
      <c r="AQ612" s="70"/>
      <c r="AR612" s="70"/>
      <c r="AS612" s="70"/>
      <c r="AT612" s="70"/>
      <c r="AU612" s="70"/>
      <c r="AV612" s="70"/>
      <c r="AW612" s="70"/>
      <c r="AX612" s="70"/>
      <c r="AY612" s="70"/>
      <c r="AZ612" s="70"/>
      <c r="BA612" s="70"/>
      <c r="BB612" s="70"/>
    </row>
    <row r="613" ht="14.25" customHeight="1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  <c r="AD613" s="70"/>
      <c r="AE613" s="70"/>
      <c r="AF613" s="70"/>
      <c r="AG613" s="70"/>
      <c r="AH613" s="70"/>
      <c r="AI613" s="70"/>
      <c r="AJ613" s="70"/>
      <c r="AK613" s="70"/>
      <c r="AL613" s="70"/>
      <c r="AM613" s="70"/>
      <c r="AN613" s="70"/>
      <c r="AO613" s="70"/>
      <c r="AP613" s="70"/>
      <c r="AQ613" s="70"/>
      <c r="AR613" s="70"/>
      <c r="AS613" s="70"/>
      <c r="AT613" s="70"/>
      <c r="AU613" s="70"/>
      <c r="AV613" s="70"/>
      <c r="AW613" s="70"/>
      <c r="AX613" s="70"/>
      <c r="AY613" s="70"/>
      <c r="AZ613" s="70"/>
      <c r="BA613" s="70"/>
      <c r="BB613" s="70"/>
    </row>
    <row r="614" ht="14.25" customHeight="1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  <c r="AD614" s="70"/>
      <c r="AE614" s="70"/>
      <c r="AF614" s="70"/>
      <c r="AG614" s="70"/>
      <c r="AH614" s="70"/>
      <c r="AI614" s="70"/>
      <c r="AJ614" s="70"/>
      <c r="AK614" s="70"/>
      <c r="AL614" s="70"/>
      <c r="AM614" s="70"/>
      <c r="AN614" s="70"/>
      <c r="AO614" s="70"/>
      <c r="AP614" s="70"/>
      <c r="AQ614" s="70"/>
      <c r="AR614" s="70"/>
      <c r="AS614" s="70"/>
      <c r="AT614" s="70"/>
      <c r="AU614" s="70"/>
      <c r="AV614" s="70"/>
      <c r="AW614" s="70"/>
      <c r="AX614" s="70"/>
      <c r="AY614" s="70"/>
      <c r="AZ614" s="70"/>
      <c r="BA614" s="70"/>
      <c r="BB614" s="70"/>
    </row>
    <row r="615" ht="14.25" customHeight="1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  <c r="AD615" s="70"/>
      <c r="AE615" s="70"/>
      <c r="AF615" s="70"/>
      <c r="AG615" s="70"/>
      <c r="AH615" s="70"/>
      <c r="AI615" s="70"/>
      <c r="AJ615" s="70"/>
      <c r="AK615" s="70"/>
      <c r="AL615" s="70"/>
      <c r="AM615" s="70"/>
      <c r="AN615" s="70"/>
      <c r="AO615" s="70"/>
      <c r="AP615" s="70"/>
      <c r="AQ615" s="70"/>
      <c r="AR615" s="70"/>
      <c r="AS615" s="70"/>
      <c r="AT615" s="70"/>
      <c r="AU615" s="70"/>
      <c r="AV615" s="70"/>
      <c r="AW615" s="70"/>
      <c r="AX615" s="70"/>
      <c r="AY615" s="70"/>
      <c r="AZ615" s="70"/>
      <c r="BA615" s="70"/>
      <c r="BB615" s="70"/>
    </row>
    <row r="616" ht="14.25" customHeight="1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  <c r="AD616" s="70"/>
      <c r="AE616" s="70"/>
      <c r="AF616" s="70"/>
      <c r="AG616" s="70"/>
      <c r="AH616" s="70"/>
      <c r="AI616" s="70"/>
      <c r="AJ616" s="70"/>
      <c r="AK616" s="70"/>
      <c r="AL616" s="70"/>
      <c r="AM616" s="70"/>
      <c r="AN616" s="70"/>
      <c r="AO616" s="70"/>
      <c r="AP616" s="70"/>
      <c r="AQ616" s="70"/>
      <c r="AR616" s="70"/>
      <c r="AS616" s="70"/>
      <c r="AT616" s="70"/>
      <c r="AU616" s="70"/>
      <c r="AV616" s="70"/>
      <c r="AW616" s="70"/>
      <c r="AX616" s="70"/>
      <c r="AY616" s="70"/>
      <c r="AZ616" s="70"/>
      <c r="BA616" s="70"/>
      <c r="BB616" s="70"/>
    </row>
    <row r="617" ht="14.25" customHeight="1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  <c r="AD617" s="70"/>
      <c r="AE617" s="70"/>
      <c r="AF617" s="70"/>
      <c r="AG617" s="70"/>
      <c r="AH617" s="70"/>
      <c r="AI617" s="70"/>
      <c r="AJ617" s="70"/>
      <c r="AK617" s="70"/>
      <c r="AL617" s="70"/>
      <c r="AM617" s="70"/>
      <c r="AN617" s="70"/>
      <c r="AO617" s="70"/>
      <c r="AP617" s="70"/>
      <c r="AQ617" s="70"/>
      <c r="AR617" s="70"/>
      <c r="AS617" s="70"/>
      <c r="AT617" s="70"/>
      <c r="AU617" s="70"/>
      <c r="AV617" s="70"/>
      <c r="AW617" s="70"/>
      <c r="AX617" s="70"/>
      <c r="AY617" s="70"/>
      <c r="AZ617" s="70"/>
      <c r="BA617" s="70"/>
      <c r="BB617" s="70"/>
    </row>
    <row r="618" ht="14.25" customHeight="1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  <c r="AD618" s="70"/>
      <c r="AE618" s="70"/>
      <c r="AF618" s="70"/>
      <c r="AG618" s="70"/>
      <c r="AH618" s="70"/>
      <c r="AI618" s="70"/>
      <c r="AJ618" s="70"/>
      <c r="AK618" s="70"/>
      <c r="AL618" s="70"/>
      <c r="AM618" s="70"/>
      <c r="AN618" s="70"/>
      <c r="AO618" s="70"/>
      <c r="AP618" s="70"/>
      <c r="AQ618" s="70"/>
      <c r="AR618" s="70"/>
      <c r="AS618" s="70"/>
      <c r="AT618" s="70"/>
      <c r="AU618" s="70"/>
      <c r="AV618" s="70"/>
      <c r="AW618" s="70"/>
      <c r="AX618" s="70"/>
      <c r="AY618" s="70"/>
      <c r="AZ618" s="70"/>
      <c r="BA618" s="70"/>
      <c r="BB618" s="70"/>
    </row>
    <row r="619" ht="14.25" customHeight="1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  <c r="AD619" s="70"/>
      <c r="AE619" s="70"/>
      <c r="AF619" s="70"/>
      <c r="AG619" s="70"/>
      <c r="AH619" s="70"/>
      <c r="AI619" s="70"/>
      <c r="AJ619" s="70"/>
      <c r="AK619" s="70"/>
      <c r="AL619" s="70"/>
      <c r="AM619" s="70"/>
      <c r="AN619" s="70"/>
      <c r="AO619" s="70"/>
      <c r="AP619" s="70"/>
      <c r="AQ619" s="70"/>
      <c r="AR619" s="70"/>
      <c r="AS619" s="70"/>
      <c r="AT619" s="70"/>
      <c r="AU619" s="70"/>
      <c r="AV619" s="70"/>
      <c r="AW619" s="70"/>
      <c r="AX619" s="70"/>
      <c r="AY619" s="70"/>
      <c r="AZ619" s="70"/>
      <c r="BA619" s="70"/>
      <c r="BB619" s="70"/>
    </row>
    <row r="620" ht="14.25" customHeight="1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  <c r="AD620" s="70"/>
      <c r="AE620" s="70"/>
      <c r="AF620" s="70"/>
      <c r="AG620" s="70"/>
      <c r="AH620" s="70"/>
      <c r="AI620" s="70"/>
      <c r="AJ620" s="70"/>
      <c r="AK620" s="70"/>
      <c r="AL620" s="70"/>
      <c r="AM620" s="70"/>
      <c r="AN620" s="70"/>
      <c r="AO620" s="70"/>
      <c r="AP620" s="70"/>
      <c r="AQ620" s="70"/>
      <c r="AR620" s="70"/>
      <c r="AS620" s="70"/>
      <c r="AT620" s="70"/>
      <c r="AU620" s="70"/>
      <c r="AV620" s="70"/>
      <c r="AW620" s="70"/>
      <c r="AX620" s="70"/>
      <c r="AY620" s="70"/>
      <c r="AZ620" s="70"/>
      <c r="BA620" s="70"/>
      <c r="BB620" s="70"/>
    </row>
    <row r="621" ht="14.25" customHeight="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  <c r="AD621" s="70"/>
      <c r="AE621" s="70"/>
      <c r="AF621" s="70"/>
      <c r="AG621" s="70"/>
      <c r="AH621" s="70"/>
      <c r="AI621" s="70"/>
      <c r="AJ621" s="70"/>
      <c r="AK621" s="70"/>
      <c r="AL621" s="70"/>
      <c r="AM621" s="70"/>
      <c r="AN621" s="70"/>
      <c r="AO621" s="70"/>
      <c r="AP621" s="70"/>
      <c r="AQ621" s="70"/>
      <c r="AR621" s="70"/>
      <c r="AS621" s="70"/>
      <c r="AT621" s="70"/>
      <c r="AU621" s="70"/>
      <c r="AV621" s="70"/>
      <c r="AW621" s="70"/>
      <c r="AX621" s="70"/>
      <c r="AY621" s="70"/>
      <c r="AZ621" s="70"/>
      <c r="BA621" s="70"/>
      <c r="BB621" s="70"/>
    </row>
    <row r="622" ht="14.25" customHeight="1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  <c r="AD622" s="70"/>
      <c r="AE622" s="70"/>
      <c r="AF622" s="70"/>
      <c r="AG622" s="70"/>
      <c r="AH622" s="70"/>
      <c r="AI622" s="70"/>
      <c r="AJ622" s="70"/>
      <c r="AK622" s="70"/>
      <c r="AL622" s="70"/>
      <c r="AM622" s="70"/>
      <c r="AN622" s="70"/>
      <c r="AO622" s="70"/>
      <c r="AP622" s="70"/>
      <c r="AQ622" s="70"/>
      <c r="AR622" s="70"/>
      <c r="AS622" s="70"/>
      <c r="AT622" s="70"/>
      <c r="AU622" s="70"/>
      <c r="AV622" s="70"/>
      <c r="AW622" s="70"/>
      <c r="AX622" s="70"/>
      <c r="AY622" s="70"/>
      <c r="AZ622" s="70"/>
      <c r="BA622" s="70"/>
      <c r="BB622" s="70"/>
    </row>
    <row r="623" ht="14.25" customHeight="1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  <c r="AD623" s="70"/>
      <c r="AE623" s="70"/>
      <c r="AF623" s="70"/>
      <c r="AG623" s="70"/>
      <c r="AH623" s="70"/>
      <c r="AI623" s="70"/>
      <c r="AJ623" s="70"/>
      <c r="AK623" s="70"/>
      <c r="AL623" s="70"/>
      <c r="AM623" s="70"/>
      <c r="AN623" s="70"/>
      <c r="AO623" s="70"/>
      <c r="AP623" s="70"/>
      <c r="AQ623" s="70"/>
      <c r="AR623" s="70"/>
      <c r="AS623" s="70"/>
      <c r="AT623" s="70"/>
      <c r="AU623" s="70"/>
      <c r="AV623" s="70"/>
      <c r="AW623" s="70"/>
      <c r="AX623" s="70"/>
      <c r="AY623" s="70"/>
      <c r="AZ623" s="70"/>
      <c r="BA623" s="70"/>
      <c r="BB623" s="70"/>
    </row>
    <row r="624" ht="14.25" customHeight="1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  <c r="AD624" s="70"/>
      <c r="AE624" s="70"/>
      <c r="AF624" s="70"/>
      <c r="AG624" s="70"/>
      <c r="AH624" s="70"/>
      <c r="AI624" s="70"/>
      <c r="AJ624" s="70"/>
      <c r="AK624" s="70"/>
      <c r="AL624" s="70"/>
      <c r="AM624" s="70"/>
      <c r="AN624" s="70"/>
      <c r="AO624" s="70"/>
      <c r="AP624" s="70"/>
      <c r="AQ624" s="70"/>
      <c r="AR624" s="70"/>
      <c r="AS624" s="70"/>
      <c r="AT624" s="70"/>
      <c r="AU624" s="70"/>
      <c r="AV624" s="70"/>
      <c r="AW624" s="70"/>
      <c r="AX624" s="70"/>
      <c r="AY624" s="70"/>
      <c r="AZ624" s="70"/>
      <c r="BA624" s="70"/>
      <c r="BB624" s="70"/>
    </row>
    <row r="625" ht="14.25" customHeight="1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  <c r="AD625" s="70"/>
      <c r="AE625" s="70"/>
      <c r="AF625" s="70"/>
      <c r="AG625" s="70"/>
      <c r="AH625" s="70"/>
      <c r="AI625" s="70"/>
      <c r="AJ625" s="70"/>
      <c r="AK625" s="70"/>
      <c r="AL625" s="70"/>
      <c r="AM625" s="70"/>
      <c r="AN625" s="70"/>
      <c r="AO625" s="70"/>
      <c r="AP625" s="70"/>
      <c r="AQ625" s="70"/>
      <c r="AR625" s="70"/>
      <c r="AS625" s="70"/>
      <c r="AT625" s="70"/>
      <c r="AU625" s="70"/>
      <c r="AV625" s="70"/>
      <c r="AW625" s="70"/>
      <c r="AX625" s="70"/>
      <c r="AY625" s="70"/>
      <c r="AZ625" s="70"/>
      <c r="BA625" s="70"/>
      <c r="BB625" s="70"/>
    </row>
    <row r="626" ht="14.25" customHeight="1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  <c r="AD626" s="70"/>
      <c r="AE626" s="70"/>
      <c r="AF626" s="70"/>
      <c r="AG626" s="70"/>
      <c r="AH626" s="70"/>
      <c r="AI626" s="70"/>
      <c r="AJ626" s="70"/>
      <c r="AK626" s="70"/>
      <c r="AL626" s="70"/>
      <c r="AM626" s="70"/>
      <c r="AN626" s="70"/>
      <c r="AO626" s="70"/>
      <c r="AP626" s="70"/>
      <c r="AQ626" s="70"/>
      <c r="AR626" s="70"/>
      <c r="AS626" s="70"/>
      <c r="AT626" s="70"/>
      <c r="AU626" s="70"/>
      <c r="AV626" s="70"/>
      <c r="AW626" s="70"/>
      <c r="AX626" s="70"/>
      <c r="AY626" s="70"/>
      <c r="AZ626" s="70"/>
      <c r="BA626" s="70"/>
      <c r="BB626" s="70"/>
    </row>
    <row r="627" ht="14.25" customHeight="1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  <c r="AD627" s="70"/>
      <c r="AE627" s="70"/>
      <c r="AF627" s="70"/>
      <c r="AG627" s="70"/>
      <c r="AH627" s="70"/>
      <c r="AI627" s="70"/>
      <c r="AJ627" s="70"/>
      <c r="AK627" s="70"/>
      <c r="AL627" s="70"/>
      <c r="AM627" s="70"/>
      <c r="AN627" s="70"/>
      <c r="AO627" s="70"/>
      <c r="AP627" s="70"/>
      <c r="AQ627" s="70"/>
      <c r="AR627" s="70"/>
      <c r="AS627" s="70"/>
      <c r="AT627" s="70"/>
      <c r="AU627" s="70"/>
      <c r="AV627" s="70"/>
      <c r="AW627" s="70"/>
      <c r="AX627" s="70"/>
      <c r="AY627" s="70"/>
      <c r="AZ627" s="70"/>
      <c r="BA627" s="70"/>
      <c r="BB627" s="70"/>
    </row>
    <row r="628" ht="14.25" customHeight="1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  <c r="AD628" s="70"/>
      <c r="AE628" s="70"/>
      <c r="AF628" s="70"/>
      <c r="AG628" s="70"/>
      <c r="AH628" s="70"/>
      <c r="AI628" s="70"/>
      <c r="AJ628" s="70"/>
      <c r="AK628" s="70"/>
      <c r="AL628" s="70"/>
      <c r="AM628" s="70"/>
      <c r="AN628" s="70"/>
      <c r="AO628" s="70"/>
      <c r="AP628" s="70"/>
      <c r="AQ628" s="70"/>
      <c r="AR628" s="70"/>
      <c r="AS628" s="70"/>
      <c r="AT628" s="70"/>
      <c r="AU628" s="70"/>
      <c r="AV628" s="70"/>
      <c r="AW628" s="70"/>
      <c r="AX628" s="70"/>
      <c r="AY628" s="70"/>
      <c r="AZ628" s="70"/>
      <c r="BA628" s="70"/>
      <c r="BB628" s="70"/>
    </row>
    <row r="629" ht="14.25" customHeight="1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  <c r="AD629" s="70"/>
      <c r="AE629" s="70"/>
      <c r="AF629" s="70"/>
      <c r="AG629" s="70"/>
      <c r="AH629" s="70"/>
      <c r="AI629" s="70"/>
      <c r="AJ629" s="70"/>
      <c r="AK629" s="70"/>
      <c r="AL629" s="70"/>
      <c r="AM629" s="70"/>
      <c r="AN629" s="70"/>
      <c r="AO629" s="70"/>
      <c r="AP629" s="70"/>
      <c r="AQ629" s="70"/>
      <c r="AR629" s="70"/>
      <c r="AS629" s="70"/>
      <c r="AT629" s="70"/>
      <c r="AU629" s="70"/>
      <c r="AV629" s="70"/>
      <c r="AW629" s="70"/>
      <c r="AX629" s="70"/>
      <c r="AY629" s="70"/>
      <c r="AZ629" s="70"/>
      <c r="BA629" s="70"/>
      <c r="BB629" s="70"/>
    </row>
    <row r="630" ht="14.25" customHeight="1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  <c r="AD630" s="70"/>
      <c r="AE630" s="70"/>
      <c r="AF630" s="70"/>
      <c r="AG630" s="70"/>
      <c r="AH630" s="70"/>
      <c r="AI630" s="70"/>
      <c r="AJ630" s="70"/>
      <c r="AK630" s="70"/>
      <c r="AL630" s="70"/>
      <c r="AM630" s="70"/>
      <c r="AN630" s="70"/>
      <c r="AO630" s="70"/>
      <c r="AP630" s="70"/>
      <c r="AQ630" s="70"/>
      <c r="AR630" s="70"/>
      <c r="AS630" s="70"/>
      <c r="AT630" s="70"/>
      <c r="AU630" s="70"/>
      <c r="AV630" s="70"/>
      <c r="AW630" s="70"/>
      <c r="AX630" s="70"/>
      <c r="AY630" s="70"/>
      <c r="AZ630" s="70"/>
      <c r="BA630" s="70"/>
      <c r="BB630" s="70"/>
    </row>
    <row r="631" ht="14.25" customHeight="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  <c r="AD631" s="70"/>
      <c r="AE631" s="70"/>
      <c r="AF631" s="70"/>
      <c r="AG631" s="70"/>
      <c r="AH631" s="70"/>
      <c r="AI631" s="70"/>
      <c r="AJ631" s="70"/>
      <c r="AK631" s="70"/>
      <c r="AL631" s="70"/>
      <c r="AM631" s="70"/>
      <c r="AN631" s="70"/>
      <c r="AO631" s="70"/>
      <c r="AP631" s="70"/>
      <c r="AQ631" s="70"/>
      <c r="AR631" s="70"/>
      <c r="AS631" s="70"/>
      <c r="AT631" s="70"/>
      <c r="AU631" s="70"/>
      <c r="AV631" s="70"/>
      <c r="AW631" s="70"/>
      <c r="AX631" s="70"/>
      <c r="AY631" s="70"/>
      <c r="AZ631" s="70"/>
      <c r="BA631" s="70"/>
      <c r="BB631" s="70"/>
    </row>
    <row r="632" ht="14.25" customHeight="1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  <c r="AD632" s="70"/>
      <c r="AE632" s="70"/>
      <c r="AF632" s="70"/>
      <c r="AG632" s="70"/>
      <c r="AH632" s="70"/>
      <c r="AI632" s="70"/>
      <c r="AJ632" s="70"/>
      <c r="AK632" s="70"/>
      <c r="AL632" s="70"/>
      <c r="AM632" s="70"/>
      <c r="AN632" s="70"/>
      <c r="AO632" s="70"/>
      <c r="AP632" s="70"/>
      <c r="AQ632" s="70"/>
      <c r="AR632" s="70"/>
      <c r="AS632" s="70"/>
      <c r="AT632" s="70"/>
      <c r="AU632" s="70"/>
      <c r="AV632" s="70"/>
      <c r="AW632" s="70"/>
      <c r="AX632" s="70"/>
      <c r="AY632" s="70"/>
      <c r="AZ632" s="70"/>
      <c r="BA632" s="70"/>
      <c r="BB632" s="70"/>
    </row>
    <row r="633" ht="14.25" customHeight="1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  <c r="AD633" s="70"/>
      <c r="AE633" s="70"/>
      <c r="AF633" s="70"/>
      <c r="AG633" s="70"/>
      <c r="AH633" s="70"/>
      <c r="AI633" s="70"/>
      <c r="AJ633" s="70"/>
      <c r="AK633" s="70"/>
      <c r="AL633" s="70"/>
      <c r="AM633" s="70"/>
      <c r="AN633" s="70"/>
      <c r="AO633" s="70"/>
      <c r="AP633" s="70"/>
      <c r="AQ633" s="70"/>
      <c r="AR633" s="70"/>
      <c r="AS633" s="70"/>
      <c r="AT633" s="70"/>
      <c r="AU633" s="70"/>
      <c r="AV633" s="70"/>
      <c r="AW633" s="70"/>
      <c r="AX633" s="70"/>
      <c r="AY633" s="70"/>
      <c r="AZ633" s="70"/>
      <c r="BA633" s="70"/>
      <c r="BB633" s="70"/>
    </row>
    <row r="634" ht="14.25" customHeight="1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  <c r="AD634" s="70"/>
      <c r="AE634" s="70"/>
      <c r="AF634" s="70"/>
      <c r="AG634" s="70"/>
      <c r="AH634" s="70"/>
      <c r="AI634" s="70"/>
      <c r="AJ634" s="70"/>
      <c r="AK634" s="70"/>
      <c r="AL634" s="70"/>
      <c r="AM634" s="70"/>
      <c r="AN634" s="70"/>
      <c r="AO634" s="70"/>
      <c r="AP634" s="70"/>
      <c r="AQ634" s="70"/>
      <c r="AR634" s="70"/>
      <c r="AS634" s="70"/>
      <c r="AT634" s="70"/>
      <c r="AU634" s="70"/>
      <c r="AV634" s="70"/>
      <c r="AW634" s="70"/>
      <c r="AX634" s="70"/>
      <c r="AY634" s="70"/>
      <c r="AZ634" s="70"/>
      <c r="BA634" s="70"/>
      <c r="BB634" s="70"/>
    </row>
    <row r="635" ht="14.25" customHeight="1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  <c r="AD635" s="70"/>
      <c r="AE635" s="70"/>
      <c r="AF635" s="70"/>
      <c r="AG635" s="70"/>
      <c r="AH635" s="70"/>
      <c r="AI635" s="70"/>
      <c r="AJ635" s="70"/>
      <c r="AK635" s="70"/>
      <c r="AL635" s="70"/>
      <c r="AM635" s="70"/>
      <c r="AN635" s="70"/>
      <c r="AO635" s="70"/>
      <c r="AP635" s="70"/>
      <c r="AQ635" s="70"/>
      <c r="AR635" s="70"/>
      <c r="AS635" s="70"/>
      <c r="AT635" s="70"/>
      <c r="AU635" s="70"/>
      <c r="AV635" s="70"/>
      <c r="AW635" s="70"/>
      <c r="AX635" s="70"/>
      <c r="AY635" s="70"/>
      <c r="AZ635" s="70"/>
      <c r="BA635" s="70"/>
      <c r="BB635" s="70"/>
    </row>
    <row r="636" ht="14.25" customHeight="1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  <c r="AD636" s="70"/>
      <c r="AE636" s="70"/>
      <c r="AF636" s="70"/>
      <c r="AG636" s="70"/>
      <c r="AH636" s="70"/>
      <c r="AI636" s="70"/>
      <c r="AJ636" s="70"/>
      <c r="AK636" s="70"/>
      <c r="AL636" s="70"/>
      <c r="AM636" s="70"/>
      <c r="AN636" s="70"/>
      <c r="AO636" s="70"/>
      <c r="AP636" s="70"/>
      <c r="AQ636" s="70"/>
      <c r="AR636" s="70"/>
      <c r="AS636" s="70"/>
      <c r="AT636" s="70"/>
      <c r="AU636" s="70"/>
      <c r="AV636" s="70"/>
      <c r="AW636" s="70"/>
      <c r="AX636" s="70"/>
      <c r="AY636" s="70"/>
      <c r="AZ636" s="70"/>
      <c r="BA636" s="70"/>
      <c r="BB636" s="70"/>
    </row>
    <row r="637" ht="14.25" customHeight="1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  <c r="AD637" s="70"/>
      <c r="AE637" s="70"/>
      <c r="AF637" s="70"/>
      <c r="AG637" s="70"/>
      <c r="AH637" s="70"/>
      <c r="AI637" s="70"/>
      <c r="AJ637" s="70"/>
      <c r="AK637" s="70"/>
      <c r="AL637" s="70"/>
      <c r="AM637" s="70"/>
      <c r="AN637" s="70"/>
      <c r="AO637" s="70"/>
      <c r="AP637" s="70"/>
      <c r="AQ637" s="70"/>
      <c r="AR637" s="70"/>
      <c r="AS637" s="70"/>
      <c r="AT637" s="70"/>
      <c r="AU637" s="70"/>
      <c r="AV637" s="70"/>
      <c r="AW637" s="70"/>
      <c r="AX637" s="70"/>
      <c r="AY637" s="70"/>
      <c r="AZ637" s="70"/>
      <c r="BA637" s="70"/>
      <c r="BB637" s="70"/>
    </row>
    <row r="638" ht="14.25" customHeight="1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  <c r="AD638" s="70"/>
      <c r="AE638" s="70"/>
      <c r="AF638" s="70"/>
      <c r="AG638" s="70"/>
      <c r="AH638" s="70"/>
      <c r="AI638" s="70"/>
      <c r="AJ638" s="70"/>
      <c r="AK638" s="70"/>
      <c r="AL638" s="70"/>
      <c r="AM638" s="70"/>
      <c r="AN638" s="70"/>
      <c r="AO638" s="70"/>
      <c r="AP638" s="70"/>
      <c r="AQ638" s="70"/>
      <c r="AR638" s="70"/>
      <c r="AS638" s="70"/>
      <c r="AT638" s="70"/>
      <c r="AU638" s="70"/>
      <c r="AV638" s="70"/>
      <c r="AW638" s="70"/>
      <c r="AX638" s="70"/>
      <c r="AY638" s="70"/>
      <c r="AZ638" s="70"/>
      <c r="BA638" s="70"/>
      <c r="BB638" s="70"/>
    </row>
    <row r="639" ht="14.25" customHeight="1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  <c r="AD639" s="70"/>
      <c r="AE639" s="70"/>
      <c r="AF639" s="70"/>
      <c r="AG639" s="70"/>
      <c r="AH639" s="70"/>
      <c r="AI639" s="70"/>
      <c r="AJ639" s="70"/>
      <c r="AK639" s="70"/>
      <c r="AL639" s="70"/>
      <c r="AM639" s="70"/>
      <c r="AN639" s="70"/>
      <c r="AO639" s="70"/>
      <c r="AP639" s="70"/>
      <c r="AQ639" s="70"/>
      <c r="AR639" s="70"/>
      <c r="AS639" s="70"/>
      <c r="AT639" s="70"/>
      <c r="AU639" s="70"/>
      <c r="AV639" s="70"/>
      <c r="AW639" s="70"/>
      <c r="AX639" s="70"/>
      <c r="AY639" s="70"/>
      <c r="AZ639" s="70"/>
      <c r="BA639" s="70"/>
      <c r="BB639" s="70"/>
    </row>
    <row r="640" ht="14.25" customHeight="1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  <c r="AD640" s="70"/>
      <c r="AE640" s="70"/>
      <c r="AF640" s="70"/>
      <c r="AG640" s="70"/>
      <c r="AH640" s="70"/>
      <c r="AI640" s="70"/>
      <c r="AJ640" s="70"/>
      <c r="AK640" s="70"/>
      <c r="AL640" s="70"/>
      <c r="AM640" s="70"/>
      <c r="AN640" s="70"/>
      <c r="AO640" s="70"/>
      <c r="AP640" s="70"/>
      <c r="AQ640" s="70"/>
      <c r="AR640" s="70"/>
      <c r="AS640" s="70"/>
      <c r="AT640" s="70"/>
      <c r="AU640" s="70"/>
      <c r="AV640" s="70"/>
      <c r="AW640" s="70"/>
      <c r="AX640" s="70"/>
      <c r="AY640" s="70"/>
      <c r="AZ640" s="70"/>
      <c r="BA640" s="70"/>
      <c r="BB640" s="70"/>
    </row>
    <row r="641" ht="14.25" customHeight="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  <c r="AD641" s="70"/>
      <c r="AE641" s="70"/>
      <c r="AF641" s="70"/>
      <c r="AG641" s="70"/>
      <c r="AH641" s="70"/>
      <c r="AI641" s="70"/>
      <c r="AJ641" s="70"/>
      <c r="AK641" s="70"/>
      <c r="AL641" s="70"/>
      <c r="AM641" s="70"/>
      <c r="AN641" s="70"/>
      <c r="AO641" s="70"/>
      <c r="AP641" s="70"/>
      <c r="AQ641" s="70"/>
      <c r="AR641" s="70"/>
      <c r="AS641" s="70"/>
      <c r="AT641" s="70"/>
      <c r="AU641" s="70"/>
      <c r="AV641" s="70"/>
      <c r="AW641" s="70"/>
      <c r="AX641" s="70"/>
      <c r="AY641" s="70"/>
      <c r="AZ641" s="70"/>
      <c r="BA641" s="70"/>
      <c r="BB641" s="70"/>
    </row>
    <row r="642" ht="14.25" customHeight="1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  <c r="AD642" s="70"/>
      <c r="AE642" s="70"/>
      <c r="AF642" s="70"/>
      <c r="AG642" s="70"/>
      <c r="AH642" s="70"/>
      <c r="AI642" s="70"/>
      <c r="AJ642" s="70"/>
      <c r="AK642" s="70"/>
      <c r="AL642" s="70"/>
      <c r="AM642" s="70"/>
      <c r="AN642" s="70"/>
      <c r="AO642" s="70"/>
      <c r="AP642" s="70"/>
      <c r="AQ642" s="70"/>
      <c r="AR642" s="70"/>
      <c r="AS642" s="70"/>
      <c r="AT642" s="70"/>
      <c r="AU642" s="70"/>
      <c r="AV642" s="70"/>
      <c r="AW642" s="70"/>
      <c r="AX642" s="70"/>
      <c r="AY642" s="70"/>
      <c r="AZ642" s="70"/>
      <c r="BA642" s="70"/>
      <c r="BB642" s="70"/>
    </row>
    <row r="643" ht="14.25" customHeight="1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  <c r="AD643" s="70"/>
      <c r="AE643" s="70"/>
      <c r="AF643" s="70"/>
      <c r="AG643" s="70"/>
      <c r="AH643" s="70"/>
      <c r="AI643" s="70"/>
      <c r="AJ643" s="70"/>
      <c r="AK643" s="70"/>
      <c r="AL643" s="70"/>
      <c r="AM643" s="70"/>
      <c r="AN643" s="70"/>
      <c r="AO643" s="70"/>
      <c r="AP643" s="70"/>
      <c r="AQ643" s="70"/>
      <c r="AR643" s="70"/>
      <c r="AS643" s="70"/>
      <c r="AT643" s="70"/>
      <c r="AU643" s="70"/>
      <c r="AV643" s="70"/>
      <c r="AW643" s="70"/>
      <c r="AX643" s="70"/>
      <c r="AY643" s="70"/>
      <c r="AZ643" s="70"/>
      <c r="BA643" s="70"/>
      <c r="BB643" s="70"/>
    </row>
    <row r="644" ht="14.25" customHeight="1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  <c r="AD644" s="70"/>
      <c r="AE644" s="70"/>
      <c r="AF644" s="70"/>
      <c r="AG644" s="70"/>
      <c r="AH644" s="70"/>
      <c r="AI644" s="70"/>
      <c r="AJ644" s="70"/>
      <c r="AK644" s="70"/>
      <c r="AL644" s="70"/>
      <c r="AM644" s="70"/>
      <c r="AN644" s="70"/>
      <c r="AO644" s="70"/>
      <c r="AP644" s="70"/>
      <c r="AQ644" s="70"/>
      <c r="AR644" s="70"/>
      <c r="AS644" s="70"/>
      <c r="AT644" s="70"/>
      <c r="AU644" s="70"/>
      <c r="AV644" s="70"/>
      <c r="AW644" s="70"/>
      <c r="AX644" s="70"/>
      <c r="AY644" s="70"/>
      <c r="AZ644" s="70"/>
      <c r="BA644" s="70"/>
      <c r="BB644" s="70"/>
    </row>
    <row r="645" ht="14.25" customHeight="1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  <c r="AD645" s="70"/>
      <c r="AE645" s="70"/>
      <c r="AF645" s="70"/>
      <c r="AG645" s="70"/>
      <c r="AH645" s="70"/>
      <c r="AI645" s="70"/>
      <c r="AJ645" s="70"/>
      <c r="AK645" s="70"/>
      <c r="AL645" s="70"/>
      <c r="AM645" s="70"/>
      <c r="AN645" s="70"/>
      <c r="AO645" s="70"/>
      <c r="AP645" s="70"/>
      <c r="AQ645" s="70"/>
      <c r="AR645" s="70"/>
      <c r="AS645" s="70"/>
      <c r="AT645" s="70"/>
      <c r="AU645" s="70"/>
      <c r="AV645" s="70"/>
      <c r="AW645" s="70"/>
      <c r="AX645" s="70"/>
      <c r="AY645" s="70"/>
      <c r="AZ645" s="70"/>
      <c r="BA645" s="70"/>
      <c r="BB645" s="70"/>
    </row>
    <row r="646" ht="14.25" customHeight="1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  <c r="AD646" s="70"/>
      <c r="AE646" s="70"/>
      <c r="AF646" s="70"/>
      <c r="AG646" s="70"/>
      <c r="AH646" s="70"/>
      <c r="AI646" s="70"/>
      <c r="AJ646" s="70"/>
      <c r="AK646" s="70"/>
      <c r="AL646" s="70"/>
      <c r="AM646" s="70"/>
      <c r="AN646" s="70"/>
      <c r="AO646" s="70"/>
      <c r="AP646" s="70"/>
      <c r="AQ646" s="70"/>
      <c r="AR646" s="70"/>
      <c r="AS646" s="70"/>
      <c r="AT646" s="70"/>
      <c r="AU646" s="70"/>
      <c r="AV646" s="70"/>
      <c r="AW646" s="70"/>
      <c r="AX646" s="70"/>
      <c r="AY646" s="70"/>
      <c r="AZ646" s="70"/>
      <c r="BA646" s="70"/>
      <c r="BB646" s="70"/>
    </row>
    <row r="647" ht="14.25" customHeight="1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  <c r="AD647" s="70"/>
      <c r="AE647" s="70"/>
      <c r="AF647" s="70"/>
      <c r="AG647" s="70"/>
      <c r="AH647" s="70"/>
      <c r="AI647" s="70"/>
      <c r="AJ647" s="70"/>
      <c r="AK647" s="70"/>
      <c r="AL647" s="70"/>
      <c r="AM647" s="70"/>
      <c r="AN647" s="70"/>
      <c r="AO647" s="70"/>
      <c r="AP647" s="70"/>
      <c r="AQ647" s="70"/>
      <c r="AR647" s="70"/>
      <c r="AS647" s="70"/>
      <c r="AT647" s="70"/>
      <c r="AU647" s="70"/>
      <c r="AV647" s="70"/>
      <c r="AW647" s="70"/>
      <c r="AX647" s="70"/>
      <c r="AY647" s="70"/>
      <c r="AZ647" s="70"/>
      <c r="BA647" s="70"/>
      <c r="BB647" s="70"/>
    </row>
    <row r="648" ht="14.25" customHeight="1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  <c r="AD648" s="70"/>
      <c r="AE648" s="70"/>
      <c r="AF648" s="70"/>
      <c r="AG648" s="70"/>
      <c r="AH648" s="70"/>
      <c r="AI648" s="70"/>
      <c r="AJ648" s="70"/>
      <c r="AK648" s="70"/>
      <c r="AL648" s="70"/>
      <c r="AM648" s="70"/>
      <c r="AN648" s="70"/>
      <c r="AO648" s="70"/>
      <c r="AP648" s="70"/>
      <c r="AQ648" s="70"/>
      <c r="AR648" s="70"/>
      <c r="AS648" s="70"/>
      <c r="AT648" s="70"/>
      <c r="AU648" s="70"/>
      <c r="AV648" s="70"/>
      <c r="AW648" s="70"/>
      <c r="AX648" s="70"/>
      <c r="AY648" s="70"/>
      <c r="AZ648" s="70"/>
      <c r="BA648" s="70"/>
      <c r="BB648" s="70"/>
    </row>
    <row r="649" ht="14.25" customHeight="1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  <c r="AD649" s="70"/>
      <c r="AE649" s="70"/>
      <c r="AF649" s="70"/>
      <c r="AG649" s="70"/>
      <c r="AH649" s="70"/>
      <c r="AI649" s="70"/>
      <c r="AJ649" s="70"/>
      <c r="AK649" s="70"/>
      <c r="AL649" s="70"/>
      <c r="AM649" s="70"/>
      <c r="AN649" s="70"/>
      <c r="AO649" s="70"/>
      <c r="AP649" s="70"/>
      <c r="AQ649" s="70"/>
      <c r="AR649" s="70"/>
      <c r="AS649" s="70"/>
      <c r="AT649" s="70"/>
      <c r="AU649" s="70"/>
      <c r="AV649" s="70"/>
      <c r="AW649" s="70"/>
      <c r="AX649" s="70"/>
      <c r="AY649" s="70"/>
      <c r="AZ649" s="70"/>
      <c r="BA649" s="70"/>
      <c r="BB649" s="70"/>
    </row>
    <row r="650" ht="14.25" customHeight="1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  <c r="AD650" s="70"/>
      <c r="AE650" s="70"/>
      <c r="AF650" s="70"/>
      <c r="AG650" s="70"/>
      <c r="AH650" s="70"/>
      <c r="AI650" s="70"/>
      <c r="AJ650" s="70"/>
      <c r="AK650" s="70"/>
      <c r="AL650" s="70"/>
      <c r="AM650" s="70"/>
      <c r="AN650" s="70"/>
      <c r="AO650" s="70"/>
      <c r="AP650" s="70"/>
      <c r="AQ650" s="70"/>
      <c r="AR650" s="70"/>
      <c r="AS650" s="70"/>
      <c r="AT650" s="70"/>
      <c r="AU650" s="70"/>
      <c r="AV650" s="70"/>
      <c r="AW650" s="70"/>
      <c r="AX650" s="70"/>
      <c r="AY650" s="70"/>
      <c r="AZ650" s="70"/>
      <c r="BA650" s="70"/>
      <c r="BB650" s="70"/>
    </row>
    <row r="651" ht="14.25" customHeight="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  <c r="AD651" s="70"/>
      <c r="AE651" s="70"/>
      <c r="AF651" s="70"/>
      <c r="AG651" s="70"/>
      <c r="AH651" s="70"/>
      <c r="AI651" s="70"/>
      <c r="AJ651" s="70"/>
      <c r="AK651" s="70"/>
      <c r="AL651" s="70"/>
      <c r="AM651" s="70"/>
      <c r="AN651" s="70"/>
      <c r="AO651" s="70"/>
      <c r="AP651" s="70"/>
      <c r="AQ651" s="70"/>
      <c r="AR651" s="70"/>
      <c r="AS651" s="70"/>
      <c r="AT651" s="70"/>
      <c r="AU651" s="70"/>
      <c r="AV651" s="70"/>
      <c r="AW651" s="70"/>
      <c r="AX651" s="70"/>
      <c r="AY651" s="70"/>
      <c r="AZ651" s="70"/>
      <c r="BA651" s="70"/>
      <c r="BB651" s="70"/>
    </row>
    <row r="652" ht="14.25" customHeight="1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  <c r="AD652" s="70"/>
      <c r="AE652" s="70"/>
      <c r="AF652" s="70"/>
      <c r="AG652" s="70"/>
      <c r="AH652" s="70"/>
      <c r="AI652" s="70"/>
      <c r="AJ652" s="70"/>
      <c r="AK652" s="70"/>
      <c r="AL652" s="70"/>
      <c r="AM652" s="70"/>
      <c r="AN652" s="70"/>
      <c r="AO652" s="70"/>
      <c r="AP652" s="70"/>
      <c r="AQ652" s="70"/>
      <c r="AR652" s="70"/>
      <c r="AS652" s="70"/>
      <c r="AT652" s="70"/>
      <c r="AU652" s="70"/>
      <c r="AV652" s="70"/>
      <c r="AW652" s="70"/>
      <c r="AX652" s="70"/>
      <c r="AY652" s="70"/>
      <c r="AZ652" s="70"/>
      <c r="BA652" s="70"/>
      <c r="BB652" s="70"/>
    </row>
    <row r="653" ht="14.25" customHeight="1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  <c r="AD653" s="70"/>
      <c r="AE653" s="70"/>
      <c r="AF653" s="70"/>
      <c r="AG653" s="70"/>
      <c r="AH653" s="70"/>
      <c r="AI653" s="70"/>
      <c r="AJ653" s="70"/>
      <c r="AK653" s="70"/>
      <c r="AL653" s="70"/>
      <c r="AM653" s="70"/>
      <c r="AN653" s="70"/>
      <c r="AO653" s="70"/>
      <c r="AP653" s="70"/>
      <c r="AQ653" s="70"/>
      <c r="AR653" s="70"/>
      <c r="AS653" s="70"/>
      <c r="AT653" s="70"/>
      <c r="AU653" s="70"/>
      <c r="AV653" s="70"/>
      <c r="AW653" s="70"/>
      <c r="AX653" s="70"/>
      <c r="AY653" s="70"/>
      <c r="AZ653" s="70"/>
      <c r="BA653" s="70"/>
      <c r="BB653" s="70"/>
    </row>
    <row r="654" ht="14.25" customHeight="1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  <c r="AD654" s="70"/>
      <c r="AE654" s="70"/>
      <c r="AF654" s="70"/>
      <c r="AG654" s="70"/>
      <c r="AH654" s="70"/>
      <c r="AI654" s="70"/>
      <c r="AJ654" s="70"/>
      <c r="AK654" s="70"/>
      <c r="AL654" s="70"/>
      <c r="AM654" s="70"/>
      <c r="AN654" s="70"/>
      <c r="AO654" s="70"/>
      <c r="AP654" s="70"/>
      <c r="AQ654" s="70"/>
      <c r="AR654" s="70"/>
      <c r="AS654" s="70"/>
      <c r="AT654" s="70"/>
      <c r="AU654" s="70"/>
      <c r="AV654" s="70"/>
      <c r="AW654" s="70"/>
      <c r="AX654" s="70"/>
      <c r="AY654" s="70"/>
      <c r="AZ654" s="70"/>
      <c r="BA654" s="70"/>
      <c r="BB654" s="70"/>
    </row>
    <row r="655" ht="14.25" customHeight="1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  <c r="AD655" s="70"/>
      <c r="AE655" s="70"/>
      <c r="AF655" s="70"/>
      <c r="AG655" s="70"/>
      <c r="AH655" s="70"/>
      <c r="AI655" s="70"/>
      <c r="AJ655" s="70"/>
      <c r="AK655" s="70"/>
      <c r="AL655" s="70"/>
      <c r="AM655" s="70"/>
      <c r="AN655" s="70"/>
      <c r="AO655" s="70"/>
      <c r="AP655" s="70"/>
      <c r="AQ655" s="70"/>
      <c r="AR655" s="70"/>
      <c r="AS655" s="70"/>
      <c r="AT655" s="70"/>
      <c r="AU655" s="70"/>
      <c r="AV655" s="70"/>
      <c r="AW655" s="70"/>
      <c r="AX655" s="70"/>
      <c r="AY655" s="70"/>
      <c r="AZ655" s="70"/>
      <c r="BA655" s="70"/>
      <c r="BB655" s="70"/>
    </row>
    <row r="656" ht="14.25" customHeight="1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  <c r="AD656" s="70"/>
      <c r="AE656" s="70"/>
      <c r="AF656" s="70"/>
      <c r="AG656" s="70"/>
      <c r="AH656" s="70"/>
      <c r="AI656" s="70"/>
      <c r="AJ656" s="70"/>
      <c r="AK656" s="70"/>
      <c r="AL656" s="70"/>
      <c r="AM656" s="70"/>
      <c r="AN656" s="70"/>
      <c r="AO656" s="70"/>
      <c r="AP656" s="70"/>
      <c r="AQ656" s="70"/>
      <c r="AR656" s="70"/>
      <c r="AS656" s="70"/>
      <c r="AT656" s="70"/>
      <c r="AU656" s="70"/>
      <c r="AV656" s="70"/>
      <c r="AW656" s="70"/>
      <c r="AX656" s="70"/>
      <c r="AY656" s="70"/>
      <c r="AZ656" s="70"/>
      <c r="BA656" s="70"/>
      <c r="BB656" s="70"/>
    </row>
    <row r="657" ht="14.25" customHeight="1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  <c r="AD657" s="70"/>
      <c r="AE657" s="70"/>
      <c r="AF657" s="70"/>
      <c r="AG657" s="70"/>
      <c r="AH657" s="70"/>
      <c r="AI657" s="70"/>
      <c r="AJ657" s="70"/>
      <c r="AK657" s="70"/>
      <c r="AL657" s="70"/>
      <c r="AM657" s="70"/>
      <c r="AN657" s="70"/>
      <c r="AO657" s="70"/>
      <c r="AP657" s="70"/>
      <c r="AQ657" s="70"/>
      <c r="AR657" s="70"/>
      <c r="AS657" s="70"/>
      <c r="AT657" s="70"/>
      <c r="AU657" s="70"/>
      <c r="AV657" s="70"/>
      <c r="AW657" s="70"/>
      <c r="AX657" s="70"/>
      <c r="AY657" s="70"/>
      <c r="AZ657" s="70"/>
      <c r="BA657" s="70"/>
      <c r="BB657" s="70"/>
    </row>
    <row r="658" ht="14.25" customHeight="1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  <c r="AD658" s="70"/>
      <c r="AE658" s="70"/>
      <c r="AF658" s="70"/>
      <c r="AG658" s="70"/>
      <c r="AH658" s="70"/>
      <c r="AI658" s="70"/>
      <c r="AJ658" s="70"/>
      <c r="AK658" s="70"/>
      <c r="AL658" s="70"/>
      <c r="AM658" s="70"/>
      <c r="AN658" s="70"/>
      <c r="AO658" s="70"/>
      <c r="AP658" s="70"/>
      <c r="AQ658" s="70"/>
      <c r="AR658" s="70"/>
      <c r="AS658" s="70"/>
      <c r="AT658" s="70"/>
      <c r="AU658" s="70"/>
      <c r="AV658" s="70"/>
      <c r="AW658" s="70"/>
      <c r="AX658" s="70"/>
      <c r="AY658" s="70"/>
      <c r="AZ658" s="70"/>
      <c r="BA658" s="70"/>
      <c r="BB658" s="70"/>
    </row>
    <row r="659" ht="14.25" customHeight="1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  <c r="AD659" s="70"/>
      <c r="AE659" s="70"/>
      <c r="AF659" s="70"/>
      <c r="AG659" s="70"/>
      <c r="AH659" s="70"/>
      <c r="AI659" s="70"/>
      <c r="AJ659" s="70"/>
      <c r="AK659" s="70"/>
      <c r="AL659" s="70"/>
      <c r="AM659" s="70"/>
      <c r="AN659" s="70"/>
      <c r="AO659" s="70"/>
      <c r="AP659" s="70"/>
      <c r="AQ659" s="70"/>
      <c r="AR659" s="70"/>
      <c r="AS659" s="70"/>
      <c r="AT659" s="70"/>
      <c r="AU659" s="70"/>
      <c r="AV659" s="70"/>
      <c r="AW659" s="70"/>
      <c r="AX659" s="70"/>
      <c r="AY659" s="70"/>
      <c r="AZ659" s="70"/>
      <c r="BA659" s="70"/>
      <c r="BB659" s="70"/>
    </row>
    <row r="660" ht="14.25" customHeight="1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  <c r="AD660" s="70"/>
      <c r="AE660" s="70"/>
      <c r="AF660" s="70"/>
      <c r="AG660" s="70"/>
      <c r="AH660" s="70"/>
      <c r="AI660" s="70"/>
      <c r="AJ660" s="70"/>
      <c r="AK660" s="70"/>
      <c r="AL660" s="70"/>
      <c r="AM660" s="70"/>
      <c r="AN660" s="70"/>
      <c r="AO660" s="70"/>
      <c r="AP660" s="70"/>
      <c r="AQ660" s="70"/>
      <c r="AR660" s="70"/>
      <c r="AS660" s="70"/>
      <c r="AT660" s="70"/>
      <c r="AU660" s="70"/>
      <c r="AV660" s="70"/>
      <c r="AW660" s="70"/>
      <c r="AX660" s="70"/>
      <c r="AY660" s="70"/>
      <c r="AZ660" s="70"/>
      <c r="BA660" s="70"/>
      <c r="BB660" s="70"/>
    </row>
    <row r="661" ht="14.25" customHeight="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  <c r="AD661" s="70"/>
      <c r="AE661" s="70"/>
      <c r="AF661" s="70"/>
      <c r="AG661" s="70"/>
      <c r="AH661" s="70"/>
      <c r="AI661" s="70"/>
      <c r="AJ661" s="70"/>
      <c r="AK661" s="70"/>
      <c r="AL661" s="70"/>
      <c r="AM661" s="70"/>
      <c r="AN661" s="70"/>
      <c r="AO661" s="70"/>
      <c r="AP661" s="70"/>
      <c r="AQ661" s="70"/>
      <c r="AR661" s="70"/>
      <c r="AS661" s="70"/>
      <c r="AT661" s="70"/>
      <c r="AU661" s="70"/>
      <c r="AV661" s="70"/>
      <c r="AW661" s="70"/>
      <c r="AX661" s="70"/>
      <c r="AY661" s="70"/>
      <c r="AZ661" s="70"/>
      <c r="BA661" s="70"/>
      <c r="BB661" s="70"/>
    </row>
    <row r="662" ht="14.25" customHeight="1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  <c r="AD662" s="70"/>
      <c r="AE662" s="70"/>
      <c r="AF662" s="70"/>
      <c r="AG662" s="70"/>
      <c r="AH662" s="70"/>
      <c r="AI662" s="70"/>
      <c r="AJ662" s="70"/>
      <c r="AK662" s="70"/>
      <c r="AL662" s="70"/>
      <c r="AM662" s="70"/>
      <c r="AN662" s="70"/>
      <c r="AO662" s="70"/>
      <c r="AP662" s="70"/>
      <c r="AQ662" s="70"/>
      <c r="AR662" s="70"/>
      <c r="AS662" s="70"/>
      <c r="AT662" s="70"/>
      <c r="AU662" s="70"/>
      <c r="AV662" s="70"/>
      <c r="AW662" s="70"/>
      <c r="AX662" s="70"/>
      <c r="AY662" s="70"/>
      <c r="AZ662" s="70"/>
      <c r="BA662" s="70"/>
      <c r="BB662" s="70"/>
    </row>
    <row r="663" ht="14.25" customHeight="1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  <c r="AD663" s="70"/>
      <c r="AE663" s="70"/>
      <c r="AF663" s="70"/>
      <c r="AG663" s="70"/>
      <c r="AH663" s="70"/>
      <c r="AI663" s="70"/>
      <c r="AJ663" s="70"/>
      <c r="AK663" s="70"/>
      <c r="AL663" s="70"/>
      <c r="AM663" s="70"/>
      <c r="AN663" s="70"/>
      <c r="AO663" s="70"/>
      <c r="AP663" s="70"/>
      <c r="AQ663" s="70"/>
      <c r="AR663" s="70"/>
      <c r="AS663" s="70"/>
      <c r="AT663" s="70"/>
      <c r="AU663" s="70"/>
      <c r="AV663" s="70"/>
      <c r="AW663" s="70"/>
      <c r="AX663" s="70"/>
      <c r="AY663" s="70"/>
      <c r="AZ663" s="70"/>
      <c r="BA663" s="70"/>
      <c r="BB663" s="70"/>
    </row>
    <row r="664" ht="14.25" customHeight="1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  <c r="AD664" s="70"/>
      <c r="AE664" s="70"/>
      <c r="AF664" s="70"/>
      <c r="AG664" s="70"/>
      <c r="AH664" s="70"/>
      <c r="AI664" s="70"/>
      <c r="AJ664" s="70"/>
      <c r="AK664" s="70"/>
      <c r="AL664" s="70"/>
      <c r="AM664" s="70"/>
      <c r="AN664" s="70"/>
      <c r="AO664" s="70"/>
      <c r="AP664" s="70"/>
      <c r="AQ664" s="70"/>
      <c r="AR664" s="70"/>
      <c r="AS664" s="70"/>
      <c r="AT664" s="70"/>
      <c r="AU664" s="70"/>
      <c r="AV664" s="70"/>
      <c r="AW664" s="70"/>
      <c r="AX664" s="70"/>
      <c r="AY664" s="70"/>
      <c r="AZ664" s="70"/>
      <c r="BA664" s="70"/>
      <c r="BB664" s="70"/>
    </row>
    <row r="665" ht="14.25" customHeight="1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  <c r="AD665" s="70"/>
      <c r="AE665" s="70"/>
      <c r="AF665" s="70"/>
      <c r="AG665" s="70"/>
      <c r="AH665" s="70"/>
      <c r="AI665" s="70"/>
      <c r="AJ665" s="70"/>
      <c r="AK665" s="70"/>
      <c r="AL665" s="70"/>
      <c r="AM665" s="70"/>
      <c r="AN665" s="70"/>
      <c r="AO665" s="70"/>
      <c r="AP665" s="70"/>
      <c r="AQ665" s="70"/>
      <c r="AR665" s="70"/>
      <c r="AS665" s="70"/>
      <c r="AT665" s="70"/>
      <c r="AU665" s="70"/>
      <c r="AV665" s="70"/>
      <c r="AW665" s="70"/>
      <c r="AX665" s="70"/>
      <c r="AY665" s="70"/>
      <c r="AZ665" s="70"/>
      <c r="BA665" s="70"/>
      <c r="BB665" s="70"/>
    </row>
    <row r="666" ht="14.25" customHeight="1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  <c r="AD666" s="70"/>
      <c r="AE666" s="70"/>
      <c r="AF666" s="70"/>
      <c r="AG666" s="70"/>
      <c r="AH666" s="70"/>
      <c r="AI666" s="70"/>
      <c r="AJ666" s="70"/>
      <c r="AK666" s="70"/>
      <c r="AL666" s="70"/>
      <c r="AM666" s="70"/>
      <c r="AN666" s="70"/>
      <c r="AO666" s="70"/>
      <c r="AP666" s="70"/>
      <c r="AQ666" s="70"/>
      <c r="AR666" s="70"/>
      <c r="AS666" s="70"/>
      <c r="AT666" s="70"/>
      <c r="AU666" s="70"/>
      <c r="AV666" s="70"/>
      <c r="AW666" s="70"/>
      <c r="AX666" s="70"/>
      <c r="AY666" s="70"/>
      <c r="AZ666" s="70"/>
      <c r="BA666" s="70"/>
      <c r="BB666" s="70"/>
    </row>
    <row r="667" ht="14.25" customHeight="1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  <c r="AD667" s="70"/>
      <c r="AE667" s="70"/>
      <c r="AF667" s="70"/>
      <c r="AG667" s="70"/>
      <c r="AH667" s="70"/>
      <c r="AI667" s="70"/>
      <c r="AJ667" s="70"/>
      <c r="AK667" s="70"/>
      <c r="AL667" s="70"/>
      <c r="AM667" s="70"/>
      <c r="AN667" s="70"/>
      <c r="AO667" s="70"/>
      <c r="AP667" s="70"/>
      <c r="AQ667" s="70"/>
      <c r="AR667" s="70"/>
      <c r="AS667" s="70"/>
      <c r="AT667" s="70"/>
      <c r="AU667" s="70"/>
      <c r="AV667" s="70"/>
      <c r="AW667" s="70"/>
      <c r="AX667" s="70"/>
      <c r="AY667" s="70"/>
      <c r="AZ667" s="70"/>
      <c r="BA667" s="70"/>
      <c r="BB667" s="70"/>
    </row>
    <row r="668" ht="14.25" customHeight="1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  <c r="AD668" s="70"/>
      <c r="AE668" s="70"/>
      <c r="AF668" s="70"/>
      <c r="AG668" s="70"/>
      <c r="AH668" s="70"/>
      <c r="AI668" s="70"/>
      <c r="AJ668" s="70"/>
      <c r="AK668" s="70"/>
      <c r="AL668" s="70"/>
      <c r="AM668" s="70"/>
      <c r="AN668" s="70"/>
      <c r="AO668" s="70"/>
      <c r="AP668" s="70"/>
      <c r="AQ668" s="70"/>
      <c r="AR668" s="70"/>
      <c r="AS668" s="70"/>
      <c r="AT668" s="70"/>
      <c r="AU668" s="70"/>
      <c r="AV668" s="70"/>
      <c r="AW668" s="70"/>
      <c r="AX668" s="70"/>
      <c r="AY668" s="70"/>
      <c r="AZ668" s="70"/>
      <c r="BA668" s="70"/>
      <c r="BB668" s="70"/>
    </row>
    <row r="669" ht="14.25" customHeight="1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  <c r="AD669" s="70"/>
      <c r="AE669" s="70"/>
      <c r="AF669" s="70"/>
      <c r="AG669" s="70"/>
      <c r="AH669" s="70"/>
      <c r="AI669" s="70"/>
      <c r="AJ669" s="70"/>
      <c r="AK669" s="70"/>
      <c r="AL669" s="70"/>
      <c r="AM669" s="70"/>
      <c r="AN669" s="70"/>
      <c r="AO669" s="70"/>
      <c r="AP669" s="70"/>
      <c r="AQ669" s="70"/>
      <c r="AR669" s="70"/>
      <c r="AS669" s="70"/>
      <c r="AT669" s="70"/>
      <c r="AU669" s="70"/>
      <c r="AV669" s="70"/>
      <c r="AW669" s="70"/>
      <c r="AX669" s="70"/>
      <c r="AY669" s="70"/>
      <c r="AZ669" s="70"/>
      <c r="BA669" s="70"/>
      <c r="BB669" s="70"/>
    </row>
    <row r="670" ht="14.25" customHeight="1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  <c r="AD670" s="70"/>
      <c r="AE670" s="70"/>
      <c r="AF670" s="70"/>
      <c r="AG670" s="70"/>
      <c r="AH670" s="70"/>
      <c r="AI670" s="70"/>
      <c r="AJ670" s="70"/>
      <c r="AK670" s="70"/>
      <c r="AL670" s="70"/>
      <c r="AM670" s="70"/>
      <c r="AN670" s="70"/>
      <c r="AO670" s="70"/>
      <c r="AP670" s="70"/>
      <c r="AQ670" s="70"/>
      <c r="AR670" s="70"/>
      <c r="AS670" s="70"/>
      <c r="AT670" s="70"/>
      <c r="AU670" s="70"/>
      <c r="AV670" s="70"/>
      <c r="AW670" s="70"/>
      <c r="AX670" s="70"/>
      <c r="AY670" s="70"/>
      <c r="AZ670" s="70"/>
      <c r="BA670" s="70"/>
      <c r="BB670" s="70"/>
    </row>
    <row r="671" ht="14.25" customHeight="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  <c r="AD671" s="70"/>
      <c r="AE671" s="70"/>
      <c r="AF671" s="70"/>
      <c r="AG671" s="70"/>
      <c r="AH671" s="70"/>
      <c r="AI671" s="70"/>
      <c r="AJ671" s="70"/>
      <c r="AK671" s="70"/>
      <c r="AL671" s="70"/>
      <c r="AM671" s="70"/>
      <c r="AN671" s="70"/>
      <c r="AO671" s="70"/>
      <c r="AP671" s="70"/>
      <c r="AQ671" s="70"/>
      <c r="AR671" s="70"/>
      <c r="AS671" s="70"/>
      <c r="AT671" s="70"/>
      <c r="AU671" s="70"/>
      <c r="AV671" s="70"/>
      <c r="AW671" s="70"/>
      <c r="AX671" s="70"/>
      <c r="AY671" s="70"/>
      <c r="AZ671" s="70"/>
      <c r="BA671" s="70"/>
      <c r="BB671" s="70"/>
    </row>
    <row r="672" ht="14.25" customHeight="1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  <c r="AJ672" s="70"/>
      <c r="AK672" s="70"/>
      <c r="AL672" s="70"/>
      <c r="AM672" s="70"/>
      <c r="AN672" s="70"/>
      <c r="AO672" s="70"/>
      <c r="AP672" s="70"/>
      <c r="AQ672" s="70"/>
      <c r="AR672" s="70"/>
      <c r="AS672" s="70"/>
      <c r="AT672" s="70"/>
      <c r="AU672" s="70"/>
      <c r="AV672" s="70"/>
      <c r="AW672" s="70"/>
      <c r="AX672" s="70"/>
      <c r="AY672" s="70"/>
      <c r="AZ672" s="70"/>
      <c r="BA672" s="70"/>
      <c r="BB672" s="70"/>
    </row>
    <row r="673" ht="14.25" customHeight="1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  <c r="AD673" s="70"/>
      <c r="AE673" s="70"/>
      <c r="AF673" s="70"/>
      <c r="AG673" s="70"/>
      <c r="AH673" s="70"/>
      <c r="AI673" s="70"/>
      <c r="AJ673" s="70"/>
      <c r="AK673" s="70"/>
      <c r="AL673" s="70"/>
      <c r="AM673" s="70"/>
      <c r="AN673" s="70"/>
      <c r="AO673" s="70"/>
      <c r="AP673" s="70"/>
      <c r="AQ673" s="70"/>
      <c r="AR673" s="70"/>
      <c r="AS673" s="70"/>
      <c r="AT673" s="70"/>
      <c r="AU673" s="70"/>
      <c r="AV673" s="70"/>
      <c r="AW673" s="70"/>
      <c r="AX673" s="70"/>
      <c r="AY673" s="70"/>
      <c r="AZ673" s="70"/>
      <c r="BA673" s="70"/>
      <c r="BB673" s="70"/>
    </row>
    <row r="674" ht="14.25" customHeight="1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  <c r="AD674" s="70"/>
      <c r="AE674" s="70"/>
      <c r="AF674" s="70"/>
      <c r="AG674" s="70"/>
      <c r="AH674" s="70"/>
      <c r="AI674" s="70"/>
      <c r="AJ674" s="70"/>
      <c r="AK674" s="70"/>
      <c r="AL674" s="70"/>
      <c r="AM674" s="70"/>
      <c r="AN674" s="70"/>
      <c r="AO674" s="70"/>
      <c r="AP674" s="70"/>
      <c r="AQ674" s="70"/>
      <c r="AR674" s="70"/>
      <c r="AS674" s="70"/>
      <c r="AT674" s="70"/>
      <c r="AU674" s="70"/>
      <c r="AV674" s="70"/>
      <c r="AW674" s="70"/>
      <c r="AX674" s="70"/>
      <c r="AY674" s="70"/>
      <c r="AZ674" s="70"/>
      <c r="BA674" s="70"/>
      <c r="BB674" s="70"/>
    </row>
    <row r="675" ht="14.25" customHeight="1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  <c r="AD675" s="70"/>
      <c r="AE675" s="70"/>
      <c r="AF675" s="70"/>
      <c r="AG675" s="70"/>
      <c r="AH675" s="70"/>
      <c r="AI675" s="70"/>
      <c r="AJ675" s="70"/>
      <c r="AK675" s="70"/>
      <c r="AL675" s="70"/>
      <c r="AM675" s="70"/>
      <c r="AN675" s="70"/>
      <c r="AO675" s="70"/>
      <c r="AP675" s="70"/>
      <c r="AQ675" s="70"/>
      <c r="AR675" s="70"/>
      <c r="AS675" s="70"/>
      <c r="AT675" s="70"/>
      <c r="AU675" s="70"/>
      <c r="AV675" s="70"/>
      <c r="AW675" s="70"/>
      <c r="AX675" s="70"/>
      <c r="AY675" s="70"/>
      <c r="AZ675" s="70"/>
      <c r="BA675" s="70"/>
      <c r="BB675" s="70"/>
    </row>
    <row r="676" ht="14.25" customHeight="1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  <c r="AD676" s="70"/>
      <c r="AE676" s="70"/>
      <c r="AF676" s="70"/>
      <c r="AG676" s="70"/>
      <c r="AH676" s="70"/>
      <c r="AI676" s="70"/>
      <c r="AJ676" s="70"/>
      <c r="AK676" s="70"/>
      <c r="AL676" s="70"/>
      <c r="AM676" s="70"/>
      <c r="AN676" s="70"/>
      <c r="AO676" s="70"/>
      <c r="AP676" s="70"/>
      <c r="AQ676" s="70"/>
      <c r="AR676" s="70"/>
      <c r="AS676" s="70"/>
      <c r="AT676" s="70"/>
      <c r="AU676" s="70"/>
      <c r="AV676" s="70"/>
      <c r="AW676" s="70"/>
      <c r="AX676" s="70"/>
      <c r="AY676" s="70"/>
      <c r="AZ676" s="70"/>
      <c r="BA676" s="70"/>
      <c r="BB676" s="70"/>
    </row>
    <row r="677" ht="14.25" customHeight="1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  <c r="AD677" s="70"/>
      <c r="AE677" s="70"/>
      <c r="AF677" s="70"/>
      <c r="AG677" s="70"/>
      <c r="AH677" s="70"/>
      <c r="AI677" s="70"/>
      <c r="AJ677" s="70"/>
      <c r="AK677" s="70"/>
      <c r="AL677" s="70"/>
      <c r="AM677" s="70"/>
      <c r="AN677" s="70"/>
      <c r="AO677" s="70"/>
      <c r="AP677" s="70"/>
      <c r="AQ677" s="70"/>
      <c r="AR677" s="70"/>
      <c r="AS677" s="70"/>
      <c r="AT677" s="70"/>
      <c r="AU677" s="70"/>
      <c r="AV677" s="70"/>
      <c r="AW677" s="70"/>
      <c r="AX677" s="70"/>
      <c r="AY677" s="70"/>
      <c r="AZ677" s="70"/>
      <c r="BA677" s="70"/>
      <c r="BB677" s="70"/>
    </row>
    <row r="678" ht="14.25" customHeight="1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  <c r="AD678" s="70"/>
      <c r="AE678" s="70"/>
      <c r="AF678" s="70"/>
      <c r="AG678" s="70"/>
      <c r="AH678" s="70"/>
      <c r="AI678" s="70"/>
      <c r="AJ678" s="70"/>
      <c r="AK678" s="70"/>
      <c r="AL678" s="70"/>
      <c r="AM678" s="70"/>
      <c r="AN678" s="70"/>
      <c r="AO678" s="70"/>
      <c r="AP678" s="70"/>
      <c r="AQ678" s="70"/>
      <c r="AR678" s="70"/>
      <c r="AS678" s="70"/>
      <c r="AT678" s="70"/>
      <c r="AU678" s="70"/>
      <c r="AV678" s="70"/>
      <c r="AW678" s="70"/>
      <c r="AX678" s="70"/>
      <c r="AY678" s="70"/>
      <c r="AZ678" s="70"/>
      <c r="BA678" s="70"/>
      <c r="BB678" s="70"/>
    </row>
    <row r="679" ht="14.25" customHeight="1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  <c r="AD679" s="70"/>
      <c r="AE679" s="70"/>
      <c r="AF679" s="70"/>
      <c r="AG679" s="70"/>
      <c r="AH679" s="70"/>
      <c r="AI679" s="70"/>
      <c r="AJ679" s="70"/>
      <c r="AK679" s="70"/>
      <c r="AL679" s="70"/>
      <c r="AM679" s="70"/>
      <c r="AN679" s="70"/>
      <c r="AO679" s="70"/>
      <c r="AP679" s="70"/>
      <c r="AQ679" s="70"/>
      <c r="AR679" s="70"/>
      <c r="AS679" s="70"/>
      <c r="AT679" s="70"/>
      <c r="AU679" s="70"/>
      <c r="AV679" s="70"/>
      <c r="AW679" s="70"/>
      <c r="AX679" s="70"/>
      <c r="AY679" s="70"/>
      <c r="AZ679" s="70"/>
      <c r="BA679" s="70"/>
      <c r="BB679" s="70"/>
    </row>
    <row r="680" ht="14.25" customHeight="1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  <c r="AD680" s="70"/>
      <c r="AE680" s="70"/>
      <c r="AF680" s="70"/>
      <c r="AG680" s="70"/>
      <c r="AH680" s="70"/>
      <c r="AI680" s="70"/>
      <c r="AJ680" s="70"/>
      <c r="AK680" s="70"/>
      <c r="AL680" s="70"/>
      <c r="AM680" s="70"/>
      <c r="AN680" s="70"/>
      <c r="AO680" s="70"/>
      <c r="AP680" s="70"/>
      <c r="AQ680" s="70"/>
      <c r="AR680" s="70"/>
      <c r="AS680" s="70"/>
      <c r="AT680" s="70"/>
      <c r="AU680" s="70"/>
      <c r="AV680" s="70"/>
      <c r="AW680" s="70"/>
      <c r="AX680" s="70"/>
      <c r="AY680" s="70"/>
      <c r="AZ680" s="70"/>
      <c r="BA680" s="70"/>
      <c r="BB680" s="70"/>
    </row>
    <row r="681" ht="14.25" customHeight="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  <c r="AD681" s="70"/>
      <c r="AE681" s="70"/>
      <c r="AF681" s="70"/>
      <c r="AG681" s="70"/>
      <c r="AH681" s="70"/>
      <c r="AI681" s="70"/>
      <c r="AJ681" s="70"/>
      <c r="AK681" s="70"/>
      <c r="AL681" s="70"/>
      <c r="AM681" s="70"/>
      <c r="AN681" s="70"/>
      <c r="AO681" s="70"/>
      <c r="AP681" s="70"/>
      <c r="AQ681" s="70"/>
      <c r="AR681" s="70"/>
      <c r="AS681" s="70"/>
      <c r="AT681" s="70"/>
      <c r="AU681" s="70"/>
      <c r="AV681" s="70"/>
      <c r="AW681" s="70"/>
      <c r="AX681" s="70"/>
      <c r="AY681" s="70"/>
      <c r="AZ681" s="70"/>
      <c r="BA681" s="70"/>
      <c r="BB681" s="70"/>
    </row>
    <row r="682" ht="14.25" customHeight="1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  <c r="AD682" s="70"/>
      <c r="AE682" s="70"/>
      <c r="AF682" s="70"/>
      <c r="AG682" s="70"/>
      <c r="AH682" s="70"/>
      <c r="AI682" s="70"/>
      <c r="AJ682" s="70"/>
      <c r="AK682" s="70"/>
      <c r="AL682" s="70"/>
      <c r="AM682" s="70"/>
      <c r="AN682" s="70"/>
      <c r="AO682" s="70"/>
      <c r="AP682" s="70"/>
      <c r="AQ682" s="70"/>
      <c r="AR682" s="70"/>
      <c r="AS682" s="70"/>
      <c r="AT682" s="70"/>
      <c r="AU682" s="70"/>
      <c r="AV682" s="70"/>
      <c r="AW682" s="70"/>
      <c r="AX682" s="70"/>
      <c r="AY682" s="70"/>
      <c r="AZ682" s="70"/>
      <c r="BA682" s="70"/>
      <c r="BB682" s="70"/>
    </row>
    <row r="683" ht="14.25" customHeight="1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70"/>
      <c r="AH683" s="70"/>
      <c r="AI683" s="70"/>
      <c r="AJ683" s="70"/>
      <c r="AK683" s="70"/>
      <c r="AL683" s="70"/>
      <c r="AM683" s="70"/>
      <c r="AN683" s="70"/>
      <c r="AO683" s="70"/>
      <c r="AP683" s="70"/>
      <c r="AQ683" s="70"/>
      <c r="AR683" s="70"/>
      <c r="AS683" s="70"/>
      <c r="AT683" s="70"/>
      <c r="AU683" s="70"/>
      <c r="AV683" s="70"/>
      <c r="AW683" s="70"/>
      <c r="AX683" s="70"/>
      <c r="AY683" s="70"/>
      <c r="AZ683" s="70"/>
      <c r="BA683" s="70"/>
      <c r="BB683" s="70"/>
    </row>
    <row r="684" ht="14.25" customHeight="1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  <c r="AG684" s="70"/>
      <c r="AH684" s="70"/>
      <c r="AI684" s="70"/>
      <c r="AJ684" s="70"/>
      <c r="AK684" s="70"/>
      <c r="AL684" s="70"/>
      <c r="AM684" s="70"/>
      <c r="AN684" s="70"/>
      <c r="AO684" s="70"/>
      <c r="AP684" s="70"/>
      <c r="AQ684" s="70"/>
      <c r="AR684" s="70"/>
      <c r="AS684" s="70"/>
      <c r="AT684" s="70"/>
      <c r="AU684" s="70"/>
      <c r="AV684" s="70"/>
      <c r="AW684" s="70"/>
      <c r="AX684" s="70"/>
      <c r="AY684" s="70"/>
      <c r="AZ684" s="70"/>
      <c r="BA684" s="70"/>
      <c r="BB684" s="70"/>
    </row>
    <row r="685" ht="14.25" customHeight="1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  <c r="AH685" s="70"/>
      <c r="AI685" s="70"/>
      <c r="AJ685" s="70"/>
      <c r="AK685" s="70"/>
      <c r="AL685" s="70"/>
      <c r="AM685" s="70"/>
      <c r="AN685" s="70"/>
      <c r="AO685" s="70"/>
      <c r="AP685" s="70"/>
      <c r="AQ685" s="70"/>
      <c r="AR685" s="70"/>
      <c r="AS685" s="70"/>
      <c r="AT685" s="70"/>
      <c r="AU685" s="70"/>
      <c r="AV685" s="70"/>
      <c r="AW685" s="70"/>
      <c r="AX685" s="70"/>
      <c r="AY685" s="70"/>
      <c r="AZ685" s="70"/>
      <c r="BA685" s="70"/>
      <c r="BB685" s="70"/>
    </row>
    <row r="686" ht="14.25" customHeight="1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  <c r="AD686" s="70"/>
      <c r="AE686" s="70"/>
      <c r="AF686" s="70"/>
      <c r="AG686" s="70"/>
      <c r="AH686" s="70"/>
      <c r="AI686" s="70"/>
      <c r="AJ686" s="70"/>
      <c r="AK686" s="70"/>
      <c r="AL686" s="70"/>
      <c r="AM686" s="70"/>
      <c r="AN686" s="70"/>
      <c r="AO686" s="70"/>
      <c r="AP686" s="70"/>
      <c r="AQ686" s="70"/>
      <c r="AR686" s="70"/>
      <c r="AS686" s="70"/>
      <c r="AT686" s="70"/>
      <c r="AU686" s="70"/>
      <c r="AV686" s="70"/>
      <c r="AW686" s="70"/>
      <c r="AX686" s="70"/>
      <c r="AY686" s="70"/>
      <c r="AZ686" s="70"/>
      <c r="BA686" s="70"/>
      <c r="BB686" s="70"/>
    </row>
    <row r="687" ht="14.25" customHeight="1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  <c r="AD687" s="70"/>
      <c r="AE687" s="70"/>
      <c r="AF687" s="70"/>
      <c r="AG687" s="70"/>
      <c r="AH687" s="70"/>
      <c r="AI687" s="70"/>
      <c r="AJ687" s="70"/>
      <c r="AK687" s="70"/>
      <c r="AL687" s="70"/>
      <c r="AM687" s="70"/>
      <c r="AN687" s="70"/>
      <c r="AO687" s="70"/>
      <c r="AP687" s="70"/>
      <c r="AQ687" s="70"/>
      <c r="AR687" s="70"/>
      <c r="AS687" s="70"/>
      <c r="AT687" s="70"/>
      <c r="AU687" s="70"/>
      <c r="AV687" s="70"/>
      <c r="AW687" s="70"/>
      <c r="AX687" s="70"/>
      <c r="AY687" s="70"/>
      <c r="AZ687" s="70"/>
      <c r="BA687" s="70"/>
      <c r="BB687" s="70"/>
    </row>
    <row r="688" ht="14.25" customHeight="1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  <c r="AD688" s="70"/>
      <c r="AE688" s="70"/>
      <c r="AF688" s="70"/>
      <c r="AG688" s="70"/>
      <c r="AH688" s="70"/>
      <c r="AI688" s="70"/>
      <c r="AJ688" s="70"/>
      <c r="AK688" s="70"/>
      <c r="AL688" s="70"/>
      <c r="AM688" s="70"/>
      <c r="AN688" s="70"/>
      <c r="AO688" s="70"/>
      <c r="AP688" s="70"/>
      <c r="AQ688" s="70"/>
      <c r="AR688" s="70"/>
      <c r="AS688" s="70"/>
      <c r="AT688" s="70"/>
      <c r="AU688" s="70"/>
      <c r="AV688" s="70"/>
      <c r="AW688" s="70"/>
      <c r="AX688" s="70"/>
      <c r="AY688" s="70"/>
      <c r="AZ688" s="70"/>
      <c r="BA688" s="70"/>
      <c r="BB688" s="70"/>
    </row>
    <row r="689" ht="14.25" customHeight="1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  <c r="AD689" s="70"/>
      <c r="AE689" s="70"/>
      <c r="AF689" s="70"/>
      <c r="AG689" s="70"/>
      <c r="AH689" s="70"/>
      <c r="AI689" s="70"/>
      <c r="AJ689" s="70"/>
      <c r="AK689" s="70"/>
      <c r="AL689" s="70"/>
      <c r="AM689" s="70"/>
      <c r="AN689" s="70"/>
      <c r="AO689" s="70"/>
      <c r="AP689" s="70"/>
      <c r="AQ689" s="70"/>
      <c r="AR689" s="70"/>
      <c r="AS689" s="70"/>
      <c r="AT689" s="70"/>
      <c r="AU689" s="70"/>
      <c r="AV689" s="70"/>
      <c r="AW689" s="70"/>
      <c r="AX689" s="70"/>
      <c r="AY689" s="70"/>
      <c r="AZ689" s="70"/>
      <c r="BA689" s="70"/>
      <c r="BB689" s="70"/>
    </row>
    <row r="690" ht="14.25" customHeight="1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  <c r="AD690" s="70"/>
      <c r="AE690" s="70"/>
      <c r="AF690" s="70"/>
      <c r="AG690" s="70"/>
      <c r="AH690" s="70"/>
      <c r="AI690" s="70"/>
      <c r="AJ690" s="70"/>
      <c r="AK690" s="70"/>
      <c r="AL690" s="70"/>
      <c r="AM690" s="70"/>
      <c r="AN690" s="70"/>
      <c r="AO690" s="70"/>
      <c r="AP690" s="70"/>
      <c r="AQ690" s="70"/>
      <c r="AR690" s="70"/>
      <c r="AS690" s="70"/>
      <c r="AT690" s="70"/>
      <c r="AU690" s="70"/>
      <c r="AV690" s="70"/>
      <c r="AW690" s="70"/>
      <c r="AX690" s="70"/>
      <c r="AY690" s="70"/>
      <c r="AZ690" s="70"/>
      <c r="BA690" s="70"/>
      <c r="BB690" s="70"/>
    </row>
    <row r="691" ht="14.25" customHeight="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  <c r="AD691" s="70"/>
      <c r="AE691" s="70"/>
      <c r="AF691" s="70"/>
      <c r="AG691" s="70"/>
      <c r="AH691" s="70"/>
      <c r="AI691" s="70"/>
      <c r="AJ691" s="70"/>
      <c r="AK691" s="70"/>
      <c r="AL691" s="70"/>
      <c r="AM691" s="70"/>
      <c r="AN691" s="70"/>
      <c r="AO691" s="70"/>
      <c r="AP691" s="70"/>
      <c r="AQ691" s="70"/>
      <c r="AR691" s="70"/>
      <c r="AS691" s="70"/>
      <c r="AT691" s="70"/>
      <c r="AU691" s="70"/>
      <c r="AV691" s="70"/>
      <c r="AW691" s="70"/>
      <c r="AX691" s="70"/>
      <c r="AY691" s="70"/>
      <c r="AZ691" s="70"/>
      <c r="BA691" s="70"/>
      <c r="BB691" s="70"/>
    </row>
    <row r="692" ht="14.25" customHeight="1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  <c r="AD692" s="70"/>
      <c r="AE692" s="70"/>
      <c r="AF692" s="70"/>
      <c r="AG692" s="70"/>
      <c r="AH692" s="70"/>
      <c r="AI692" s="70"/>
      <c r="AJ692" s="70"/>
      <c r="AK692" s="70"/>
      <c r="AL692" s="70"/>
      <c r="AM692" s="70"/>
      <c r="AN692" s="70"/>
      <c r="AO692" s="70"/>
      <c r="AP692" s="70"/>
      <c r="AQ692" s="70"/>
      <c r="AR692" s="70"/>
      <c r="AS692" s="70"/>
      <c r="AT692" s="70"/>
      <c r="AU692" s="70"/>
      <c r="AV692" s="70"/>
      <c r="AW692" s="70"/>
      <c r="AX692" s="70"/>
      <c r="AY692" s="70"/>
      <c r="AZ692" s="70"/>
      <c r="BA692" s="70"/>
      <c r="BB692" s="70"/>
    </row>
    <row r="693" ht="14.25" customHeight="1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  <c r="AD693" s="70"/>
      <c r="AE693" s="70"/>
      <c r="AF693" s="70"/>
      <c r="AG693" s="70"/>
      <c r="AH693" s="70"/>
      <c r="AI693" s="70"/>
      <c r="AJ693" s="70"/>
      <c r="AK693" s="70"/>
      <c r="AL693" s="70"/>
      <c r="AM693" s="70"/>
      <c r="AN693" s="70"/>
      <c r="AO693" s="70"/>
      <c r="AP693" s="70"/>
      <c r="AQ693" s="70"/>
      <c r="AR693" s="70"/>
      <c r="AS693" s="70"/>
      <c r="AT693" s="70"/>
      <c r="AU693" s="70"/>
      <c r="AV693" s="70"/>
      <c r="AW693" s="70"/>
      <c r="AX693" s="70"/>
      <c r="AY693" s="70"/>
      <c r="AZ693" s="70"/>
      <c r="BA693" s="70"/>
      <c r="BB693" s="70"/>
    </row>
    <row r="694" ht="14.25" customHeight="1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  <c r="AD694" s="70"/>
      <c r="AE694" s="70"/>
      <c r="AF694" s="70"/>
      <c r="AG694" s="70"/>
      <c r="AH694" s="70"/>
      <c r="AI694" s="70"/>
      <c r="AJ694" s="70"/>
      <c r="AK694" s="70"/>
      <c r="AL694" s="70"/>
      <c r="AM694" s="70"/>
      <c r="AN694" s="70"/>
      <c r="AO694" s="70"/>
      <c r="AP694" s="70"/>
      <c r="AQ694" s="70"/>
      <c r="AR694" s="70"/>
      <c r="AS694" s="70"/>
      <c r="AT694" s="70"/>
      <c r="AU694" s="70"/>
      <c r="AV694" s="70"/>
      <c r="AW694" s="70"/>
      <c r="AX694" s="70"/>
      <c r="AY694" s="70"/>
      <c r="AZ694" s="70"/>
      <c r="BA694" s="70"/>
      <c r="BB694" s="70"/>
    </row>
    <row r="695" ht="14.25" customHeight="1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  <c r="AD695" s="70"/>
      <c r="AE695" s="70"/>
      <c r="AF695" s="70"/>
      <c r="AG695" s="70"/>
      <c r="AH695" s="70"/>
      <c r="AI695" s="70"/>
      <c r="AJ695" s="70"/>
      <c r="AK695" s="70"/>
      <c r="AL695" s="70"/>
      <c r="AM695" s="70"/>
      <c r="AN695" s="70"/>
      <c r="AO695" s="70"/>
      <c r="AP695" s="70"/>
      <c r="AQ695" s="70"/>
      <c r="AR695" s="70"/>
      <c r="AS695" s="70"/>
      <c r="AT695" s="70"/>
      <c r="AU695" s="70"/>
      <c r="AV695" s="70"/>
      <c r="AW695" s="70"/>
      <c r="AX695" s="70"/>
      <c r="AY695" s="70"/>
      <c r="AZ695" s="70"/>
      <c r="BA695" s="70"/>
      <c r="BB695" s="70"/>
    </row>
    <row r="696" ht="14.25" customHeight="1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  <c r="AD696" s="70"/>
      <c r="AE696" s="70"/>
      <c r="AF696" s="70"/>
      <c r="AG696" s="70"/>
      <c r="AH696" s="70"/>
      <c r="AI696" s="70"/>
      <c r="AJ696" s="70"/>
      <c r="AK696" s="70"/>
      <c r="AL696" s="70"/>
      <c r="AM696" s="70"/>
      <c r="AN696" s="70"/>
      <c r="AO696" s="70"/>
      <c r="AP696" s="70"/>
      <c r="AQ696" s="70"/>
      <c r="AR696" s="70"/>
      <c r="AS696" s="70"/>
      <c r="AT696" s="70"/>
      <c r="AU696" s="70"/>
      <c r="AV696" s="70"/>
      <c r="AW696" s="70"/>
      <c r="AX696" s="70"/>
      <c r="AY696" s="70"/>
      <c r="AZ696" s="70"/>
      <c r="BA696" s="70"/>
      <c r="BB696" s="70"/>
    </row>
    <row r="697" ht="14.25" customHeight="1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  <c r="AD697" s="70"/>
      <c r="AE697" s="70"/>
      <c r="AF697" s="70"/>
      <c r="AG697" s="70"/>
      <c r="AH697" s="70"/>
      <c r="AI697" s="70"/>
      <c r="AJ697" s="70"/>
      <c r="AK697" s="70"/>
      <c r="AL697" s="70"/>
      <c r="AM697" s="70"/>
      <c r="AN697" s="70"/>
      <c r="AO697" s="70"/>
      <c r="AP697" s="70"/>
      <c r="AQ697" s="70"/>
      <c r="AR697" s="70"/>
      <c r="AS697" s="70"/>
      <c r="AT697" s="70"/>
      <c r="AU697" s="70"/>
      <c r="AV697" s="70"/>
      <c r="AW697" s="70"/>
      <c r="AX697" s="70"/>
      <c r="AY697" s="70"/>
      <c r="AZ697" s="70"/>
      <c r="BA697" s="70"/>
      <c r="BB697" s="70"/>
    </row>
    <row r="698" ht="14.25" customHeight="1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  <c r="AD698" s="70"/>
      <c r="AE698" s="70"/>
      <c r="AF698" s="70"/>
      <c r="AG698" s="70"/>
      <c r="AH698" s="70"/>
      <c r="AI698" s="70"/>
      <c r="AJ698" s="70"/>
      <c r="AK698" s="70"/>
      <c r="AL698" s="70"/>
      <c r="AM698" s="70"/>
      <c r="AN698" s="70"/>
      <c r="AO698" s="70"/>
      <c r="AP698" s="70"/>
      <c r="AQ698" s="70"/>
      <c r="AR698" s="70"/>
      <c r="AS698" s="70"/>
      <c r="AT698" s="70"/>
      <c r="AU698" s="70"/>
      <c r="AV698" s="70"/>
      <c r="AW698" s="70"/>
      <c r="AX698" s="70"/>
      <c r="AY698" s="70"/>
      <c r="AZ698" s="70"/>
      <c r="BA698" s="70"/>
      <c r="BB698" s="70"/>
    </row>
    <row r="699" ht="14.25" customHeight="1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  <c r="AD699" s="70"/>
      <c r="AE699" s="70"/>
      <c r="AF699" s="70"/>
      <c r="AG699" s="70"/>
      <c r="AH699" s="70"/>
      <c r="AI699" s="70"/>
      <c r="AJ699" s="70"/>
      <c r="AK699" s="70"/>
      <c r="AL699" s="70"/>
      <c r="AM699" s="70"/>
      <c r="AN699" s="70"/>
      <c r="AO699" s="70"/>
      <c r="AP699" s="70"/>
      <c r="AQ699" s="70"/>
      <c r="AR699" s="70"/>
      <c r="AS699" s="70"/>
      <c r="AT699" s="70"/>
      <c r="AU699" s="70"/>
      <c r="AV699" s="70"/>
      <c r="AW699" s="70"/>
      <c r="AX699" s="70"/>
      <c r="AY699" s="70"/>
      <c r="AZ699" s="70"/>
      <c r="BA699" s="70"/>
      <c r="BB699" s="70"/>
    </row>
    <row r="700" ht="14.25" customHeight="1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  <c r="AD700" s="70"/>
      <c r="AE700" s="70"/>
      <c r="AF700" s="70"/>
      <c r="AG700" s="70"/>
      <c r="AH700" s="70"/>
      <c r="AI700" s="70"/>
      <c r="AJ700" s="70"/>
      <c r="AK700" s="70"/>
      <c r="AL700" s="70"/>
      <c r="AM700" s="70"/>
      <c r="AN700" s="70"/>
      <c r="AO700" s="70"/>
      <c r="AP700" s="70"/>
      <c r="AQ700" s="70"/>
      <c r="AR700" s="70"/>
      <c r="AS700" s="70"/>
      <c r="AT700" s="70"/>
      <c r="AU700" s="70"/>
      <c r="AV700" s="70"/>
      <c r="AW700" s="70"/>
      <c r="AX700" s="70"/>
      <c r="AY700" s="70"/>
      <c r="AZ700" s="70"/>
      <c r="BA700" s="70"/>
      <c r="BB700" s="70"/>
    </row>
    <row r="701" ht="14.25" customHeight="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  <c r="AD701" s="70"/>
      <c r="AE701" s="70"/>
      <c r="AF701" s="70"/>
      <c r="AG701" s="70"/>
      <c r="AH701" s="70"/>
      <c r="AI701" s="70"/>
      <c r="AJ701" s="70"/>
      <c r="AK701" s="70"/>
      <c r="AL701" s="70"/>
      <c r="AM701" s="70"/>
      <c r="AN701" s="70"/>
      <c r="AO701" s="70"/>
      <c r="AP701" s="70"/>
      <c r="AQ701" s="70"/>
      <c r="AR701" s="70"/>
      <c r="AS701" s="70"/>
      <c r="AT701" s="70"/>
      <c r="AU701" s="70"/>
      <c r="AV701" s="70"/>
      <c r="AW701" s="70"/>
      <c r="AX701" s="70"/>
      <c r="AY701" s="70"/>
      <c r="AZ701" s="70"/>
      <c r="BA701" s="70"/>
      <c r="BB701" s="70"/>
    </row>
    <row r="702" ht="14.25" customHeight="1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  <c r="AD702" s="70"/>
      <c r="AE702" s="70"/>
      <c r="AF702" s="70"/>
      <c r="AG702" s="70"/>
      <c r="AH702" s="70"/>
      <c r="AI702" s="70"/>
      <c r="AJ702" s="70"/>
      <c r="AK702" s="70"/>
      <c r="AL702" s="70"/>
      <c r="AM702" s="70"/>
      <c r="AN702" s="70"/>
      <c r="AO702" s="70"/>
      <c r="AP702" s="70"/>
      <c r="AQ702" s="70"/>
      <c r="AR702" s="70"/>
      <c r="AS702" s="70"/>
      <c r="AT702" s="70"/>
      <c r="AU702" s="70"/>
      <c r="AV702" s="70"/>
      <c r="AW702" s="70"/>
      <c r="AX702" s="70"/>
      <c r="AY702" s="70"/>
      <c r="AZ702" s="70"/>
      <c r="BA702" s="70"/>
      <c r="BB702" s="70"/>
    </row>
    <row r="703" ht="14.25" customHeight="1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  <c r="AD703" s="70"/>
      <c r="AE703" s="70"/>
      <c r="AF703" s="70"/>
      <c r="AG703" s="70"/>
      <c r="AH703" s="70"/>
      <c r="AI703" s="70"/>
      <c r="AJ703" s="70"/>
      <c r="AK703" s="70"/>
      <c r="AL703" s="70"/>
      <c r="AM703" s="70"/>
      <c r="AN703" s="70"/>
      <c r="AO703" s="70"/>
      <c r="AP703" s="70"/>
      <c r="AQ703" s="70"/>
      <c r="AR703" s="70"/>
      <c r="AS703" s="70"/>
      <c r="AT703" s="70"/>
      <c r="AU703" s="70"/>
      <c r="AV703" s="70"/>
      <c r="AW703" s="70"/>
      <c r="AX703" s="70"/>
      <c r="AY703" s="70"/>
      <c r="AZ703" s="70"/>
      <c r="BA703" s="70"/>
      <c r="BB703" s="70"/>
    </row>
    <row r="704" ht="14.25" customHeight="1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  <c r="AD704" s="70"/>
      <c r="AE704" s="70"/>
      <c r="AF704" s="70"/>
      <c r="AG704" s="70"/>
      <c r="AH704" s="70"/>
      <c r="AI704" s="70"/>
      <c r="AJ704" s="70"/>
      <c r="AK704" s="70"/>
      <c r="AL704" s="70"/>
      <c r="AM704" s="70"/>
      <c r="AN704" s="70"/>
      <c r="AO704" s="70"/>
      <c r="AP704" s="70"/>
      <c r="AQ704" s="70"/>
      <c r="AR704" s="70"/>
      <c r="AS704" s="70"/>
      <c r="AT704" s="70"/>
      <c r="AU704" s="70"/>
      <c r="AV704" s="70"/>
      <c r="AW704" s="70"/>
      <c r="AX704" s="70"/>
      <c r="AY704" s="70"/>
      <c r="AZ704" s="70"/>
      <c r="BA704" s="70"/>
      <c r="BB704" s="70"/>
    </row>
    <row r="705" ht="14.25" customHeight="1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  <c r="AD705" s="70"/>
      <c r="AE705" s="70"/>
      <c r="AF705" s="70"/>
      <c r="AG705" s="70"/>
      <c r="AH705" s="70"/>
      <c r="AI705" s="70"/>
      <c r="AJ705" s="70"/>
      <c r="AK705" s="70"/>
      <c r="AL705" s="70"/>
      <c r="AM705" s="70"/>
      <c r="AN705" s="70"/>
      <c r="AO705" s="70"/>
      <c r="AP705" s="70"/>
      <c r="AQ705" s="70"/>
      <c r="AR705" s="70"/>
      <c r="AS705" s="70"/>
      <c r="AT705" s="70"/>
      <c r="AU705" s="70"/>
      <c r="AV705" s="70"/>
      <c r="AW705" s="70"/>
      <c r="AX705" s="70"/>
      <c r="AY705" s="70"/>
      <c r="AZ705" s="70"/>
      <c r="BA705" s="70"/>
      <c r="BB705" s="70"/>
    </row>
    <row r="706" ht="14.25" customHeight="1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  <c r="AH706" s="70"/>
      <c r="AI706" s="70"/>
      <c r="AJ706" s="70"/>
      <c r="AK706" s="70"/>
      <c r="AL706" s="70"/>
      <c r="AM706" s="70"/>
      <c r="AN706" s="70"/>
      <c r="AO706" s="70"/>
      <c r="AP706" s="70"/>
      <c r="AQ706" s="70"/>
      <c r="AR706" s="70"/>
      <c r="AS706" s="70"/>
      <c r="AT706" s="70"/>
      <c r="AU706" s="70"/>
      <c r="AV706" s="70"/>
      <c r="AW706" s="70"/>
      <c r="AX706" s="70"/>
      <c r="AY706" s="70"/>
      <c r="AZ706" s="70"/>
      <c r="BA706" s="70"/>
      <c r="BB706" s="70"/>
    </row>
    <row r="707" ht="14.25" customHeight="1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  <c r="AD707" s="70"/>
      <c r="AE707" s="70"/>
      <c r="AF707" s="70"/>
      <c r="AG707" s="70"/>
      <c r="AH707" s="70"/>
      <c r="AI707" s="70"/>
      <c r="AJ707" s="70"/>
      <c r="AK707" s="70"/>
      <c r="AL707" s="70"/>
      <c r="AM707" s="70"/>
      <c r="AN707" s="70"/>
      <c r="AO707" s="70"/>
      <c r="AP707" s="70"/>
      <c r="AQ707" s="70"/>
      <c r="AR707" s="70"/>
      <c r="AS707" s="70"/>
      <c r="AT707" s="70"/>
      <c r="AU707" s="70"/>
      <c r="AV707" s="70"/>
      <c r="AW707" s="70"/>
      <c r="AX707" s="70"/>
      <c r="AY707" s="70"/>
      <c r="AZ707" s="70"/>
      <c r="BA707" s="70"/>
      <c r="BB707" s="70"/>
    </row>
    <row r="708" ht="14.25" customHeight="1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  <c r="AD708" s="70"/>
      <c r="AE708" s="70"/>
      <c r="AF708" s="70"/>
      <c r="AG708" s="70"/>
      <c r="AH708" s="70"/>
      <c r="AI708" s="70"/>
      <c r="AJ708" s="70"/>
      <c r="AK708" s="70"/>
      <c r="AL708" s="70"/>
      <c r="AM708" s="70"/>
      <c r="AN708" s="70"/>
      <c r="AO708" s="70"/>
      <c r="AP708" s="70"/>
      <c r="AQ708" s="70"/>
      <c r="AR708" s="70"/>
      <c r="AS708" s="70"/>
      <c r="AT708" s="70"/>
      <c r="AU708" s="70"/>
      <c r="AV708" s="70"/>
      <c r="AW708" s="70"/>
      <c r="AX708" s="70"/>
      <c r="AY708" s="70"/>
      <c r="AZ708" s="70"/>
      <c r="BA708" s="70"/>
      <c r="BB708" s="70"/>
    </row>
    <row r="709" ht="14.25" customHeight="1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  <c r="AD709" s="70"/>
      <c r="AE709" s="70"/>
      <c r="AF709" s="70"/>
      <c r="AG709" s="70"/>
      <c r="AH709" s="70"/>
      <c r="AI709" s="70"/>
      <c r="AJ709" s="70"/>
      <c r="AK709" s="70"/>
      <c r="AL709" s="70"/>
      <c r="AM709" s="70"/>
      <c r="AN709" s="70"/>
      <c r="AO709" s="70"/>
      <c r="AP709" s="70"/>
      <c r="AQ709" s="70"/>
      <c r="AR709" s="70"/>
      <c r="AS709" s="70"/>
      <c r="AT709" s="70"/>
      <c r="AU709" s="70"/>
      <c r="AV709" s="70"/>
      <c r="AW709" s="70"/>
      <c r="AX709" s="70"/>
      <c r="AY709" s="70"/>
      <c r="AZ709" s="70"/>
      <c r="BA709" s="70"/>
      <c r="BB709" s="70"/>
    </row>
    <row r="710" ht="14.25" customHeight="1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  <c r="AD710" s="70"/>
      <c r="AE710" s="70"/>
      <c r="AF710" s="70"/>
      <c r="AG710" s="70"/>
      <c r="AH710" s="70"/>
      <c r="AI710" s="70"/>
      <c r="AJ710" s="70"/>
      <c r="AK710" s="70"/>
      <c r="AL710" s="70"/>
      <c r="AM710" s="70"/>
      <c r="AN710" s="70"/>
      <c r="AO710" s="70"/>
      <c r="AP710" s="70"/>
      <c r="AQ710" s="70"/>
      <c r="AR710" s="70"/>
      <c r="AS710" s="70"/>
      <c r="AT710" s="70"/>
      <c r="AU710" s="70"/>
      <c r="AV710" s="70"/>
      <c r="AW710" s="70"/>
      <c r="AX710" s="70"/>
      <c r="AY710" s="70"/>
      <c r="AZ710" s="70"/>
      <c r="BA710" s="70"/>
      <c r="BB710" s="70"/>
    </row>
    <row r="711" ht="14.25" customHeight="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  <c r="AD711" s="70"/>
      <c r="AE711" s="70"/>
      <c r="AF711" s="70"/>
      <c r="AG711" s="70"/>
      <c r="AH711" s="70"/>
      <c r="AI711" s="70"/>
      <c r="AJ711" s="70"/>
      <c r="AK711" s="70"/>
      <c r="AL711" s="70"/>
      <c r="AM711" s="70"/>
      <c r="AN711" s="70"/>
      <c r="AO711" s="70"/>
      <c r="AP711" s="70"/>
      <c r="AQ711" s="70"/>
      <c r="AR711" s="70"/>
      <c r="AS711" s="70"/>
      <c r="AT711" s="70"/>
      <c r="AU711" s="70"/>
      <c r="AV711" s="70"/>
      <c r="AW711" s="70"/>
      <c r="AX711" s="70"/>
      <c r="AY711" s="70"/>
      <c r="AZ711" s="70"/>
      <c r="BA711" s="70"/>
      <c r="BB711" s="70"/>
    </row>
    <row r="712" ht="14.25" customHeight="1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  <c r="AD712" s="70"/>
      <c r="AE712" s="70"/>
      <c r="AF712" s="70"/>
      <c r="AG712" s="70"/>
      <c r="AH712" s="70"/>
      <c r="AI712" s="70"/>
      <c r="AJ712" s="70"/>
      <c r="AK712" s="70"/>
      <c r="AL712" s="70"/>
      <c r="AM712" s="70"/>
      <c r="AN712" s="70"/>
      <c r="AO712" s="70"/>
      <c r="AP712" s="70"/>
      <c r="AQ712" s="70"/>
      <c r="AR712" s="70"/>
      <c r="AS712" s="70"/>
      <c r="AT712" s="70"/>
      <c r="AU712" s="70"/>
      <c r="AV712" s="70"/>
      <c r="AW712" s="70"/>
      <c r="AX712" s="70"/>
      <c r="AY712" s="70"/>
      <c r="AZ712" s="70"/>
      <c r="BA712" s="70"/>
      <c r="BB712" s="70"/>
    </row>
    <row r="713" ht="14.25" customHeight="1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  <c r="AD713" s="70"/>
      <c r="AE713" s="70"/>
      <c r="AF713" s="70"/>
      <c r="AG713" s="70"/>
      <c r="AH713" s="70"/>
      <c r="AI713" s="70"/>
      <c r="AJ713" s="70"/>
      <c r="AK713" s="70"/>
      <c r="AL713" s="70"/>
      <c r="AM713" s="70"/>
      <c r="AN713" s="70"/>
      <c r="AO713" s="70"/>
      <c r="AP713" s="70"/>
      <c r="AQ713" s="70"/>
      <c r="AR713" s="70"/>
      <c r="AS713" s="70"/>
      <c r="AT713" s="70"/>
      <c r="AU713" s="70"/>
      <c r="AV713" s="70"/>
      <c r="AW713" s="70"/>
      <c r="AX713" s="70"/>
      <c r="AY713" s="70"/>
      <c r="AZ713" s="70"/>
      <c r="BA713" s="70"/>
      <c r="BB713" s="70"/>
    </row>
    <row r="714" ht="14.25" customHeight="1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  <c r="AD714" s="70"/>
      <c r="AE714" s="70"/>
      <c r="AF714" s="70"/>
      <c r="AG714" s="70"/>
      <c r="AH714" s="70"/>
      <c r="AI714" s="70"/>
      <c r="AJ714" s="70"/>
      <c r="AK714" s="70"/>
      <c r="AL714" s="70"/>
      <c r="AM714" s="70"/>
      <c r="AN714" s="70"/>
      <c r="AO714" s="70"/>
      <c r="AP714" s="70"/>
      <c r="AQ714" s="70"/>
      <c r="AR714" s="70"/>
      <c r="AS714" s="70"/>
      <c r="AT714" s="70"/>
      <c r="AU714" s="70"/>
      <c r="AV714" s="70"/>
      <c r="AW714" s="70"/>
      <c r="AX714" s="70"/>
      <c r="AY714" s="70"/>
      <c r="AZ714" s="70"/>
      <c r="BA714" s="70"/>
      <c r="BB714" s="70"/>
    </row>
    <row r="715" ht="14.25" customHeight="1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  <c r="AD715" s="70"/>
      <c r="AE715" s="70"/>
      <c r="AF715" s="70"/>
      <c r="AG715" s="70"/>
      <c r="AH715" s="70"/>
      <c r="AI715" s="70"/>
      <c r="AJ715" s="70"/>
      <c r="AK715" s="70"/>
      <c r="AL715" s="70"/>
      <c r="AM715" s="70"/>
      <c r="AN715" s="70"/>
      <c r="AO715" s="70"/>
      <c r="AP715" s="70"/>
      <c r="AQ715" s="70"/>
      <c r="AR715" s="70"/>
      <c r="AS715" s="70"/>
      <c r="AT715" s="70"/>
      <c r="AU715" s="70"/>
      <c r="AV715" s="70"/>
      <c r="AW715" s="70"/>
      <c r="AX715" s="70"/>
      <c r="AY715" s="70"/>
      <c r="AZ715" s="70"/>
      <c r="BA715" s="70"/>
      <c r="BB715" s="70"/>
    </row>
    <row r="716" ht="14.25" customHeight="1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  <c r="AD716" s="70"/>
      <c r="AE716" s="70"/>
      <c r="AF716" s="70"/>
      <c r="AG716" s="70"/>
      <c r="AH716" s="70"/>
      <c r="AI716" s="70"/>
      <c r="AJ716" s="70"/>
      <c r="AK716" s="70"/>
      <c r="AL716" s="70"/>
      <c r="AM716" s="70"/>
      <c r="AN716" s="70"/>
      <c r="AO716" s="70"/>
      <c r="AP716" s="70"/>
      <c r="AQ716" s="70"/>
      <c r="AR716" s="70"/>
      <c r="AS716" s="70"/>
      <c r="AT716" s="70"/>
      <c r="AU716" s="70"/>
      <c r="AV716" s="70"/>
      <c r="AW716" s="70"/>
      <c r="AX716" s="70"/>
      <c r="AY716" s="70"/>
      <c r="AZ716" s="70"/>
      <c r="BA716" s="70"/>
      <c r="BB716" s="70"/>
    </row>
    <row r="717" ht="14.25" customHeight="1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  <c r="AH717" s="70"/>
      <c r="AI717" s="70"/>
      <c r="AJ717" s="70"/>
      <c r="AK717" s="70"/>
      <c r="AL717" s="70"/>
      <c r="AM717" s="70"/>
      <c r="AN717" s="70"/>
      <c r="AO717" s="70"/>
      <c r="AP717" s="70"/>
      <c r="AQ717" s="70"/>
      <c r="AR717" s="70"/>
      <c r="AS717" s="70"/>
      <c r="AT717" s="70"/>
      <c r="AU717" s="70"/>
      <c r="AV717" s="70"/>
      <c r="AW717" s="70"/>
      <c r="AX717" s="70"/>
      <c r="AY717" s="70"/>
      <c r="AZ717" s="70"/>
      <c r="BA717" s="70"/>
      <c r="BB717" s="70"/>
    </row>
    <row r="718" ht="14.25" customHeight="1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  <c r="AD718" s="70"/>
      <c r="AE718" s="70"/>
      <c r="AF718" s="70"/>
      <c r="AG718" s="70"/>
      <c r="AH718" s="70"/>
      <c r="AI718" s="70"/>
      <c r="AJ718" s="70"/>
      <c r="AK718" s="70"/>
      <c r="AL718" s="70"/>
      <c r="AM718" s="70"/>
      <c r="AN718" s="70"/>
      <c r="AO718" s="70"/>
      <c r="AP718" s="70"/>
      <c r="AQ718" s="70"/>
      <c r="AR718" s="70"/>
      <c r="AS718" s="70"/>
      <c r="AT718" s="70"/>
      <c r="AU718" s="70"/>
      <c r="AV718" s="70"/>
      <c r="AW718" s="70"/>
      <c r="AX718" s="70"/>
      <c r="AY718" s="70"/>
      <c r="AZ718" s="70"/>
      <c r="BA718" s="70"/>
      <c r="BB718" s="70"/>
    </row>
    <row r="719" ht="14.25" customHeight="1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  <c r="AD719" s="70"/>
      <c r="AE719" s="70"/>
      <c r="AF719" s="70"/>
      <c r="AG719" s="70"/>
      <c r="AH719" s="70"/>
      <c r="AI719" s="70"/>
      <c r="AJ719" s="70"/>
      <c r="AK719" s="70"/>
      <c r="AL719" s="70"/>
      <c r="AM719" s="70"/>
      <c r="AN719" s="70"/>
      <c r="AO719" s="70"/>
      <c r="AP719" s="70"/>
      <c r="AQ719" s="70"/>
      <c r="AR719" s="70"/>
      <c r="AS719" s="70"/>
      <c r="AT719" s="70"/>
      <c r="AU719" s="70"/>
      <c r="AV719" s="70"/>
      <c r="AW719" s="70"/>
      <c r="AX719" s="70"/>
      <c r="AY719" s="70"/>
      <c r="AZ719" s="70"/>
      <c r="BA719" s="70"/>
      <c r="BB719" s="70"/>
    </row>
    <row r="720" ht="14.25" customHeight="1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  <c r="AD720" s="70"/>
      <c r="AE720" s="70"/>
      <c r="AF720" s="70"/>
      <c r="AG720" s="70"/>
      <c r="AH720" s="70"/>
      <c r="AI720" s="70"/>
      <c r="AJ720" s="70"/>
      <c r="AK720" s="70"/>
      <c r="AL720" s="70"/>
      <c r="AM720" s="70"/>
      <c r="AN720" s="70"/>
      <c r="AO720" s="70"/>
      <c r="AP720" s="70"/>
      <c r="AQ720" s="70"/>
      <c r="AR720" s="70"/>
      <c r="AS720" s="70"/>
      <c r="AT720" s="70"/>
      <c r="AU720" s="70"/>
      <c r="AV720" s="70"/>
      <c r="AW720" s="70"/>
      <c r="AX720" s="70"/>
      <c r="AY720" s="70"/>
      <c r="AZ720" s="70"/>
      <c r="BA720" s="70"/>
      <c r="BB720" s="70"/>
    </row>
    <row r="721" ht="14.25" customHeight="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  <c r="AD721" s="70"/>
      <c r="AE721" s="70"/>
      <c r="AF721" s="70"/>
      <c r="AG721" s="70"/>
      <c r="AH721" s="70"/>
      <c r="AI721" s="70"/>
      <c r="AJ721" s="70"/>
      <c r="AK721" s="70"/>
      <c r="AL721" s="70"/>
      <c r="AM721" s="70"/>
      <c r="AN721" s="70"/>
      <c r="AO721" s="70"/>
      <c r="AP721" s="70"/>
      <c r="AQ721" s="70"/>
      <c r="AR721" s="70"/>
      <c r="AS721" s="70"/>
      <c r="AT721" s="70"/>
      <c r="AU721" s="70"/>
      <c r="AV721" s="70"/>
      <c r="AW721" s="70"/>
      <c r="AX721" s="70"/>
      <c r="AY721" s="70"/>
      <c r="AZ721" s="70"/>
      <c r="BA721" s="70"/>
      <c r="BB721" s="70"/>
    </row>
    <row r="722" ht="14.25" customHeight="1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  <c r="AD722" s="70"/>
      <c r="AE722" s="70"/>
      <c r="AF722" s="70"/>
      <c r="AG722" s="70"/>
      <c r="AH722" s="70"/>
      <c r="AI722" s="70"/>
      <c r="AJ722" s="70"/>
      <c r="AK722" s="70"/>
      <c r="AL722" s="70"/>
      <c r="AM722" s="70"/>
      <c r="AN722" s="70"/>
      <c r="AO722" s="70"/>
      <c r="AP722" s="70"/>
      <c r="AQ722" s="70"/>
      <c r="AR722" s="70"/>
      <c r="AS722" s="70"/>
      <c r="AT722" s="70"/>
      <c r="AU722" s="70"/>
      <c r="AV722" s="70"/>
      <c r="AW722" s="70"/>
      <c r="AX722" s="70"/>
      <c r="AY722" s="70"/>
      <c r="AZ722" s="70"/>
      <c r="BA722" s="70"/>
      <c r="BB722" s="70"/>
    </row>
    <row r="723" ht="14.25" customHeight="1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  <c r="AD723" s="70"/>
      <c r="AE723" s="70"/>
      <c r="AF723" s="70"/>
      <c r="AG723" s="70"/>
      <c r="AH723" s="70"/>
      <c r="AI723" s="70"/>
      <c r="AJ723" s="70"/>
      <c r="AK723" s="70"/>
      <c r="AL723" s="70"/>
      <c r="AM723" s="70"/>
      <c r="AN723" s="70"/>
      <c r="AO723" s="70"/>
      <c r="AP723" s="70"/>
      <c r="AQ723" s="70"/>
      <c r="AR723" s="70"/>
      <c r="AS723" s="70"/>
      <c r="AT723" s="70"/>
      <c r="AU723" s="70"/>
      <c r="AV723" s="70"/>
      <c r="AW723" s="70"/>
      <c r="AX723" s="70"/>
      <c r="AY723" s="70"/>
      <c r="AZ723" s="70"/>
      <c r="BA723" s="70"/>
      <c r="BB723" s="70"/>
    </row>
    <row r="724" ht="14.25" customHeight="1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  <c r="AD724" s="70"/>
      <c r="AE724" s="70"/>
      <c r="AF724" s="70"/>
      <c r="AG724" s="70"/>
      <c r="AH724" s="70"/>
      <c r="AI724" s="70"/>
      <c r="AJ724" s="70"/>
      <c r="AK724" s="70"/>
      <c r="AL724" s="70"/>
      <c r="AM724" s="70"/>
      <c r="AN724" s="70"/>
      <c r="AO724" s="70"/>
      <c r="AP724" s="70"/>
      <c r="AQ724" s="70"/>
      <c r="AR724" s="70"/>
      <c r="AS724" s="70"/>
      <c r="AT724" s="70"/>
      <c r="AU724" s="70"/>
      <c r="AV724" s="70"/>
      <c r="AW724" s="70"/>
      <c r="AX724" s="70"/>
      <c r="AY724" s="70"/>
      <c r="AZ724" s="70"/>
      <c r="BA724" s="70"/>
      <c r="BB724" s="70"/>
    </row>
    <row r="725" ht="14.25" customHeight="1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  <c r="AD725" s="70"/>
      <c r="AE725" s="70"/>
      <c r="AF725" s="70"/>
      <c r="AG725" s="70"/>
      <c r="AH725" s="70"/>
      <c r="AI725" s="70"/>
      <c r="AJ725" s="70"/>
      <c r="AK725" s="70"/>
      <c r="AL725" s="70"/>
      <c r="AM725" s="70"/>
      <c r="AN725" s="70"/>
      <c r="AO725" s="70"/>
      <c r="AP725" s="70"/>
      <c r="AQ725" s="70"/>
      <c r="AR725" s="70"/>
      <c r="AS725" s="70"/>
      <c r="AT725" s="70"/>
      <c r="AU725" s="70"/>
      <c r="AV725" s="70"/>
      <c r="AW725" s="70"/>
      <c r="AX725" s="70"/>
      <c r="AY725" s="70"/>
      <c r="AZ725" s="70"/>
      <c r="BA725" s="70"/>
      <c r="BB725" s="70"/>
    </row>
    <row r="726" ht="14.25" customHeight="1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  <c r="AD726" s="70"/>
      <c r="AE726" s="70"/>
      <c r="AF726" s="70"/>
      <c r="AG726" s="70"/>
      <c r="AH726" s="70"/>
      <c r="AI726" s="70"/>
      <c r="AJ726" s="70"/>
      <c r="AK726" s="70"/>
      <c r="AL726" s="70"/>
      <c r="AM726" s="70"/>
      <c r="AN726" s="70"/>
      <c r="AO726" s="70"/>
      <c r="AP726" s="70"/>
      <c r="AQ726" s="70"/>
      <c r="AR726" s="70"/>
      <c r="AS726" s="70"/>
      <c r="AT726" s="70"/>
      <c r="AU726" s="70"/>
      <c r="AV726" s="70"/>
      <c r="AW726" s="70"/>
      <c r="AX726" s="70"/>
      <c r="AY726" s="70"/>
      <c r="AZ726" s="70"/>
      <c r="BA726" s="70"/>
      <c r="BB726" s="70"/>
    </row>
    <row r="727" ht="14.25" customHeight="1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70"/>
      <c r="AH727" s="70"/>
      <c r="AI727" s="70"/>
      <c r="AJ727" s="70"/>
      <c r="AK727" s="70"/>
      <c r="AL727" s="70"/>
      <c r="AM727" s="70"/>
      <c r="AN727" s="70"/>
      <c r="AO727" s="70"/>
      <c r="AP727" s="70"/>
      <c r="AQ727" s="70"/>
      <c r="AR727" s="70"/>
      <c r="AS727" s="70"/>
      <c r="AT727" s="70"/>
      <c r="AU727" s="70"/>
      <c r="AV727" s="70"/>
      <c r="AW727" s="70"/>
      <c r="AX727" s="70"/>
      <c r="AY727" s="70"/>
      <c r="AZ727" s="70"/>
      <c r="BA727" s="70"/>
      <c r="BB727" s="70"/>
    </row>
    <row r="728" ht="14.25" customHeight="1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  <c r="AD728" s="70"/>
      <c r="AE728" s="70"/>
      <c r="AF728" s="70"/>
      <c r="AG728" s="70"/>
      <c r="AH728" s="70"/>
      <c r="AI728" s="70"/>
      <c r="AJ728" s="70"/>
      <c r="AK728" s="70"/>
      <c r="AL728" s="70"/>
      <c r="AM728" s="70"/>
      <c r="AN728" s="70"/>
      <c r="AO728" s="70"/>
      <c r="AP728" s="70"/>
      <c r="AQ728" s="70"/>
      <c r="AR728" s="70"/>
      <c r="AS728" s="70"/>
      <c r="AT728" s="70"/>
      <c r="AU728" s="70"/>
      <c r="AV728" s="70"/>
      <c r="AW728" s="70"/>
      <c r="AX728" s="70"/>
      <c r="AY728" s="70"/>
      <c r="AZ728" s="70"/>
      <c r="BA728" s="70"/>
      <c r="BB728" s="70"/>
    </row>
    <row r="729" ht="14.25" customHeight="1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  <c r="AD729" s="70"/>
      <c r="AE729" s="70"/>
      <c r="AF729" s="70"/>
      <c r="AG729" s="70"/>
      <c r="AH729" s="70"/>
      <c r="AI729" s="70"/>
      <c r="AJ729" s="70"/>
      <c r="AK729" s="70"/>
      <c r="AL729" s="70"/>
      <c r="AM729" s="70"/>
      <c r="AN729" s="70"/>
      <c r="AO729" s="70"/>
      <c r="AP729" s="70"/>
      <c r="AQ729" s="70"/>
      <c r="AR729" s="70"/>
      <c r="AS729" s="70"/>
      <c r="AT729" s="70"/>
      <c r="AU729" s="70"/>
      <c r="AV729" s="70"/>
      <c r="AW729" s="70"/>
      <c r="AX729" s="70"/>
      <c r="AY729" s="70"/>
      <c r="AZ729" s="70"/>
      <c r="BA729" s="70"/>
      <c r="BB729" s="70"/>
    </row>
    <row r="730" ht="14.25" customHeight="1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  <c r="AD730" s="70"/>
      <c r="AE730" s="70"/>
      <c r="AF730" s="70"/>
      <c r="AG730" s="70"/>
      <c r="AH730" s="70"/>
      <c r="AI730" s="70"/>
      <c r="AJ730" s="70"/>
      <c r="AK730" s="70"/>
      <c r="AL730" s="70"/>
      <c r="AM730" s="70"/>
      <c r="AN730" s="70"/>
      <c r="AO730" s="70"/>
      <c r="AP730" s="70"/>
      <c r="AQ730" s="70"/>
      <c r="AR730" s="70"/>
      <c r="AS730" s="70"/>
      <c r="AT730" s="70"/>
      <c r="AU730" s="70"/>
      <c r="AV730" s="70"/>
      <c r="AW730" s="70"/>
      <c r="AX730" s="70"/>
      <c r="AY730" s="70"/>
      <c r="AZ730" s="70"/>
      <c r="BA730" s="70"/>
      <c r="BB730" s="70"/>
    </row>
    <row r="731" ht="14.25" customHeight="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  <c r="AD731" s="70"/>
      <c r="AE731" s="70"/>
      <c r="AF731" s="70"/>
      <c r="AG731" s="70"/>
      <c r="AH731" s="70"/>
      <c r="AI731" s="70"/>
      <c r="AJ731" s="70"/>
      <c r="AK731" s="70"/>
      <c r="AL731" s="70"/>
      <c r="AM731" s="70"/>
      <c r="AN731" s="70"/>
      <c r="AO731" s="70"/>
      <c r="AP731" s="70"/>
      <c r="AQ731" s="70"/>
      <c r="AR731" s="70"/>
      <c r="AS731" s="70"/>
      <c r="AT731" s="70"/>
      <c r="AU731" s="70"/>
      <c r="AV731" s="70"/>
      <c r="AW731" s="70"/>
      <c r="AX731" s="70"/>
      <c r="AY731" s="70"/>
      <c r="AZ731" s="70"/>
      <c r="BA731" s="70"/>
      <c r="BB731" s="70"/>
    </row>
    <row r="732" ht="14.25" customHeight="1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  <c r="AD732" s="70"/>
      <c r="AE732" s="70"/>
      <c r="AF732" s="70"/>
      <c r="AG732" s="70"/>
      <c r="AH732" s="70"/>
      <c r="AI732" s="70"/>
      <c r="AJ732" s="70"/>
      <c r="AK732" s="70"/>
      <c r="AL732" s="70"/>
      <c r="AM732" s="70"/>
      <c r="AN732" s="70"/>
      <c r="AO732" s="70"/>
      <c r="AP732" s="70"/>
      <c r="AQ732" s="70"/>
      <c r="AR732" s="70"/>
      <c r="AS732" s="70"/>
      <c r="AT732" s="70"/>
      <c r="AU732" s="70"/>
      <c r="AV732" s="70"/>
      <c r="AW732" s="70"/>
      <c r="AX732" s="70"/>
      <c r="AY732" s="70"/>
      <c r="AZ732" s="70"/>
      <c r="BA732" s="70"/>
      <c r="BB732" s="70"/>
    </row>
    <row r="733" ht="14.25" customHeight="1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  <c r="AD733" s="70"/>
      <c r="AE733" s="70"/>
      <c r="AF733" s="70"/>
      <c r="AG733" s="70"/>
      <c r="AH733" s="70"/>
      <c r="AI733" s="70"/>
      <c r="AJ733" s="70"/>
      <c r="AK733" s="70"/>
      <c r="AL733" s="70"/>
      <c r="AM733" s="70"/>
      <c r="AN733" s="70"/>
      <c r="AO733" s="70"/>
      <c r="AP733" s="70"/>
      <c r="AQ733" s="70"/>
      <c r="AR733" s="70"/>
      <c r="AS733" s="70"/>
      <c r="AT733" s="70"/>
      <c r="AU733" s="70"/>
      <c r="AV733" s="70"/>
      <c r="AW733" s="70"/>
      <c r="AX733" s="70"/>
      <c r="AY733" s="70"/>
      <c r="AZ733" s="70"/>
      <c r="BA733" s="70"/>
      <c r="BB733" s="70"/>
    </row>
    <row r="734" ht="14.25" customHeight="1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  <c r="AD734" s="70"/>
      <c r="AE734" s="70"/>
      <c r="AF734" s="70"/>
      <c r="AG734" s="70"/>
      <c r="AH734" s="70"/>
      <c r="AI734" s="70"/>
      <c r="AJ734" s="70"/>
      <c r="AK734" s="70"/>
      <c r="AL734" s="70"/>
      <c r="AM734" s="70"/>
      <c r="AN734" s="70"/>
      <c r="AO734" s="70"/>
      <c r="AP734" s="70"/>
      <c r="AQ734" s="70"/>
      <c r="AR734" s="70"/>
      <c r="AS734" s="70"/>
      <c r="AT734" s="70"/>
      <c r="AU734" s="70"/>
      <c r="AV734" s="70"/>
      <c r="AW734" s="70"/>
      <c r="AX734" s="70"/>
      <c r="AY734" s="70"/>
      <c r="AZ734" s="70"/>
      <c r="BA734" s="70"/>
      <c r="BB734" s="70"/>
    </row>
    <row r="735" ht="14.25" customHeight="1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  <c r="AD735" s="70"/>
      <c r="AE735" s="70"/>
      <c r="AF735" s="70"/>
      <c r="AG735" s="70"/>
      <c r="AH735" s="70"/>
      <c r="AI735" s="70"/>
      <c r="AJ735" s="70"/>
      <c r="AK735" s="70"/>
      <c r="AL735" s="70"/>
      <c r="AM735" s="70"/>
      <c r="AN735" s="70"/>
      <c r="AO735" s="70"/>
      <c r="AP735" s="70"/>
      <c r="AQ735" s="70"/>
      <c r="AR735" s="70"/>
      <c r="AS735" s="70"/>
      <c r="AT735" s="70"/>
      <c r="AU735" s="70"/>
      <c r="AV735" s="70"/>
      <c r="AW735" s="70"/>
      <c r="AX735" s="70"/>
      <c r="AY735" s="70"/>
      <c r="AZ735" s="70"/>
      <c r="BA735" s="70"/>
      <c r="BB735" s="70"/>
    </row>
    <row r="736" ht="14.25" customHeight="1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  <c r="AD736" s="70"/>
      <c r="AE736" s="70"/>
      <c r="AF736" s="70"/>
      <c r="AG736" s="70"/>
      <c r="AH736" s="70"/>
      <c r="AI736" s="70"/>
      <c r="AJ736" s="70"/>
      <c r="AK736" s="70"/>
      <c r="AL736" s="70"/>
      <c r="AM736" s="70"/>
      <c r="AN736" s="70"/>
      <c r="AO736" s="70"/>
      <c r="AP736" s="70"/>
      <c r="AQ736" s="70"/>
      <c r="AR736" s="70"/>
      <c r="AS736" s="70"/>
      <c r="AT736" s="70"/>
      <c r="AU736" s="70"/>
      <c r="AV736" s="70"/>
      <c r="AW736" s="70"/>
      <c r="AX736" s="70"/>
      <c r="AY736" s="70"/>
      <c r="AZ736" s="70"/>
      <c r="BA736" s="70"/>
      <c r="BB736" s="70"/>
    </row>
    <row r="737" ht="14.25" customHeight="1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  <c r="AD737" s="70"/>
      <c r="AE737" s="70"/>
      <c r="AF737" s="70"/>
      <c r="AG737" s="70"/>
      <c r="AH737" s="70"/>
      <c r="AI737" s="70"/>
      <c r="AJ737" s="70"/>
      <c r="AK737" s="70"/>
      <c r="AL737" s="70"/>
      <c r="AM737" s="70"/>
      <c r="AN737" s="70"/>
      <c r="AO737" s="70"/>
      <c r="AP737" s="70"/>
      <c r="AQ737" s="70"/>
      <c r="AR737" s="70"/>
      <c r="AS737" s="70"/>
      <c r="AT737" s="70"/>
      <c r="AU737" s="70"/>
      <c r="AV737" s="70"/>
      <c r="AW737" s="70"/>
      <c r="AX737" s="70"/>
      <c r="AY737" s="70"/>
      <c r="AZ737" s="70"/>
      <c r="BA737" s="70"/>
      <c r="BB737" s="70"/>
    </row>
    <row r="738" ht="14.25" customHeight="1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  <c r="AF738" s="70"/>
      <c r="AG738" s="70"/>
      <c r="AH738" s="70"/>
      <c r="AI738" s="70"/>
      <c r="AJ738" s="70"/>
      <c r="AK738" s="70"/>
      <c r="AL738" s="70"/>
      <c r="AM738" s="70"/>
      <c r="AN738" s="70"/>
      <c r="AO738" s="70"/>
      <c r="AP738" s="70"/>
      <c r="AQ738" s="70"/>
      <c r="AR738" s="70"/>
      <c r="AS738" s="70"/>
      <c r="AT738" s="70"/>
      <c r="AU738" s="70"/>
      <c r="AV738" s="70"/>
      <c r="AW738" s="70"/>
      <c r="AX738" s="70"/>
      <c r="AY738" s="70"/>
      <c r="AZ738" s="70"/>
      <c r="BA738" s="70"/>
      <c r="BB738" s="70"/>
    </row>
    <row r="739" ht="14.25" customHeight="1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  <c r="AD739" s="70"/>
      <c r="AE739" s="70"/>
      <c r="AF739" s="70"/>
      <c r="AG739" s="70"/>
      <c r="AH739" s="70"/>
      <c r="AI739" s="70"/>
      <c r="AJ739" s="70"/>
      <c r="AK739" s="70"/>
      <c r="AL739" s="70"/>
      <c r="AM739" s="70"/>
      <c r="AN739" s="70"/>
      <c r="AO739" s="70"/>
      <c r="AP739" s="70"/>
      <c r="AQ739" s="70"/>
      <c r="AR739" s="70"/>
      <c r="AS739" s="70"/>
      <c r="AT739" s="70"/>
      <c r="AU739" s="70"/>
      <c r="AV739" s="70"/>
      <c r="AW739" s="70"/>
      <c r="AX739" s="70"/>
      <c r="AY739" s="70"/>
      <c r="AZ739" s="70"/>
      <c r="BA739" s="70"/>
      <c r="BB739" s="70"/>
    </row>
    <row r="740" ht="14.25" customHeight="1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  <c r="AD740" s="70"/>
      <c r="AE740" s="70"/>
      <c r="AF740" s="70"/>
      <c r="AG740" s="70"/>
      <c r="AH740" s="70"/>
      <c r="AI740" s="70"/>
      <c r="AJ740" s="70"/>
      <c r="AK740" s="70"/>
      <c r="AL740" s="70"/>
      <c r="AM740" s="70"/>
      <c r="AN740" s="70"/>
      <c r="AO740" s="70"/>
      <c r="AP740" s="70"/>
      <c r="AQ740" s="70"/>
      <c r="AR740" s="70"/>
      <c r="AS740" s="70"/>
      <c r="AT740" s="70"/>
      <c r="AU740" s="70"/>
      <c r="AV740" s="70"/>
      <c r="AW740" s="70"/>
      <c r="AX740" s="70"/>
      <c r="AY740" s="70"/>
      <c r="AZ740" s="70"/>
      <c r="BA740" s="70"/>
      <c r="BB740" s="70"/>
    </row>
    <row r="741" ht="14.25" customHeight="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  <c r="AD741" s="70"/>
      <c r="AE741" s="70"/>
      <c r="AF741" s="70"/>
      <c r="AG741" s="70"/>
      <c r="AH741" s="70"/>
      <c r="AI741" s="70"/>
      <c r="AJ741" s="70"/>
      <c r="AK741" s="70"/>
      <c r="AL741" s="70"/>
      <c r="AM741" s="70"/>
      <c r="AN741" s="70"/>
      <c r="AO741" s="70"/>
      <c r="AP741" s="70"/>
      <c r="AQ741" s="70"/>
      <c r="AR741" s="70"/>
      <c r="AS741" s="70"/>
      <c r="AT741" s="70"/>
      <c r="AU741" s="70"/>
      <c r="AV741" s="70"/>
      <c r="AW741" s="70"/>
      <c r="AX741" s="70"/>
      <c r="AY741" s="70"/>
      <c r="AZ741" s="70"/>
      <c r="BA741" s="70"/>
      <c r="BB741" s="70"/>
    </row>
    <row r="742" ht="14.25" customHeight="1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  <c r="AD742" s="70"/>
      <c r="AE742" s="70"/>
      <c r="AF742" s="70"/>
      <c r="AG742" s="70"/>
      <c r="AH742" s="70"/>
      <c r="AI742" s="70"/>
      <c r="AJ742" s="70"/>
      <c r="AK742" s="70"/>
      <c r="AL742" s="70"/>
      <c r="AM742" s="70"/>
      <c r="AN742" s="70"/>
      <c r="AO742" s="70"/>
      <c r="AP742" s="70"/>
      <c r="AQ742" s="70"/>
      <c r="AR742" s="70"/>
      <c r="AS742" s="70"/>
      <c r="AT742" s="70"/>
      <c r="AU742" s="70"/>
      <c r="AV742" s="70"/>
      <c r="AW742" s="70"/>
      <c r="AX742" s="70"/>
      <c r="AY742" s="70"/>
      <c r="AZ742" s="70"/>
      <c r="BA742" s="70"/>
      <c r="BB742" s="70"/>
    </row>
    <row r="743" ht="14.25" customHeight="1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  <c r="AD743" s="70"/>
      <c r="AE743" s="70"/>
      <c r="AF743" s="70"/>
      <c r="AG743" s="70"/>
      <c r="AH743" s="70"/>
      <c r="AI743" s="70"/>
      <c r="AJ743" s="70"/>
      <c r="AK743" s="70"/>
      <c r="AL743" s="70"/>
      <c r="AM743" s="70"/>
      <c r="AN743" s="70"/>
      <c r="AO743" s="70"/>
      <c r="AP743" s="70"/>
      <c r="AQ743" s="70"/>
      <c r="AR743" s="70"/>
      <c r="AS743" s="70"/>
      <c r="AT743" s="70"/>
      <c r="AU743" s="70"/>
      <c r="AV743" s="70"/>
      <c r="AW743" s="70"/>
      <c r="AX743" s="70"/>
      <c r="AY743" s="70"/>
      <c r="AZ743" s="70"/>
      <c r="BA743" s="70"/>
      <c r="BB743" s="70"/>
    </row>
    <row r="744" ht="14.25" customHeight="1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  <c r="AD744" s="70"/>
      <c r="AE744" s="70"/>
      <c r="AF744" s="70"/>
      <c r="AG744" s="70"/>
      <c r="AH744" s="70"/>
      <c r="AI744" s="70"/>
      <c r="AJ744" s="70"/>
      <c r="AK744" s="70"/>
      <c r="AL744" s="70"/>
      <c r="AM744" s="70"/>
      <c r="AN744" s="70"/>
      <c r="AO744" s="70"/>
      <c r="AP744" s="70"/>
      <c r="AQ744" s="70"/>
      <c r="AR744" s="70"/>
      <c r="AS744" s="70"/>
      <c r="AT744" s="70"/>
      <c r="AU744" s="70"/>
      <c r="AV744" s="70"/>
      <c r="AW744" s="70"/>
      <c r="AX744" s="70"/>
      <c r="AY744" s="70"/>
      <c r="AZ744" s="70"/>
      <c r="BA744" s="70"/>
      <c r="BB744" s="70"/>
    </row>
    <row r="745" ht="14.25" customHeight="1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  <c r="AD745" s="70"/>
      <c r="AE745" s="70"/>
      <c r="AF745" s="70"/>
      <c r="AG745" s="70"/>
      <c r="AH745" s="70"/>
      <c r="AI745" s="70"/>
      <c r="AJ745" s="70"/>
      <c r="AK745" s="70"/>
      <c r="AL745" s="70"/>
      <c r="AM745" s="70"/>
      <c r="AN745" s="70"/>
      <c r="AO745" s="70"/>
      <c r="AP745" s="70"/>
      <c r="AQ745" s="70"/>
      <c r="AR745" s="70"/>
      <c r="AS745" s="70"/>
      <c r="AT745" s="70"/>
      <c r="AU745" s="70"/>
      <c r="AV745" s="70"/>
      <c r="AW745" s="70"/>
      <c r="AX745" s="70"/>
      <c r="AY745" s="70"/>
      <c r="AZ745" s="70"/>
      <c r="BA745" s="70"/>
      <c r="BB745" s="70"/>
    </row>
    <row r="746" ht="14.25" customHeight="1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  <c r="AD746" s="70"/>
      <c r="AE746" s="70"/>
      <c r="AF746" s="70"/>
      <c r="AG746" s="70"/>
      <c r="AH746" s="70"/>
      <c r="AI746" s="70"/>
      <c r="AJ746" s="70"/>
      <c r="AK746" s="70"/>
      <c r="AL746" s="70"/>
      <c r="AM746" s="70"/>
      <c r="AN746" s="70"/>
      <c r="AO746" s="70"/>
      <c r="AP746" s="70"/>
      <c r="AQ746" s="70"/>
      <c r="AR746" s="70"/>
      <c r="AS746" s="70"/>
      <c r="AT746" s="70"/>
      <c r="AU746" s="70"/>
      <c r="AV746" s="70"/>
      <c r="AW746" s="70"/>
      <c r="AX746" s="70"/>
      <c r="AY746" s="70"/>
      <c r="AZ746" s="70"/>
      <c r="BA746" s="70"/>
      <c r="BB746" s="70"/>
    </row>
    <row r="747" ht="14.25" customHeight="1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  <c r="AD747" s="70"/>
      <c r="AE747" s="70"/>
      <c r="AF747" s="70"/>
      <c r="AG747" s="70"/>
      <c r="AH747" s="70"/>
      <c r="AI747" s="70"/>
      <c r="AJ747" s="70"/>
      <c r="AK747" s="70"/>
      <c r="AL747" s="70"/>
      <c r="AM747" s="70"/>
      <c r="AN747" s="70"/>
      <c r="AO747" s="70"/>
      <c r="AP747" s="70"/>
      <c r="AQ747" s="70"/>
      <c r="AR747" s="70"/>
      <c r="AS747" s="70"/>
      <c r="AT747" s="70"/>
      <c r="AU747" s="70"/>
      <c r="AV747" s="70"/>
      <c r="AW747" s="70"/>
      <c r="AX747" s="70"/>
      <c r="AY747" s="70"/>
      <c r="AZ747" s="70"/>
      <c r="BA747" s="70"/>
      <c r="BB747" s="70"/>
    </row>
    <row r="748" ht="14.25" customHeight="1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  <c r="AD748" s="70"/>
      <c r="AE748" s="70"/>
      <c r="AF748" s="70"/>
      <c r="AG748" s="70"/>
      <c r="AH748" s="70"/>
      <c r="AI748" s="70"/>
      <c r="AJ748" s="70"/>
      <c r="AK748" s="70"/>
      <c r="AL748" s="70"/>
      <c r="AM748" s="70"/>
      <c r="AN748" s="70"/>
      <c r="AO748" s="70"/>
      <c r="AP748" s="70"/>
      <c r="AQ748" s="70"/>
      <c r="AR748" s="70"/>
      <c r="AS748" s="70"/>
      <c r="AT748" s="70"/>
      <c r="AU748" s="70"/>
      <c r="AV748" s="70"/>
      <c r="AW748" s="70"/>
      <c r="AX748" s="70"/>
      <c r="AY748" s="70"/>
      <c r="AZ748" s="70"/>
      <c r="BA748" s="70"/>
      <c r="BB748" s="70"/>
    </row>
    <row r="749" ht="14.25" customHeight="1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  <c r="AG749" s="70"/>
      <c r="AH749" s="70"/>
      <c r="AI749" s="70"/>
      <c r="AJ749" s="70"/>
      <c r="AK749" s="70"/>
      <c r="AL749" s="70"/>
      <c r="AM749" s="70"/>
      <c r="AN749" s="70"/>
      <c r="AO749" s="70"/>
      <c r="AP749" s="70"/>
      <c r="AQ749" s="70"/>
      <c r="AR749" s="70"/>
      <c r="AS749" s="70"/>
      <c r="AT749" s="70"/>
      <c r="AU749" s="70"/>
      <c r="AV749" s="70"/>
      <c r="AW749" s="70"/>
      <c r="AX749" s="70"/>
      <c r="AY749" s="70"/>
      <c r="AZ749" s="70"/>
      <c r="BA749" s="70"/>
      <c r="BB749" s="70"/>
    </row>
    <row r="750" ht="14.25" customHeight="1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  <c r="AD750" s="70"/>
      <c r="AE750" s="70"/>
      <c r="AF750" s="70"/>
      <c r="AG750" s="70"/>
      <c r="AH750" s="70"/>
      <c r="AI750" s="70"/>
      <c r="AJ750" s="70"/>
      <c r="AK750" s="70"/>
      <c r="AL750" s="70"/>
      <c r="AM750" s="70"/>
      <c r="AN750" s="70"/>
      <c r="AO750" s="70"/>
      <c r="AP750" s="70"/>
      <c r="AQ750" s="70"/>
      <c r="AR750" s="70"/>
      <c r="AS750" s="70"/>
      <c r="AT750" s="70"/>
      <c r="AU750" s="70"/>
      <c r="AV750" s="70"/>
      <c r="AW750" s="70"/>
      <c r="AX750" s="70"/>
      <c r="AY750" s="70"/>
      <c r="AZ750" s="70"/>
      <c r="BA750" s="70"/>
      <c r="BB750" s="70"/>
    </row>
    <row r="751" ht="14.25" customHeight="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  <c r="AD751" s="70"/>
      <c r="AE751" s="70"/>
      <c r="AF751" s="70"/>
      <c r="AG751" s="70"/>
      <c r="AH751" s="70"/>
      <c r="AI751" s="70"/>
      <c r="AJ751" s="70"/>
      <c r="AK751" s="70"/>
      <c r="AL751" s="70"/>
      <c r="AM751" s="70"/>
      <c r="AN751" s="70"/>
      <c r="AO751" s="70"/>
      <c r="AP751" s="70"/>
      <c r="AQ751" s="70"/>
      <c r="AR751" s="70"/>
      <c r="AS751" s="70"/>
      <c r="AT751" s="70"/>
      <c r="AU751" s="70"/>
      <c r="AV751" s="70"/>
      <c r="AW751" s="70"/>
      <c r="AX751" s="70"/>
      <c r="AY751" s="70"/>
      <c r="AZ751" s="70"/>
      <c r="BA751" s="70"/>
      <c r="BB751" s="70"/>
    </row>
    <row r="752" ht="14.25" customHeight="1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  <c r="AD752" s="70"/>
      <c r="AE752" s="70"/>
      <c r="AF752" s="70"/>
      <c r="AG752" s="70"/>
      <c r="AH752" s="70"/>
      <c r="AI752" s="70"/>
      <c r="AJ752" s="70"/>
      <c r="AK752" s="70"/>
      <c r="AL752" s="70"/>
      <c r="AM752" s="70"/>
      <c r="AN752" s="70"/>
      <c r="AO752" s="70"/>
      <c r="AP752" s="70"/>
      <c r="AQ752" s="70"/>
      <c r="AR752" s="70"/>
      <c r="AS752" s="70"/>
      <c r="AT752" s="70"/>
      <c r="AU752" s="70"/>
      <c r="AV752" s="70"/>
      <c r="AW752" s="70"/>
      <c r="AX752" s="70"/>
      <c r="AY752" s="70"/>
      <c r="AZ752" s="70"/>
      <c r="BA752" s="70"/>
      <c r="BB752" s="70"/>
    </row>
    <row r="753" ht="14.25" customHeight="1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  <c r="AD753" s="70"/>
      <c r="AE753" s="70"/>
      <c r="AF753" s="70"/>
      <c r="AG753" s="70"/>
      <c r="AH753" s="70"/>
      <c r="AI753" s="70"/>
      <c r="AJ753" s="70"/>
      <c r="AK753" s="70"/>
      <c r="AL753" s="70"/>
      <c r="AM753" s="70"/>
      <c r="AN753" s="70"/>
      <c r="AO753" s="70"/>
      <c r="AP753" s="70"/>
      <c r="AQ753" s="70"/>
      <c r="AR753" s="70"/>
      <c r="AS753" s="70"/>
      <c r="AT753" s="70"/>
      <c r="AU753" s="70"/>
      <c r="AV753" s="70"/>
      <c r="AW753" s="70"/>
      <c r="AX753" s="70"/>
      <c r="AY753" s="70"/>
      <c r="AZ753" s="70"/>
      <c r="BA753" s="70"/>
      <c r="BB753" s="70"/>
    </row>
    <row r="754" ht="14.25" customHeight="1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  <c r="AD754" s="70"/>
      <c r="AE754" s="70"/>
      <c r="AF754" s="70"/>
      <c r="AG754" s="70"/>
      <c r="AH754" s="70"/>
      <c r="AI754" s="70"/>
      <c r="AJ754" s="70"/>
      <c r="AK754" s="70"/>
      <c r="AL754" s="70"/>
      <c r="AM754" s="70"/>
      <c r="AN754" s="70"/>
      <c r="AO754" s="70"/>
      <c r="AP754" s="70"/>
      <c r="AQ754" s="70"/>
      <c r="AR754" s="70"/>
      <c r="AS754" s="70"/>
      <c r="AT754" s="70"/>
      <c r="AU754" s="70"/>
      <c r="AV754" s="70"/>
      <c r="AW754" s="70"/>
      <c r="AX754" s="70"/>
      <c r="AY754" s="70"/>
      <c r="AZ754" s="70"/>
      <c r="BA754" s="70"/>
      <c r="BB754" s="70"/>
    </row>
    <row r="755" ht="14.25" customHeight="1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  <c r="AD755" s="70"/>
      <c r="AE755" s="70"/>
      <c r="AF755" s="70"/>
      <c r="AG755" s="70"/>
      <c r="AH755" s="70"/>
      <c r="AI755" s="70"/>
      <c r="AJ755" s="70"/>
      <c r="AK755" s="70"/>
      <c r="AL755" s="70"/>
      <c r="AM755" s="70"/>
      <c r="AN755" s="70"/>
      <c r="AO755" s="70"/>
      <c r="AP755" s="70"/>
      <c r="AQ755" s="70"/>
      <c r="AR755" s="70"/>
      <c r="AS755" s="70"/>
      <c r="AT755" s="70"/>
      <c r="AU755" s="70"/>
      <c r="AV755" s="70"/>
      <c r="AW755" s="70"/>
      <c r="AX755" s="70"/>
      <c r="AY755" s="70"/>
      <c r="AZ755" s="70"/>
      <c r="BA755" s="70"/>
      <c r="BB755" s="70"/>
    </row>
    <row r="756" ht="14.25" customHeight="1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  <c r="AD756" s="70"/>
      <c r="AE756" s="70"/>
      <c r="AF756" s="70"/>
      <c r="AG756" s="70"/>
      <c r="AH756" s="70"/>
      <c r="AI756" s="70"/>
      <c r="AJ756" s="70"/>
      <c r="AK756" s="70"/>
      <c r="AL756" s="70"/>
      <c r="AM756" s="70"/>
      <c r="AN756" s="70"/>
      <c r="AO756" s="70"/>
      <c r="AP756" s="70"/>
      <c r="AQ756" s="70"/>
      <c r="AR756" s="70"/>
      <c r="AS756" s="70"/>
      <c r="AT756" s="70"/>
      <c r="AU756" s="70"/>
      <c r="AV756" s="70"/>
      <c r="AW756" s="70"/>
      <c r="AX756" s="70"/>
      <c r="AY756" s="70"/>
      <c r="AZ756" s="70"/>
      <c r="BA756" s="70"/>
      <c r="BB756" s="70"/>
    </row>
    <row r="757" ht="14.25" customHeight="1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  <c r="AD757" s="70"/>
      <c r="AE757" s="70"/>
      <c r="AF757" s="70"/>
      <c r="AG757" s="70"/>
      <c r="AH757" s="70"/>
      <c r="AI757" s="70"/>
      <c r="AJ757" s="70"/>
      <c r="AK757" s="70"/>
      <c r="AL757" s="70"/>
      <c r="AM757" s="70"/>
      <c r="AN757" s="70"/>
      <c r="AO757" s="70"/>
      <c r="AP757" s="70"/>
      <c r="AQ757" s="70"/>
      <c r="AR757" s="70"/>
      <c r="AS757" s="70"/>
      <c r="AT757" s="70"/>
      <c r="AU757" s="70"/>
      <c r="AV757" s="70"/>
      <c r="AW757" s="70"/>
      <c r="AX757" s="70"/>
      <c r="AY757" s="70"/>
      <c r="AZ757" s="70"/>
      <c r="BA757" s="70"/>
      <c r="BB757" s="70"/>
    </row>
    <row r="758" ht="14.25" customHeight="1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  <c r="AD758" s="70"/>
      <c r="AE758" s="70"/>
      <c r="AF758" s="70"/>
      <c r="AG758" s="70"/>
      <c r="AH758" s="70"/>
      <c r="AI758" s="70"/>
      <c r="AJ758" s="70"/>
      <c r="AK758" s="70"/>
      <c r="AL758" s="70"/>
      <c r="AM758" s="70"/>
      <c r="AN758" s="70"/>
      <c r="AO758" s="70"/>
      <c r="AP758" s="70"/>
      <c r="AQ758" s="70"/>
      <c r="AR758" s="70"/>
      <c r="AS758" s="70"/>
      <c r="AT758" s="70"/>
      <c r="AU758" s="70"/>
      <c r="AV758" s="70"/>
      <c r="AW758" s="70"/>
      <c r="AX758" s="70"/>
      <c r="AY758" s="70"/>
      <c r="AZ758" s="70"/>
      <c r="BA758" s="70"/>
      <c r="BB758" s="70"/>
    </row>
    <row r="759" ht="14.25" customHeight="1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  <c r="AD759" s="70"/>
      <c r="AE759" s="70"/>
      <c r="AF759" s="70"/>
      <c r="AG759" s="70"/>
      <c r="AH759" s="70"/>
      <c r="AI759" s="70"/>
      <c r="AJ759" s="70"/>
      <c r="AK759" s="70"/>
      <c r="AL759" s="70"/>
      <c r="AM759" s="70"/>
      <c r="AN759" s="70"/>
      <c r="AO759" s="70"/>
      <c r="AP759" s="70"/>
      <c r="AQ759" s="70"/>
      <c r="AR759" s="70"/>
      <c r="AS759" s="70"/>
      <c r="AT759" s="70"/>
      <c r="AU759" s="70"/>
      <c r="AV759" s="70"/>
      <c r="AW759" s="70"/>
      <c r="AX759" s="70"/>
      <c r="AY759" s="70"/>
      <c r="AZ759" s="70"/>
      <c r="BA759" s="70"/>
      <c r="BB759" s="70"/>
    </row>
    <row r="760" ht="14.25" customHeight="1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  <c r="AF760" s="70"/>
      <c r="AG760" s="70"/>
      <c r="AH760" s="70"/>
      <c r="AI760" s="70"/>
      <c r="AJ760" s="70"/>
      <c r="AK760" s="70"/>
      <c r="AL760" s="70"/>
      <c r="AM760" s="70"/>
      <c r="AN760" s="70"/>
      <c r="AO760" s="70"/>
      <c r="AP760" s="70"/>
      <c r="AQ760" s="70"/>
      <c r="AR760" s="70"/>
      <c r="AS760" s="70"/>
      <c r="AT760" s="70"/>
      <c r="AU760" s="70"/>
      <c r="AV760" s="70"/>
      <c r="AW760" s="70"/>
      <c r="AX760" s="70"/>
      <c r="AY760" s="70"/>
      <c r="AZ760" s="70"/>
      <c r="BA760" s="70"/>
      <c r="BB760" s="70"/>
    </row>
    <row r="761" ht="14.25" customHeight="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  <c r="AD761" s="70"/>
      <c r="AE761" s="70"/>
      <c r="AF761" s="70"/>
      <c r="AG761" s="70"/>
      <c r="AH761" s="70"/>
      <c r="AI761" s="70"/>
      <c r="AJ761" s="70"/>
      <c r="AK761" s="70"/>
      <c r="AL761" s="70"/>
      <c r="AM761" s="70"/>
      <c r="AN761" s="70"/>
      <c r="AO761" s="70"/>
      <c r="AP761" s="70"/>
      <c r="AQ761" s="70"/>
      <c r="AR761" s="70"/>
      <c r="AS761" s="70"/>
      <c r="AT761" s="70"/>
      <c r="AU761" s="70"/>
      <c r="AV761" s="70"/>
      <c r="AW761" s="70"/>
      <c r="AX761" s="70"/>
      <c r="AY761" s="70"/>
      <c r="AZ761" s="70"/>
      <c r="BA761" s="70"/>
      <c r="BB761" s="70"/>
    </row>
    <row r="762" ht="14.25" customHeight="1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  <c r="AD762" s="70"/>
      <c r="AE762" s="70"/>
      <c r="AF762" s="70"/>
      <c r="AG762" s="70"/>
      <c r="AH762" s="70"/>
      <c r="AI762" s="70"/>
      <c r="AJ762" s="70"/>
      <c r="AK762" s="70"/>
      <c r="AL762" s="70"/>
      <c r="AM762" s="70"/>
      <c r="AN762" s="70"/>
      <c r="AO762" s="70"/>
      <c r="AP762" s="70"/>
      <c r="AQ762" s="70"/>
      <c r="AR762" s="70"/>
      <c r="AS762" s="70"/>
      <c r="AT762" s="70"/>
      <c r="AU762" s="70"/>
      <c r="AV762" s="70"/>
      <c r="AW762" s="70"/>
      <c r="AX762" s="70"/>
      <c r="AY762" s="70"/>
      <c r="AZ762" s="70"/>
      <c r="BA762" s="70"/>
      <c r="BB762" s="70"/>
    </row>
    <row r="763" ht="14.25" customHeight="1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  <c r="AD763" s="70"/>
      <c r="AE763" s="70"/>
      <c r="AF763" s="70"/>
      <c r="AG763" s="70"/>
      <c r="AH763" s="70"/>
      <c r="AI763" s="70"/>
      <c r="AJ763" s="70"/>
      <c r="AK763" s="70"/>
      <c r="AL763" s="70"/>
      <c r="AM763" s="70"/>
      <c r="AN763" s="70"/>
      <c r="AO763" s="70"/>
      <c r="AP763" s="70"/>
      <c r="AQ763" s="70"/>
      <c r="AR763" s="70"/>
      <c r="AS763" s="70"/>
      <c r="AT763" s="70"/>
      <c r="AU763" s="70"/>
      <c r="AV763" s="70"/>
      <c r="AW763" s="70"/>
      <c r="AX763" s="70"/>
      <c r="AY763" s="70"/>
      <c r="AZ763" s="70"/>
      <c r="BA763" s="70"/>
      <c r="BB763" s="70"/>
    </row>
    <row r="764" ht="14.25" customHeight="1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  <c r="AD764" s="70"/>
      <c r="AE764" s="70"/>
      <c r="AF764" s="70"/>
      <c r="AG764" s="70"/>
      <c r="AH764" s="70"/>
      <c r="AI764" s="70"/>
      <c r="AJ764" s="70"/>
      <c r="AK764" s="70"/>
      <c r="AL764" s="70"/>
      <c r="AM764" s="70"/>
      <c r="AN764" s="70"/>
      <c r="AO764" s="70"/>
      <c r="AP764" s="70"/>
      <c r="AQ764" s="70"/>
      <c r="AR764" s="70"/>
      <c r="AS764" s="70"/>
      <c r="AT764" s="70"/>
      <c r="AU764" s="70"/>
      <c r="AV764" s="70"/>
      <c r="AW764" s="70"/>
      <c r="AX764" s="70"/>
      <c r="AY764" s="70"/>
      <c r="AZ764" s="70"/>
      <c r="BA764" s="70"/>
      <c r="BB764" s="70"/>
    </row>
    <row r="765" ht="14.25" customHeight="1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  <c r="AD765" s="70"/>
      <c r="AE765" s="70"/>
      <c r="AF765" s="70"/>
      <c r="AG765" s="70"/>
      <c r="AH765" s="70"/>
      <c r="AI765" s="70"/>
      <c r="AJ765" s="70"/>
      <c r="AK765" s="70"/>
      <c r="AL765" s="70"/>
      <c r="AM765" s="70"/>
      <c r="AN765" s="70"/>
      <c r="AO765" s="70"/>
      <c r="AP765" s="70"/>
      <c r="AQ765" s="70"/>
      <c r="AR765" s="70"/>
      <c r="AS765" s="70"/>
      <c r="AT765" s="70"/>
      <c r="AU765" s="70"/>
      <c r="AV765" s="70"/>
      <c r="AW765" s="70"/>
      <c r="AX765" s="70"/>
      <c r="AY765" s="70"/>
      <c r="AZ765" s="70"/>
      <c r="BA765" s="70"/>
      <c r="BB765" s="70"/>
    </row>
    <row r="766" ht="14.25" customHeight="1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  <c r="AC766" s="70"/>
      <c r="AD766" s="70"/>
      <c r="AE766" s="70"/>
      <c r="AF766" s="70"/>
      <c r="AG766" s="70"/>
      <c r="AH766" s="70"/>
      <c r="AI766" s="70"/>
      <c r="AJ766" s="70"/>
      <c r="AK766" s="70"/>
      <c r="AL766" s="70"/>
      <c r="AM766" s="70"/>
      <c r="AN766" s="70"/>
      <c r="AO766" s="70"/>
      <c r="AP766" s="70"/>
      <c r="AQ766" s="70"/>
      <c r="AR766" s="70"/>
      <c r="AS766" s="70"/>
      <c r="AT766" s="70"/>
      <c r="AU766" s="70"/>
      <c r="AV766" s="70"/>
      <c r="AW766" s="70"/>
      <c r="AX766" s="70"/>
      <c r="AY766" s="70"/>
      <c r="AZ766" s="70"/>
      <c r="BA766" s="70"/>
      <c r="BB766" s="70"/>
    </row>
    <row r="767" ht="14.25" customHeight="1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  <c r="AD767" s="70"/>
      <c r="AE767" s="70"/>
      <c r="AF767" s="70"/>
      <c r="AG767" s="70"/>
      <c r="AH767" s="70"/>
      <c r="AI767" s="70"/>
      <c r="AJ767" s="70"/>
      <c r="AK767" s="70"/>
      <c r="AL767" s="70"/>
      <c r="AM767" s="70"/>
      <c r="AN767" s="70"/>
      <c r="AO767" s="70"/>
      <c r="AP767" s="70"/>
      <c r="AQ767" s="70"/>
      <c r="AR767" s="70"/>
      <c r="AS767" s="70"/>
      <c r="AT767" s="70"/>
      <c r="AU767" s="70"/>
      <c r="AV767" s="70"/>
      <c r="AW767" s="70"/>
      <c r="AX767" s="70"/>
      <c r="AY767" s="70"/>
      <c r="AZ767" s="70"/>
      <c r="BA767" s="70"/>
      <c r="BB767" s="70"/>
    </row>
    <row r="768" ht="14.25" customHeight="1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  <c r="AD768" s="70"/>
      <c r="AE768" s="70"/>
      <c r="AF768" s="70"/>
      <c r="AG768" s="70"/>
      <c r="AH768" s="70"/>
      <c r="AI768" s="70"/>
      <c r="AJ768" s="70"/>
      <c r="AK768" s="70"/>
      <c r="AL768" s="70"/>
      <c r="AM768" s="70"/>
      <c r="AN768" s="70"/>
      <c r="AO768" s="70"/>
      <c r="AP768" s="70"/>
      <c r="AQ768" s="70"/>
      <c r="AR768" s="70"/>
      <c r="AS768" s="70"/>
      <c r="AT768" s="70"/>
      <c r="AU768" s="70"/>
      <c r="AV768" s="70"/>
      <c r="AW768" s="70"/>
      <c r="AX768" s="70"/>
      <c r="AY768" s="70"/>
      <c r="AZ768" s="70"/>
      <c r="BA768" s="70"/>
      <c r="BB768" s="70"/>
    </row>
    <row r="769" ht="14.25" customHeight="1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  <c r="AD769" s="70"/>
      <c r="AE769" s="70"/>
      <c r="AF769" s="70"/>
      <c r="AG769" s="70"/>
      <c r="AH769" s="70"/>
      <c r="AI769" s="70"/>
      <c r="AJ769" s="70"/>
      <c r="AK769" s="70"/>
      <c r="AL769" s="70"/>
      <c r="AM769" s="70"/>
      <c r="AN769" s="70"/>
      <c r="AO769" s="70"/>
      <c r="AP769" s="70"/>
      <c r="AQ769" s="70"/>
      <c r="AR769" s="70"/>
      <c r="AS769" s="70"/>
      <c r="AT769" s="70"/>
      <c r="AU769" s="70"/>
      <c r="AV769" s="70"/>
      <c r="AW769" s="70"/>
      <c r="AX769" s="70"/>
      <c r="AY769" s="70"/>
      <c r="AZ769" s="70"/>
      <c r="BA769" s="70"/>
      <c r="BB769" s="70"/>
    </row>
    <row r="770" ht="14.25" customHeight="1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  <c r="AD770" s="70"/>
      <c r="AE770" s="70"/>
      <c r="AF770" s="70"/>
      <c r="AG770" s="70"/>
      <c r="AH770" s="70"/>
      <c r="AI770" s="70"/>
      <c r="AJ770" s="70"/>
      <c r="AK770" s="70"/>
      <c r="AL770" s="70"/>
      <c r="AM770" s="70"/>
      <c r="AN770" s="70"/>
      <c r="AO770" s="70"/>
      <c r="AP770" s="70"/>
      <c r="AQ770" s="70"/>
      <c r="AR770" s="70"/>
      <c r="AS770" s="70"/>
      <c r="AT770" s="70"/>
      <c r="AU770" s="70"/>
      <c r="AV770" s="70"/>
      <c r="AW770" s="70"/>
      <c r="AX770" s="70"/>
      <c r="AY770" s="70"/>
      <c r="AZ770" s="70"/>
      <c r="BA770" s="70"/>
      <c r="BB770" s="70"/>
    </row>
    <row r="771" ht="14.25" customHeight="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  <c r="AD771" s="70"/>
      <c r="AE771" s="70"/>
      <c r="AF771" s="70"/>
      <c r="AG771" s="70"/>
      <c r="AH771" s="70"/>
      <c r="AI771" s="70"/>
      <c r="AJ771" s="70"/>
      <c r="AK771" s="70"/>
      <c r="AL771" s="70"/>
      <c r="AM771" s="70"/>
      <c r="AN771" s="70"/>
      <c r="AO771" s="70"/>
      <c r="AP771" s="70"/>
      <c r="AQ771" s="70"/>
      <c r="AR771" s="70"/>
      <c r="AS771" s="70"/>
      <c r="AT771" s="70"/>
      <c r="AU771" s="70"/>
      <c r="AV771" s="70"/>
      <c r="AW771" s="70"/>
      <c r="AX771" s="70"/>
      <c r="AY771" s="70"/>
      <c r="AZ771" s="70"/>
      <c r="BA771" s="70"/>
      <c r="BB771" s="70"/>
    </row>
    <row r="772" ht="14.25" customHeight="1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  <c r="AD772" s="70"/>
      <c r="AE772" s="70"/>
      <c r="AF772" s="70"/>
      <c r="AG772" s="70"/>
      <c r="AH772" s="70"/>
      <c r="AI772" s="70"/>
      <c r="AJ772" s="70"/>
      <c r="AK772" s="70"/>
      <c r="AL772" s="70"/>
      <c r="AM772" s="70"/>
      <c r="AN772" s="70"/>
      <c r="AO772" s="70"/>
      <c r="AP772" s="70"/>
      <c r="AQ772" s="70"/>
      <c r="AR772" s="70"/>
      <c r="AS772" s="70"/>
      <c r="AT772" s="70"/>
      <c r="AU772" s="70"/>
      <c r="AV772" s="70"/>
      <c r="AW772" s="70"/>
      <c r="AX772" s="70"/>
      <c r="AY772" s="70"/>
      <c r="AZ772" s="70"/>
      <c r="BA772" s="70"/>
      <c r="BB772" s="70"/>
    </row>
    <row r="773" ht="14.25" customHeight="1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  <c r="AD773" s="70"/>
      <c r="AE773" s="70"/>
      <c r="AF773" s="70"/>
      <c r="AG773" s="70"/>
      <c r="AH773" s="70"/>
      <c r="AI773" s="70"/>
      <c r="AJ773" s="70"/>
      <c r="AK773" s="70"/>
      <c r="AL773" s="70"/>
      <c r="AM773" s="70"/>
      <c r="AN773" s="70"/>
      <c r="AO773" s="70"/>
      <c r="AP773" s="70"/>
      <c r="AQ773" s="70"/>
      <c r="AR773" s="70"/>
      <c r="AS773" s="70"/>
      <c r="AT773" s="70"/>
      <c r="AU773" s="70"/>
      <c r="AV773" s="70"/>
      <c r="AW773" s="70"/>
      <c r="AX773" s="70"/>
      <c r="AY773" s="70"/>
      <c r="AZ773" s="70"/>
      <c r="BA773" s="70"/>
      <c r="BB773" s="70"/>
    </row>
    <row r="774" ht="14.25" customHeight="1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  <c r="AC774" s="70"/>
      <c r="AD774" s="70"/>
      <c r="AE774" s="70"/>
      <c r="AF774" s="70"/>
      <c r="AG774" s="70"/>
      <c r="AH774" s="70"/>
      <c r="AI774" s="70"/>
      <c r="AJ774" s="70"/>
      <c r="AK774" s="70"/>
      <c r="AL774" s="70"/>
      <c r="AM774" s="70"/>
      <c r="AN774" s="70"/>
      <c r="AO774" s="70"/>
      <c r="AP774" s="70"/>
      <c r="AQ774" s="70"/>
      <c r="AR774" s="70"/>
      <c r="AS774" s="70"/>
      <c r="AT774" s="70"/>
      <c r="AU774" s="70"/>
      <c r="AV774" s="70"/>
      <c r="AW774" s="70"/>
      <c r="AX774" s="70"/>
      <c r="AY774" s="70"/>
      <c r="AZ774" s="70"/>
      <c r="BA774" s="70"/>
      <c r="BB774" s="70"/>
    </row>
    <row r="775" ht="14.25" customHeight="1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  <c r="AD775" s="70"/>
      <c r="AE775" s="70"/>
      <c r="AF775" s="70"/>
      <c r="AG775" s="70"/>
      <c r="AH775" s="70"/>
      <c r="AI775" s="70"/>
      <c r="AJ775" s="70"/>
      <c r="AK775" s="70"/>
      <c r="AL775" s="70"/>
      <c r="AM775" s="70"/>
      <c r="AN775" s="70"/>
      <c r="AO775" s="70"/>
      <c r="AP775" s="70"/>
      <c r="AQ775" s="70"/>
      <c r="AR775" s="70"/>
      <c r="AS775" s="70"/>
      <c r="AT775" s="70"/>
      <c r="AU775" s="70"/>
      <c r="AV775" s="70"/>
      <c r="AW775" s="70"/>
      <c r="AX775" s="70"/>
      <c r="AY775" s="70"/>
      <c r="AZ775" s="70"/>
      <c r="BA775" s="70"/>
      <c r="BB775" s="70"/>
    </row>
    <row r="776" ht="14.25" customHeight="1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  <c r="AC776" s="70"/>
      <c r="AD776" s="70"/>
      <c r="AE776" s="70"/>
      <c r="AF776" s="70"/>
      <c r="AG776" s="70"/>
      <c r="AH776" s="70"/>
      <c r="AI776" s="70"/>
      <c r="AJ776" s="70"/>
      <c r="AK776" s="70"/>
      <c r="AL776" s="70"/>
      <c r="AM776" s="70"/>
      <c r="AN776" s="70"/>
      <c r="AO776" s="70"/>
      <c r="AP776" s="70"/>
      <c r="AQ776" s="70"/>
      <c r="AR776" s="70"/>
      <c r="AS776" s="70"/>
      <c r="AT776" s="70"/>
      <c r="AU776" s="70"/>
      <c r="AV776" s="70"/>
      <c r="AW776" s="70"/>
      <c r="AX776" s="70"/>
      <c r="AY776" s="70"/>
      <c r="AZ776" s="70"/>
      <c r="BA776" s="70"/>
      <c r="BB776" s="70"/>
    </row>
    <row r="777" ht="14.25" customHeight="1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  <c r="AD777" s="70"/>
      <c r="AE777" s="70"/>
      <c r="AF777" s="70"/>
      <c r="AG777" s="70"/>
      <c r="AH777" s="70"/>
      <c r="AI777" s="70"/>
      <c r="AJ777" s="70"/>
      <c r="AK777" s="70"/>
      <c r="AL777" s="70"/>
      <c r="AM777" s="70"/>
      <c r="AN777" s="70"/>
      <c r="AO777" s="70"/>
      <c r="AP777" s="70"/>
      <c r="AQ777" s="70"/>
      <c r="AR777" s="70"/>
      <c r="AS777" s="70"/>
      <c r="AT777" s="70"/>
      <c r="AU777" s="70"/>
      <c r="AV777" s="70"/>
      <c r="AW777" s="70"/>
      <c r="AX777" s="70"/>
      <c r="AY777" s="70"/>
      <c r="AZ777" s="70"/>
      <c r="BA777" s="70"/>
      <c r="BB777" s="70"/>
    </row>
    <row r="778" ht="14.25" customHeight="1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  <c r="AC778" s="70"/>
      <c r="AD778" s="70"/>
      <c r="AE778" s="70"/>
      <c r="AF778" s="70"/>
      <c r="AG778" s="70"/>
      <c r="AH778" s="70"/>
      <c r="AI778" s="70"/>
      <c r="AJ778" s="70"/>
      <c r="AK778" s="70"/>
      <c r="AL778" s="70"/>
      <c r="AM778" s="70"/>
      <c r="AN778" s="70"/>
      <c r="AO778" s="70"/>
      <c r="AP778" s="70"/>
      <c r="AQ778" s="70"/>
      <c r="AR778" s="70"/>
      <c r="AS778" s="70"/>
      <c r="AT778" s="70"/>
      <c r="AU778" s="70"/>
      <c r="AV778" s="70"/>
      <c r="AW778" s="70"/>
      <c r="AX778" s="70"/>
      <c r="AY778" s="70"/>
      <c r="AZ778" s="70"/>
      <c r="BA778" s="70"/>
      <c r="BB778" s="70"/>
    </row>
    <row r="779" ht="14.25" customHeight="1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  <c r="AD779" s="70"/>
      <c r="AE779" s="70"/>
      <c r="AF779" s="70"/>
      <c r="AG779" s="70"/>
      <c r="AH779" s="70"/>
      <c r="AI779" s="70"/>
      <c r="AJ779" s="70"/>
      <c r="AK779" s="70"/>
      <c r="AL779" s="70"/>
      <c r="AM779" s="70"/>
      <c r="AN779" s="70"/>
      <c r="AO779" s="70"/>
      <c r="AP779" s="70"/>
      <c r="AQ779" s="70"/>
      <c r="AR779" s="70"/>
      <c r="AS779" s="70"/>
      <c r="AT779" s="70"/>
      <c r="AU779" s="70"/>
      <c r="AV779" s="70"/>
      <c r="AW779" s="70"/>
      <c r="AX779" s="70"/>
      <c r="AY779" s="70"/>
      <c r="AZ779" s="70"/>
      <c r="BA779" s="70"/>
      <c r="BB779" s="70"/>
    </row>
    <row r="780" ht="14.25" customHeight="1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  <c r="AD780" s="70"/>
      <c r="AE780" s="70"/>
      <c r="AF780" s="70"/>
      <c r="AG780" s="70"/>
      <c r="AH780" s="70"/>
      <c r="AI780" s="70"/>
      <c r="AJ780" s="70"/>
      <c r="AK780" s="70"/>
      <c r="AL780" s="70"/>
      <c r="AM780" s="70"/>
      <c r="AN780" s="70"/>
      <c r="AO780" s="70"/>
      <c r="AP780" s="70"/>
      <c r="AQ780" s="70"/>
      <c r="AR780" s="70"/>
      <c r="AS780" s="70"/>
      <c r="AT780" s="70"/>
      <c r="AU780" s="70"/>
      <c r="AV780" s="70"/>
      <c r="AW780" s="70"/>
      <c r="AX780" s="70"/>
      <c r="AY780" s="70"/>
      <c r="AZ780" s="70"/>
      <c r="BA780" s="70"/>
      <c r="BB780" s="70"/>
    </row>
    <row r="781" ht="14.25" customHeight="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  <c r="AD781" s="70"/>
      <c r="AE781" s="70"/>
      <c r="AF781" s="70"/>
      <c r="AG781" s="70"/>
      <c r="AH781" s="70"/>
      <c r="AI781" s="70"/>
      <c r="AJ781" s="70"/>
      <c r="AK781" s="70"/>
      <c r="AL781" s="70"/>
      <c r="AM781" s="70"/>
      <c r="AN781" s="70"/>
      <c r="AO781" s="70"/>
      <c r="AP781" s="70"/>
      <c r="AQ781" s="70"/>
      <c r="AR781" s="70"/>
      <c r="AS781" s="70"/>
      <c r="AT781" s="70"/>
      <c r="AU781" s="70"/>
      <c r="AV781" s="70"/>
      <c r="AW781" s="70"/>
      <c r="AX781" s="70"/>
      <c r="AY781" s="70"/>
      <c r="AZ781" s="70"/>
      <c r="BA781" s="70"/>
      <c r="BB781" s="70"/>
    </row>
    <row r="782" ht="14.25" customHeight="1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  <c r="AD782" s="70"/>
      <c r="AE782" s="70"/>
      <c r="AF782" s="70"/>
      <c r="AG782" s="70"/>
      <c r="AH782" s="70"/>
      <c r="AI782" s="70"/>
      <c r="AJ782" s="70"/>
      <c r="AK782" s="70"/>
      <c r="AL782" s="70"/>
      <c r="AM782" s="70"/>
      <c r="AN782" s="70"/>
      <c r="AO782" s="70"/>
      <c r="AP782" s="70"/>
      <c r="AQ782" s="70"/>
      <c r="AR782" s="70"/>
      <c r="AS782" s="70"/>
      <c r="AT782" s="70"/>
      <c r="AU782" s="70"/>
      <c r="AV782" s="70"/>
      <c r="AW782" s="70"/>
      <c r="AX782" s="70"/>
      <c r="AY782" s="70"/>
      <c r="AZ782" s="70"/>
      <c r="BA782" s="70"/>
      <c r="BB782" s="70"/>
    </row>
    <row r="783" ht="14.25" customHeight="1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  <c r="AD783" s="70"/>
      <c r="AE783" s="70"/>
      <c r="AF783" s="70"/>
      <c r="AG783" s="70"/>
      <c r="AH783" s="70"/>
      <c r="AI783" s="70"/>
      <c r="AJ783" s="70"/>
      <c r="AK783" s="70"/>
      <c r="AL783" s="70"/>
      <c r="AM783" s="70"/>
      <c r="AN783" s="70"/>
      <c r="AO783" s="70"/>
      <c r="AP783" s="70"/>
      <c r="AQ783" s="70"/>
      <c r="AR783" s="70"/>
      <c r="AS783" s="70"/>
      <c r="AT783" s="70"/>
      <c r="AU783" s="70"/>
      <c r="AV783" s="70"/>
      <c r="AW783" s="70"/>
      <c r="AX783" s="70"/>
      <c r="AY783" s="70"/>
      <c r="AZ783" s="70"/>
      <c r="BA783" s="70"/>
      <c r="BB783" s="70"/>
    </row>
    <row r="784" ht="14.25" customHeight="1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  <c r="AD784" s="70"/>
      <c r="AE784" s="70"/>
      <c r="AF784" s="70"/>
      <c r="AG784" s="70"/>
      <c r="AH784" s="70"/>
      <c r="AI784" s="70"/>
      <c r="AJ784" s="70"/>
      <c r="AK784" s="70"/>
      <c r="AL784" s="70"/>
      <c r="AM784" s="70"/>
      <c r="AN784" s="70"/>
      <c r="AO784" s="70"/>
      <c r="AP784" s="70"/>
      <c r="AQ784" s="70"/>
      <c r="AR784" s="70"/>
      <c r="AS784" s="70"/>
      <c r="AT784" s="70"/>
      <c r="AU784" s="70"/>
      <c r="AV784" s="70"/>
      <c r="AW784" s="70"/>
      <c r="AX784" s="70"/>
      <c r="AY784" s="70"/>
      <c r="AZ784" s="70"/>
      <c r="BA784" s="70"/>
      <c r="BB784" s="70"/>
    </row>
    <row r="785" ht="14.25" customHeight="1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  <c r="AD785" s="70"/>
      <c r="AE785" s="70"/>
      <c r="AF785" s="70"/>
      <c r="AG785" s="70"/>
      <c r="AH785" s="70"/>
      <c r="AI785" s="70"/>
      <c r="AJ785" s="70"/>
      <c r="AK785" s="70"/>
      <c r="AL785" s="70"/>
      <c r="AM785" s="70"/>
      <c r="AN785" s="70"/>
      <c r="AO785" s="70"/>
      <c r="AP785" s="70"/>
      <c r="AQ785" s="70"/>
      <c r="AR785" s="70"/>
      <c r="AS785" s="70"/>
      <c r="AT785" s="70"/>
      <c r="AU785" s="70"/>
      <c r="AV785" s="70"/>
      <c r="AW785" s="70"/>
      <c r="AX785" s="70"/>
      <c r="AY785" s="70"/>
      <c r="AZ785" s="70"/>
      <c r="BA785" s="70"/>
      <c r="BB785" s="70"/>
    </row>
    <row r="786" ht="14.25" customHeight="1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  <c r="AC786" s="70"/>
      <c r="AD786" s="70"/>
      <c r="AE786" s="70"/>
      <c r="AF786" s="70"/>
      <c r="AG786" s="70"/>
      <c r="AH786" s="70"/>
      <c r="AI786" s="70"/>
      <c r="AJ786" s="70"/>
      <c r="AK786" s="70"/>
      <c r="AL786" s="70"/>
      <c r="AM786" s="70"/>
      <c r="AN786" s="70"/>
      <c r="AO786" s="70"/>
      <c r="AP786" s="70"/>
      <c r="AQ786" s="70"/>
      <c r="AR786" s="70"/>
      <c r="AS786" s="70"/>
      <c r="AT786" s="70"/>
      <c r="AU786" s="70"/>
      <c r="AV786" s="70"/>
      <c r="AW786" s="70"/>
      <c r="AX786" s="70"/>
      <c r="AY786" s="70"/>
      <c r="AZ786" s="70"/>
      <c r="BA786" s="70"/>
      <c r="BB786" s="70"/>
    </row>
    <row r="787" ht="14.25" customHeight="1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  <c r="AD787" s="70"/>
      <c r="AE787" s="70"/>
      <c r="AF787" s="70"/>
      <c r="AG787" s="70"/>
      <c r="AH787" s="70"/>
      <c r="AI787" s="70"/>
      <c r="AJ787" s="70"/>
      <c r="AK787" s="70"/>
      <c r="AL787" s="70"/>
      <c r="AM787" s="70"/>
      <c r="AN787" s="70"/>
      <c r="AO787" s="70"/>
      <c r="AP787" s="70"/>
      <c r="AQ787" s="70"/>
      <c r="AR787" s="70"/>
      <c r="AS787" s="70"/>
      <c r="AT787" s="70"/>
      <c r="AU787" s="70"/>
      <c r="AV787" s="70"/>
      <c r="AW787" s="70"/>
      <c r="AX787" s="70"/>
      <c r="AY787" s="70"/>
      <c r="AZ787" s="70"/>
      <c r="BA787" s="70"/>
      <c r="BB787" s="70"/>
    </row>
    <row r="788" ht="14.25" customHeight="1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  <c r="AD788" s="70"/>
      <c r="AE788" s="70"/>
      <c r="AF788" s="70"/>
      <c r="AG788" s="70"/>
      <c r="AH788" s="70"/>
      <c r="AI788" s="70"/>
      <c r="AJ788" s="70"/>
      <c r="AK788" s="70"/>
      <c r="AL788" s="70"/>
      <c r="AM788" s="70"/>
      <c r="AN788" s="70"/>
      <c r="AO788" s="70"/>
      <c r="AP788" s="70"/>
      <c r="AQ788" s="70"/>
      <c r="AR788" s="70"/>
      <c r="AS788" s="70"/>
      <c r="AT788" s="70"/>
      <c r="AU788" s="70"/>
      <c r="AV788" s="70"/>
      <c r="AW788" s="70"/>
      <c r="AX788" s="70"/>
      <c r="AY788" s="70"/>
      <c r="AZ788" s="70"/>
      <c r="BA788" s="70"/>
      <c r="BB788" s="70"/>
    </row>
    <row r="789" ht="14.25" customHeight="1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  <c r="AD789" s="70"/>
      <c r="AE789" s="70"/>
      <c r="AF789" s="70"/>
      <c r="AG789" s="70"/>
      <c r="AH789" s="70"/>
      <c r="AI789" s="70"/>
      <c r="AJ789" s="70"/>
      <c r="AK789" s="70"/>
      <c r="AL789" s="70"/>
      <c r="AM789" s="70"/>
      <c r="AN789" s="70"/>
      <c r="AO789" s="70"/>
      <c r="AP789" s="70"/>
      <c r="AQ789" s="70"/>
      <c r="AR789" s="70"/>
      <c r="AS789" s="70"/>
      <c r="AT789" s="70"/>
      <c r="AU789" s="70"/>
      <c r="AV789" s="70"/>
      <c r="AW789" s="70"/>
      <c r="AX789" s="70"/>
      <c r="AY789" s="70"/>
      <c r="AZ789" s="70"/>
      <c r="BA789" s="70"/>
      <c r="BB789" s="70"/>
    </row>
    <row r="790" ht="14.25" customHeight="1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  <c r="AD790" s="70"/>
      <c r="AE790" s="70"/>
      <c r="AF790" s="70"/>
      <c r="AG790" s="70"/>
      <c r="AH790" s="70"/>
      <c r="AI790" s="70"/>
      <c r="AJ790" s="70"/>
      <c r="AK790" s="70"/>
      <c r="AL790" s="70"/>
      <c r="AM790" s="70"/>
      <c r="AN790" s="70"/>
      <c r="AO790" s="70"/>
      <c r="AP790" s="70"/>
      <c r="AQ790" s="70"/>
      <c r="AR790" s="70"/>
      <c r="AS790" s="70"/>
      <c r="AT790" s="70"/>
      <c r="AU790" s="70"/>
      <c r="AV790" s="70"/>
      <c r="AW790" s="70"/>
      <c r="AX790" s="70"/>
      <c r="AY790" s="70"/>
      <c r="AZ790" s="70"/>
      <c r="BA790" s="70"/>
      <c r="BB790" s="70"/>
    </row>
    <row r="791" ht="14.25" customHeight="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  <c r="AD791" s="70"/>
      <c r="AE791" s="70"/>
      <c r="AF791" s="70"/>
      <c r="AG791" s="70"/>
      <c r="AH791" s="70"/>
      <c r="AI791" s="70"/>
      <c r="AJ791" s="70"/>
      <c r="AK791" s="70"/>
      <c r="AL791" s="70"/>
      <c r="AM791" s="70"/>
      <c r="AN791" s="70"/>
      <c r="AO791" s="70"/>
      <c r="AP791" s="70"/>
      <c r="AQ791" s="70"/>
      <c r="AR791" s="70"/>
      <c r="AS791" s="70"/>
      <c r="AT791" s="70"/>
      <c r="AU791" s="70"/>
      <c r="AV791" s="70"/>
      <c r="AW791" s="70"/>
      <c r="AX791" s="70"/>
      <c r="AY791" s="70"/>
      <c r="AZ791" s="70"/>
      <c r="BA791" s="70"/>
      <c r="BB791" s="70"/>
    </row>
    <row r="792" ht="14.25" customHeight="1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  <c r="AD792" s="70"/>
      <c r="AE792" s="70"/>
      <c r="AF792" s="70"/>
      <c r="AG792" s="70"/>
      <c r="AH792" s="70"/>
      <c r="AI792" s="70"/>
      <c r="AJ792" s="70"/>
      <c r="AK792" s="70"/>
      <c r="AL792" s="70"/>
      <c r="AM792" s="70"/>
      <c r="AN792" s="70"/>
      <c r="AO792" s="70"/>
      <c r="AP792" s="70"/>
      <c r="AQ792" s="70"/>
      <c r="AR792" s="70"/>
      <c r="AS792" s="70"/>
      <c r="AT792" s="70"/>
      <c r="AU792" s="70"/>
      <c r="AV792" s="70"/>
      <c r="AW792" s="70"/>
      <c r="AX792" s="70"/>
      <c r="AY792" s="70"/>
      <c r="AZ792" s="70"/>
      <c r="BA792" s="70"/>
      <c r="BB792" s="70"/>
    </row>
    <row r="793" ht="14.25" customHeight="1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  <c r="AD793" s="70"/>
      <c r="AE793" s="70"/>
      <c r="AF793" s="70"/>
      <c r="AG793" s="70"/>
      <c r="AH793" s="70"/>
      <c r="AI793" s="70"/>
      <c r="AJ793" s="70"/>
      <c r="AK793" s="70"/>
      <c r="AL793" s="70"/>
      <c r="AM793" s="70"/>
      <c r="AN793" s="70"/>
      <c r="AO793" s="70"/>
      <c r="AP793" s="70"/>
      <c r="AQ793" s="70"/>
      <c r="AR793" s="70"/>
      <c r="AS793" s="70"/>
      <c r="AT793" s="70"/>
      <c r="AU793" s="70"/>
      <c r="AV793" s="70"/>
      <c r="AW793" s="70"/>
      <c r="AX793" s="70"/>
      <c r="AY793" s="70"/>
      <c r="AZ793" s="70"/>
      <c r="BA793" s="70"/>
      <c r="BB793" s="70"/>
    </row>
    <row r="794" ht="14.25" customHeight="1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  <c r="AD794" s="70"/>
      <c r="AE794" s="70"/>
      <c r="AF794" s="70"/>
      <c r="AG794" s="70"/>
      <c r="AH794" s="70"/>
      <c r="AI794" s="70"/>
      <c r="AJ794" s="70"/>
      <c r="AK794" s="70"/>
      <c r="AL794" s="70"/>
      <c r="AM794" s="70"/>
      <c r="AN794" s="70"/>
      <c r="AO794" s="70"/>
      <c r="AP794" s="70"/>
      <c r="AQ794" s="70"/>
      <c r="AR794" s="70"/>
      <c r="AS794" s="70"/>
      <c r="AT794" s="70"/>
      <c r="AU794" s="70"/>
      <c r="AV794" s="70"/>
      <c r="AW794" s="70"/>
      <c r="AX794" s="70"/>
      <c r="AY794" s="70"/>
      <c r="AZ794" s="70"/>
      <c r="BA794" s="70"/>
      <c r="BB794" s="70"/>
    </row>
    <row r="795" ht="14.25" customHeight="1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  <c r="AD795" s="70"/>
      <c r="AE795" s="70"/>
      <c r="AF795" s="70"/>
      <c r="AG795" s="70"/>
      <c r="AH795" s="70"/>
      <c r="AI795" s="70"/>
      <c r="AJ795" s="70"/>
      <c r="AK795" s="70"/>
      <c r="AL795" s="70"/>
      <c r="AM795" s="70"/>
      <c r="AN795" s="70"/>
      <c r="AO795" s="70"/>
      <c r="AP795" s="70"/>
      <c r="AQ795" s="70"/>
      <c r="AR795" s="70"/>
      <c r="AS795" s="70"/>
      <c r="AT795" s="70"/>
      <c r="AU795" s="70"/>
      <c r="AV795" s="70"/>
      <c r="AW795" s="70"/>
      <c r="AX795" s="70"/>
      <c r="AY795" s="70"/>
      <c r="AZ795" s="70"/>
      <c r="BA795" s="70"/>
      <c r="BB795" s="70"/>
    </row>
    <row r="796" ht="14.25" customHeight="1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  <c r="AD796" s="70"/>
      <c r="AE796" s="70"/>
      <c r="AF796" s="70"/>
      <c r="AG796" s="70"/>
      <c r="AH796" s="70"/>
      <c r="AI796" s="70"/>
      <c r="AJ796" s="70"/>
      <c r="AK796" s="70"/>
      <c r="AL796" s="70"/>
      <c r="AM796" s="70"/>
      <c r="AN796" s="70"/>
      <c r="AO796" s="70"/>
      <c r="AP796" s="70"/>
      <c r="AQ796" s="70"/>
      <c r="AR796" s="70"/>
      <c r="AS796" s="70"/>
      <c r="AT796" s="70"/>
      <c r="AU796" s="70"/>
      <c r="AV796" s="70"/>
      <c r="AW796" s="70"/>
      <c r="AX796" s="70"/>
      <c r="AY796" s="70"/>
      <c r="AZ796" s="70"/>
      <c r="BA796" s="70"/>
      <c r="BB796" s="70"/>
    </row>
    <row r="797" ht="14.25" customHeight="1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  <c r="AD797" s="70"/>
      <c r="AE797" s="70"/>
      <c r="AF797" s="70"/>
      <c r="AG797" s="70"/>
      <c r="AH797" s="70"/>
      <c r="AI797" s="70"/>
      <c r="AJ797" s="70"/>
      <c r="AK797" s="70"/>
      <c r="AL797" s="70"/>
      <c r="AM797" s="70"/>
      <c r="AN797" s="70"/>
      <c r="AO797" s="70"/>
      <c r="AP797" s="70"/>
      <c r="AQ797" s="70"/>
      <c r="AR797" s="70"/>
      <c r="AS797" s="70"/>
      <c r="AT797" s="70"/>
      <c r="AU797" s="70"/>
      <c r="AV797" s="70"/>
      <c r="AW797" s="70"/>
      <c r="AX797" s="70"/>
      <c r="AY797" s="70"/>
      <c r="AZ797" s="70"/>
      <c r="BA797" s="70"/>
      <c r="BB797" s="70"/>
    </row>
    <row r="798" ht="14.25" customHeight="1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  <c r="AD798" s="70"/>
      <c r="AE798" s="70"/>
      <c r="AF798" s="70"/>
      <c r="AG798" s="70"/>
      <c r="AH798" s="70"/>
      <c r="AI798" s="70"/>
      <c r="AJ798" s="70"/>
      <c r="AK798" s="70"/>
      <c r="AL798" s="70"/>
      <c r="AM798" s="70"/>
      <c r="AN798" s="70"/>
      <c r="AO798" s="70"/>
      <c r="AP798" s="70"/>
      <c r="AQ798" s="70"/>
      <c r="AR798" s="70"/>
      <c r="AS798" s="70"/>
      <c r="AT798" s="70"/>
      <c r="AU798" s="70"/>
      <c r="AV798" s="70"/>
      <c r="AW798" s="70"/>
      <c r="AX798" s="70"/>
      <c r="AY798" s="70"/>
      <c r="AZ798" s="70"/>
      <c r="BA798" s="70"/>
      <c r="BB798" s="70"/>
    </row>
    <row r="799" ht="14.25" customHeight="1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  <c r="AD799" s="70"/>
      <c r="AE799" s="70"/>
      <c r="AF799" s="70"/>
      <c r="AG799" s="70"/>
      <c r="AH799" s="70"/>
      <c r="AI799" s="70"/>
      <c r="AJ799" s="70"/>
      <c r="AK799" s="70"/>
      <c r="AL799" s="70"/>
      <c r="AM799" s="70"/>
      <c r="AN799" s="70"/>
      <c r="AO799" s="70"/>
      <c r="AP799" s="70"/>
      <c r="AQ799" s="70"/>
      <c r="AR799" s="70"/>
      <c r="AS799" s="70"/>
      <c r="AT799" s="70"/>
      <c r="AU799" s="70"/>
      <c r="AV799" s="70"/>
      <c r="AW799" s="70"/>
      <c r="AX799" s="70"/>
      <c r="AY799" s="70"/>
      <c r="AZ799" s="70"/>
      <c r="BA799" s="70"/>
      <c r="BB799" s="70"/>
    </row>
    <row r="800" ht="14.25" customHeight="1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  <c r="AD800" s="70"/>
      <c r="AE800" s="70"/>
      <c r="AF800" s="70"/>
      <c r="AG800" s="70"/>
      <c r="AH800" s="70"/>
      <c r="AI800" s="70"/>
      <c r="AJ800" s="70"/>
      <c r="AK800" s="70"/>
      <c r="AL800" s="70"/>
      <c r="AM800" s="70"/>
      <c r="AN800" s="70"/>
      <c r="AO800" s="70"/>
      <c r="AP800" s="70"/>
      <c r="AQ800" s="70"/>
      <c r="AR800" s="70"/>
      <c r="AS800" s="70"/>
      <c r="AT800" s="70"/>
      <c r="AU800" s="70"/>
      <c r="AV800" s="70"/>
      <c r="AW800" s="70"/>
      <c r="AX800" s="70"/>
      <c r="AY800" s="70"/>
      <c r="AZ800" s="70"/>
      <c r="BA800" s="70"/>
      <c r="BB800" s="70"/>
    </row>
    <row r="801" ht="14.25" customHeight="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  <c r="AD801" s="70"/>
      <c r="AE801" s="70"/>
      <c r="AF801" s="70"/>
      <c r="AG801" s="70"/>
      <c r="AH801" s="70"/>
      <c r="AI801" s="70"/>
      <c r="AJ801" s="70"/>
      <c r="AK801" s="70"/>
      <c r="AL801" s="70"/>
      <c r="AM801" s="70"/>
      <c r="AN801" s="70"/>
      <c r="AO801" s="70"/>
      <c r="AP801" s="70"/>
      <c r="AQ801" s="70"/>
      <c r="AR801" s="70"/>
      <c r="AS801" s="70"/>
      <c r="AT801" s="70"/>
      <c r="AU801" s="70"/>
      <c r="AV801" s="70"/>
      <c r="AW801" s="70"/>
      <c r="AX801" s="70"/>
      <c r="AY801" s="70"/>
      <c r="AZ801" s="70"/>
      <c r="BA801" s="70"/>
      <c r="BB801" s="70"/>
    </row>
    <row r="802" ht="14.25" customHeight="1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  <c r="AD802" s="70"/>
      <c r="AE802" s="70"/>
      <c r="AF802" s="70"/>
      <c r="AG802" s="70"/>
      <c r="AH802" s="70"/>
      <c r="AI802" s="70"/>
      <c r="AJ802" s="70"/>
      <c r="AK802" s="70"/>
      <c r="AL802" s="70"/>
      <c r="AM802" s="70"/>
      <c r="AN802" s="70"/>
      <c r="AO802" s="70"/>
      <c r="AP802" s="70"/>
      <c r="AQ802" s="70"/>
      <c r="AR802" s="70"/>
      <c r="AS802" s="70"/>
      <c r="AT802" s="70"/>
      <c r="AU802" s="70"/>
      <c r="AV802" s="70"/>
      <c r="AW802" s="70"/>
      <c r="AX802" s="70"/>
      <c r="AY802" s="70"/>
      <c r="AZ802" s="70"/>
      <c r="BA802" s="70"/>
      <c r="BB802" s="70"/>
    </row>
    <row r="803" ht="14.25" customHeight="1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  <c r="AD803" s="70"/>
      <c r="AE803" s="70"/>
      <c r="AF803" s="70"/>
      <c r="AG803" s="70"/>
      <c r="AH803" s="70"/>
      <c r="AI803" s="70"/>
      <c r="AJ803" s="70"/>
      <c r="AK803" s="70"/>
      <c r="AL803" s="70"/>
      <c r="AM803" s="70"/>
      <c r="AN803" s="70"/>
      <c r="AO803" s="70"/>
      <c r="AP803" s="70"/>
      <c r="AQ803" s="70"/>
      <c r="AR803" s="70"/>
      <c r="AS803" s="70"/>
      <c r="AT803" s="70"/>
      <c r="AU803" s="70"/>
      <c r="AV803" s="70"/>
      <c r="AW803" s="70"/>
      <c r="AX803" s="70"/>
      <c r="AY803" s="70"/>
      <c r="AZ803" s="70"/>
      <c r="BA803" s="70"/>
      <c r="BB803" s="70"/>
    </row>
    <row r="804" ht="14.25" customHeight="1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  <c r="AD804" s="70"/>
      <c r="AE804" s="70"/>
      <c r="AF804" s="70"/>
      <c r="AG804" s="70"/>
      <c r="AH804" s="70"/>
      <c r="AI804" s="70"/>
      <c r="AJ804" s="70"/>
      <c r="AK804" s="70"/>
      <c r="AL804" s="70"/>
      <c r="AM804" s="70"/>
      <c r="AN804" s="70"/>
      <c r="AO804" s="70"/>
      <c r="AP804" s="70"/>
      <c r="AQ804" s="70"/>
      <c r="AR804" s="70"/>
      <c r="AS804" s="70"/>
      <c r="AT804" s="70"/>
      <c r="AU804" s="70"/>
      <c r="AV804" s="70"/>
      <c r="AW804" s="70"/>
      <c r="AX804" s="70"/>
      <c r="AY804" s="70"/>
      <c r="AZ804" s="70"/>
      <c r="BA804" s="70"/>
      <c r="BB804" s="70"/>
    </row>
    <row r="805" ht="14.25" customHeight="1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  <c r="AD805" s="70"/>
      <c r="AE805" s="70"/>
      <c r="AF805" s="70"/>
      <c r="AG805" s="70"/>
      <c r="AH805" s="70"/>
      <c r="AI805" s="70"/>
      <c r="AJ805" s="70"/>
      <c r="AK805" s="70"/>
      <c r="AL805" s="70"/>
      <c r="AM805" s="70"/>
      <c r="AN805" s="70"/>
      <c r="AO805" s="70"/>
      <c r="AP805" s="70"/>
      <c r="AQ805" s="70"/>
      <c r="AR805" s="70"/>
      <c r="AS805" s="70"/>
      <c r="AT805" s="70"/>
      <c r="AU805" s="70"/>
      <c r="AV805" s="70"/>
      <c r="AW805" s="70"/>
      <c r="AX805" s="70"/>
      <c r="AY805" s="70"/>
      <c r="AZ805" s="70"/>
      <c r="BA805" s="70"/>
      <c r="BB805" s="70"/>
    </row>
    <row r="806" ht="14.25" customHeight="1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  <c r="AD806" s="70"/>
      <c r="AE806" s="70"/>
      <c r="AF806" s="70"/>
      <c r="AG806" s="70"/>
      <c r="AH806" s="70"/>
      <c r="AI806" s="70"/>
      <c r="AJ806" s="70"/>
      <c r="AK806" s="70"/>
      <c r="AL806" s="70"/>
      <c r="AM806" s="70"/>
      <c r="AN806" s="70"/>
      <c r="AO806" s="70"/>
      <c r="AP806" s="70"/>
      <c r="AQ806" s="70"/>
      <c r="AR806" s="70"/>
      <c r="AS806" s="70"/>
      <c r="AT806" s="70"/>
      <c r="AU806" s="70"/>
      <c r="AV806" s="70"/>
      <c r="AW806" s="70"/>
      <c r="AX806" s="70"/>
      <c r="AY806" s="70"/>
      <c r="AZ806" s="70"/>
      <c r="BA806" s="70"/>
      <c r="BB806" s="70"/>
    </row>
    <row r="807" ht="14.25" customHeight="1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  <c r="AD807" s="70"/>
      <c r="AE807" s="70"/>
      <c r="AF807" s="70"/>
      <c r="AG807" s="70"/>
      <c r="AH807" s="70"/>
      <c r="AI807" s="70"/>
      <c r="AJ807" s="70"/>
      <c r="AK807" s="70"/>
      <c r="AL807" s="70"/>
      <c r="AM807" s="70"/>
      <c r="AN807" s="70"/>
      <c r="AO807" s="70"/>
      <c r="AP807" s="70"/>
      <c r="AQ807" s="70"/>
      <c r="AR807" s="70"/>
      <c r="AS807" s="70"/>
      <c r="AT807" s="70"/>
      <c r="AU807" s="70"/>
      <c r="AV807" s="70"/>
      <c r="AW807" s="70"/>
      <c r="AX807" s="70"/>
      <c r="AY807" s="70"/>
      <c r="AZ807" s="70"/>
      <c r="BA807" s="70"/>
      <c r="BB807" s="70"/>
    </row>
    <row r="808" ht="14.25" customHeight="1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  <c r="AD808" s="70"/>
      <c r="AE808" s="70"/>
      <c r="AF808" s="70"/>
      <c r="AG808" s="70"/>
      <c r="AH808" s="70"/>
      <c r="AI808" s="70"/>
      <c r="AJ808" s="70"/>
      <c r="AK808" s="70"/>
      <c r="AL808" s="70"/>
      <c r="AM808" s="70"/>
      <c r="AN808" s="70"/>
      <c r="AO808" s="70"/>
      <c r="AP808" s="70"/>
      <c r="AQ808" s="70"/>
      <c r="AR808" s="70"/>
      <c r="AS808" s="70"/>
      <c r="AT808" s="70"/>
      <c r="AU808" s="70"/>
      <c r="AV808" s="70"/>
      <c r="AW808" s="70"/>
      <c r="AX808" s="70"/>
      <c r="AY808" s="70"/>
      <c r="AZ808" s="70"/>
      <c r="BA808" s="70"/>
      <c r="BB808" s="70"/>
    </row>
    <row r="809" ht="14.25" customHeight="1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  <c r="AD809" s="70"/>
      <c r="AE809" s="70"/>
      <c r="AF809" s="70"/>
      <c r="AG809" s="70"/>
      <c r="AH809" s="70"/>
      <c r="AI809" s="70"/>
      <c r="AJ809" s="70"/>
      <c r="AK809" s="70"/>
      <c r="AL809" s="70"/>
      <c r="AM809" s="70"/>
      <c r="AN809" s="70"/>
      <c r="AO809" s="70"/>
      <c r="AP809" s="70"/>
      <c r="AQ809" s="70"/>
      <c r="AR809" s="70"/>
      <c r="AS809" s="70"/>
      <c r="AT809" s="70"/>
      <c r="AU809" s="70"/>
      <c r="AV809" s="70"/>
      <c r="AW809" s="70"/>
      <c r="AX809" s="70"/>
      <c r="AY809" s="70"/>
      <c r="AZ809" s="70"/>
      <c r="BA809" s="70"/>
      <c r="BB809" s="70"/>
    </row>
    <row r="810" ht="14.25" customHeight="1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  <c r="AD810" s="70"/>
      <c r="AE810" s="70"/>
      <c r="AF810" s="70"/>
      <c r="AG810" s="70"/>
      <c r="AH810" s="70"/>
      <c r="AI810" s="70"/>
      <c r="AJ810" s="70"/>
      <c r="AK810" s="70"/>
      <c r="AL810" s="70"/>
      <c r="AM810" s="70"/>
      <c r="AN810" s="70"/>
      <c r="AO810" s="70"/>
      <c r="AP810" s="70"/>
      <c r="AQ810" s="70"/>
      <c r="AR810" s="70"/>
      <c r="AS810" s="70"/>
      <c r="AT810" s="70"/>
      <c r="AU810" s="70"/>
      <c r="AV810" s="70"/>
      <c r="AW810" s="70"/>
      <c r="AX810" s="70"/>
      <c r="AY810" s="70"/>
      <c r="AZ810" s="70"/>
      <c r="BA810" s="70"/>
      <c r="BB810" s="70"/>
    </row>
    <row r="811" ht="14.25" customHeight="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  <c r="AD811" s="70"/>
      <c r="AE811" s="70"/>
      <c r="AF811" s="70"/>
      <c r="AG811" s="70"/>
      <c r="AH811" s="70"/>
      <c r="AI811" s="70"/>
      <c r="AJ811" s="70"/>
      <c r="AK811" s="70"/>
      <c r="AL811" s="70"/>
      <c r="AM811" s="70"/>
      <c r="AN811" s="70"/>
      <c r="AO811" s="70"/>
      <c r="AP811" s="70"/>
      <c r="AQ811" s="70"/>
      <c r="AR811" s="70"/>
      <c r="AS811" s="70"/>
      <c r="AT811" s="70"/>
      <c r="AU811" s="70"/>
      <c r="AV811" s="70"/>
      <c r="AW811" s="70"/>
      <c r="AX811" s="70"/>
      <c r="AY811" s="70"/>
      <c r="AZ811" s="70"/>
      <c r="BA811" s="70"/>
      <c r="BB811" s="70"/>
    </row>
    <row r="812" ht="14.25" customHeight="1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  <c r="AD812" s="70"/>
      <c r="AE812" s="70"/>
      <c r="AF812" s="70"/>
      <c r="AG812" s="70"/>
      <c r="AH812" s="70"/>
      <c r="AI812" s="70"/>
      <c r="AJ812" s="70"/>
      <c r="AK812" s="70"/>
      <c r="AL812" s="70"/>
      <c r="AM812" s="70"/>
      <c r="AN812" s="70"/>
      <c r="AO812" s="70"/>
      <c r="AP812" s="70"/>
      <c r="AQ812" s="70"/>
      <c r="AR812" s="70"/>
      <c r="AS812" s="70"/>
      <c r="AT812" s="70"/>
      <c r="AU812" s="70"/>
      <c r="AV812" s="70"/>
      <c r="AW812" s="70"/>
      <c r="AX812" s="70"/>
      <c r="AY812" s="70"/>
      <c r="AZ812" s="70"/>
      <c r="BA812" s="70"/>
      <c r="BB812" s="70"/>
    </row>
    <row r="813" ht="14.25" customHeight="1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  <c r="AD813" s="70"/>
      <c r="AE813" s="70"/>
      <c r="AF813" s="70"/>
      <c r="AG813" s="70"/>
      <c r="AH813" s="70"/>
      <c r="AI813" s="70"/>
      <c r="AJ813" s="70"/>
      <c r="AK813" s="70"/>
      <c r="AL813" s="70"/>
      <c r="AM813" s="70"/>
      <c r="AN813" s="70"/>
      <c r="AO813" s="70"/>
      <c r="AP813" s="70"/>
      <c r="AQ813" s="70"/>
      <c r="AR813" s="70"/>
      <c r="AS813" s="70"/>
      <c r="AT813" s="70"/>
      <c r="AU813" s="70"/>
      <c r="AV813" s="70"/>
      <c r="AW813" s="70"/>
      <c r="AX813" s="70"/>
      <c r="AY813" s="70"/>
      <c r="AZ813" s="70"/>
      <c r="BA813" s="70"/>
      <c r="BB813" s="70"/>
    </row>
    <row r="814" ht="14.25" customHeight="1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  <c r="AD814" s="70"/>
      <c r="AE814" s="70"/>
      <c r="AF814" s="70"/>
      <c r="AG814" s="70"/>
      <c r="AH814" s="70"/>
      <c r="AI814" s="70"/>
      <c r="AJ814" s="70"/>
      <c r="AK814" s="70"/>
      <c r="AL814" s="70"/>
      <c r="AM814" s="70"/>
      <c r="AN814" s="70"/>
      <c r="AO814" s="70"/>
      <c r="AP814" s="70"/>
      <c r="AQ814" s="70"/>
      <c r="AR814" s="70"/>
      <c r="AS814" s="70"/>
      <c r="AT814" s="70"/>
      <c r="AU814" s="70"/>
      <c r="AV814" s="70"/>
      <c r="AW814" s="70"/>
      <c r="AX814" s="70"/>
      <c r="AY814" s="70"/>
      <c r="AZ814" s="70"/>
      <c r="BA814" s="70"/>
      <c r="BB814" s="70"/>
    </row>
    <row r="815" ht="14.25" customHeight="1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  <c r="AD815" s="70"/>
      <c r="AE815" s="70"/>
      <c r="AF815" s="70"/>
      <c r="AG815" s="70"/>
      <c r="AH815" s="70"/>
      <c r="AI815" s="70"/>
      <c r="AJ815" s="70"/>
      <c r="AK815" s="70"/>
      <c r="AL815" s="70"/>
      <c r="AM815" s="70"/>
      <c r="AN815" s="70"/>
      <c r="AO815" s="70"/>
      <c r="AP815" s="70"/>
      <c r="AQ815" s="70"/>
      <c r="AR815" s="70"/>
      <c r="AS815" s="70"/>
      <c r="AT815" s="70"/>
      <c r="AU815" s="70"/>
      <c r="AV815" s="70"/>
      <c r="AW815" s="70"/>
      <c r="AX815" s="70"/>
      <c r="AY815" s="70"/>
      <c r="AZ815" s="70"/>
      <c r="BA815" s="70"/>
      <c r="BB815" s="70"/>
    </row>
    <row r="816" ht="14.25" customHeight="1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  <c r="AD816" s="70"/>
      <c r="AE816" s="70"/>
      <c r="AF816" s="70"/>
      <c r="AG816" s="70"/>
      <c r="AH816" s="70"/>
      <c r="AI816" s="70"/>
      <c r="AJ816" s="70"/>
      <c r="AK816" s="70"/>
      <c r="AL816" s="70"/>
      <c r="AM816" s="70"/>
      <c r="AN816" s="70"/>
      <c r="AO816" s="70"/>
      <c r="AP816" s="70"/>
      <c r="AQ816" s="70"/>
      <c r="AR816" s="70"/>
      <c r="AS816" s="70"/>
      <c r="AT816" s="70"/>
      <c r="AU816" s="70"/>
      <c r="AV816" s="70"/>
      <c r="AW816" s="70"/>
      <c r="AX816" s="70"/>
      <c r="AY816" s="70"/>
      <c r="AZ816" s="70"/>
      <c r="BA816" s="70"/>
      <c r="BB816" s="70"/>
    </row>
    <row r="817" ht="14.25" customHeight="1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  <c r="AD817" s="70"/>
      <c r="AE817" s="70"/>
      <c r="AF817" s="70"/>
      <c r="AG817" s="70"/>
      <c r="AH817" s="70"/>
      <c r="AI817" s="70"/>
      <c r="AJ817" s="70"/>
      <c r="AK817" s="70"/>
      <c r="AL817" s="70"/>
      <c r="AM817" s="70"/>
      <c r="AN817" s="70"/>
      <c r="AO817" s="70"/>
      <c r="AP817" s="70"/>
      <c r="AQ817" s="70"/>
      <c r="AR817" s="70"/>
      <c r="AS817" s="70"/>
      <c r="AT817" s="70"/>
      <c r="AU817" s="70"/>
      <c r="AV817" s="70"/>
      <c r="AW817" s="70"/>
      <c r="AX817" s="70"/>
      <c r="AY817" s="70"/>
      <c r="AZ817" s="70"/>
      <c r="BA817" s="70"/>
      <c r="BB817" s="70"/>
    </row>
    <row r="818" ht="14.25" customHeight="1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  <c r="AD818" s="70"/>
      <c r="AE818" s="70"/>
      <c r="AF818" s="70"/>
      <c r="AG818" s="70"/>
      <c r="AH818" s="70"/>
      <c r="AI818" s="70"/>
      <c r="AJ818" s="70"/>
      <c r="AK818" s="70"/>
      <c r="AL818" s="70"/>
      <c r="AM818" s="70"/>
      <c r="AN818" s="70"/>
      <c r="AO818" s="70"/>
      <c r="AP818" s="70"/>
      <c r="AQ818" s="70"/>
      <c r="AR818" s="70"/>
      <c r="AS818" s="70"/>
      <c r="AT818" s="70"/>
      <c r="AU818" s="70"/>
      <c r="AV818" s="70"/>
      <c r="AW818" s="70"/>
      <c r="AX818" s="70"/>
      <c r="AY818" s="70"/>
      <c r="AZ818" s="70"/>
      <c r="BA818" s="70"/>
      <c r="BB818" s="70"/>
    </row>
    <row r="819" ht="14.25" customHeight="1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  <c r="AD819" s="70"/>
      <c r="AE819" s="70"/>
      <c r="AF819" s="70"/>
      <c r="AG819" s="70"/>
      <c r="AH819" s="70"/>
      <c r="AI819" s="70"/>
      <c r="AJ819" s="70"/>
      <c r="AK819" s="70"/>
      <c r="AL819" s="70"/>
      <c r="AM819" s="70"/>
      <c r="AN819" s="70"/>
      <c r="AO819" s="70"/>
      <c r="AP819" s="70"/>
      <c r="AQ819" s="70"/>
      <c r="AR819" s="70"/>
      <c r="AS819" s="70"/>
      <c r="AT819" s="70"/>
      <c r="AU819" s="70"/>
      <c r="AV819" s="70"/>
      <c r="AW819" s="70"/>
      <c r="AX819" s="70"/>
      <c r="AY819" s="70"/>
      <c r="AZ819" s="70"/>
      <c r="BA819" s="70"/>
      <c r="BB819" s="70"/>
    </row>
    <row r="820" ht="14.25" customHeight="1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  <c r="AD820" s="70"/>
      <c r="AE820" s="70"/>
      <c r="AF820" s="70"/>
      <c r="AG820" s="70"/>
      <c r="AH820" s="70"/>
      <c r="AI820" s="70"/>
      <c r="AJ820" s="70"/>
      <c r="AK820" s="70"/>
      <c r="AL820" s="70"/>
      <c r="AM820" s="70"/>
      <c r="AN820" s="70"/>
      <c r="AO820" s="70"/>
      <c r="AP820" s="70"/>
      <c r="AQ820" s="70"/>
      <c r="AR820" s="70"/>
      <c r="AS820" s="70"/>
      <c r="AT820" s="70"/>
      <c r="AU820" s="70"/>
      <c r="AV820" s="70"/>
      <c r="AW820" s="70"/>
      <c r="AX820" s="70"/>
      <c r="AY820" s="70"/>
      <c r="AZ820" s="70"/>
      <c r="BA820" s="70"/>
      <c r="BB820" s="70"/>
    </row>
    <row r="821" ht="14.25" customHeight="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  <c r="AD821" s="70"/>
      <c r="AE821" s="70"/>
      <c r="AF821" s="70"/>
      <c r="AG821" s="70"/>
      <c r="AH821" s="70"/>
      <c r="AI821" s="70"/>
      <c r="AJ821" s="70"/>
      <c r="AK821" s="70"/>
      <c r="AL821" s="70"/>
      <c r="AM821" s="70"/>
      <c r="AN821" s="70"/>
      <c r="AO821" s="70"/>
      <c r="AP821" s="70"/>
      <c r="AQ821" s="70"/>
      <c r="AR821" s="70"/>
      <c r="AS821" s="70"/>
      <c r="AT821" s="70"/>
      <c r="AU821" s="70"/>
      <c r="AV821" s="70"/>
      <c r="AW821" s="70"/>
      <c r="AX821" s="70"/>
      <c r="AY821" s="70"/>
      <c r="AZ821" s="70"/>
      <c r="BA821" s="70"/>
      <c r="BB821" s="70"/>
    </row>
    <row r="822" ht="14.25" customHeight="1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  <c r="AD822" s="70"/>
      <c r="AE822" s="70"/>
      <c r="AF822" s="70"/>
      <c r="AG822" s="70"/>
      <c r="AH822" s="70"/>
      <c r="AI822" s="70"/>
      <c r="AJ822" s="70"/>
      <c r="AK822" s="70"/>
      <c r="AL822" s="70"/>
      <c r="AM822" s="70"/>
      <c r="AN822" s="70"/>
      <c r="AO822" s="70"/>
      <c r="AP822" s="70"/>
      <c r="AQ822" s="70"/>
      <c r="AR822" s="70"/>
      <c r="AS822" s="70"/>
      <c r="AT822" s="70"/>
      <c r="AU822" s="70"/>
      <c r="AV822" s="70"/>
      <c r="AW822" s="70"/>
      <c r="AX822" s="70"/>
      <c r="AY822" s="70"/>
      <c r="AZ822" s="70"/>
      <c r="BA822" s="70"/>
      <c r="BB822" s="70"/>
    </row>
    <row r="823" ht="14.25" customHeight="1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  <c r="AD823" s="70"/>
      <c r="AE823" s="70"/>
      <c r="AF823" s="70"/>
      <c r="AG823" s="70"/>
      <c r="AH823" s="70"/>
      <c r="AI823" s="70"/>
      <c r="AJ823" s="70"/>
      <c r="AK823" s="70"/>
      <c r="AL823" s="70"/>
      <c r="AM823" s="70"/>
      <c r="AN823" s="70"/>
      <c r="AO823" s="70"/>
      <c r="AP823" s="70"/>
      <c r="AQ823" s="70"/>
      <c r="AR823" s="70"/>
      <c r="AS823" s="70"/>
      <c r="AT823" s="70"/>
      <c r="AU823" s="70"/>
      <c r="AV823" s="70"/>
      <c r="AW823" s="70"/>
      <c r="AX823" s="70"/>
      <c r="AY823" s="70"/>
      <c r="AZ823" s="70"/>
      <c r="BA823" s="70"/>
      <c r="BB823" s="70"/>
    </row>
    <row r="824" ht="14.25" customHeight="1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  <c r="AD824" s="70"/>
      <c r="AE824" s="70"/>
      <c r="AF824" s="70"/>
      <c r="AG824" s="70"/>
      <c r="AH824" s="70"/>
      <c r="AI824" s="70"/>
      <c r="AJ824" s="70"/>
      <c r="AK824" s="70"/>
      <c r="AL824" s="70"/>
      <c r="AM824" s="70"/>
      <c r="AN824" s="70"/>
      <c r="AO824" s="70"/>
      <c r="AP824" s="70"/>
      <c r="AQ824" s="70"/>
      <c r="AR824" s="70"/>
      <c r="AS824" s="70"/>
      <c r="AT824" s="70"/>
      <c r="AU824" s="70"/>
      <c r="AV824" s="70"/>
      <c r="AW824" s="70"/>
      <c r="AX824" s="70"/>
      <c r="AY824" s="70"/>
      <c r="AZ824" s="70"/>
      <c r="BA824" s="70"/>
      <c r="BB824" s="70"/>
    </row>
    <row r="825" ht="14.25" customHeight="1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  <c r="AD825" s="70"/>
      <c r="AE825" s="70"/>
      <c r="AF825" s="70"/>
      <c r="AG825" s="70"/>
      <c r="AH825" s="70"/>
      <c r="AI825" s="70"/>
      <c r="AJ825" s="70"/>
      <c r="AK825" s="70"/>
      <c r="AL825" s="70"/>
      <c r="AM825" s="70"/>
      <c r="AN825" s="70"/>
      <c r="AO825" s="70"/>
      <c r="AP825" s="70"/>
      <c r="AQ825" s="70"/>
      <c r="AR825" s="70"/>
      <c r="AS825" s="70"/>
      <c r="AT825" s="70"/>
      <c r="AU825" s="70"/>
      <c r="AV825" s="70"/>
      <c r="AW825" s="70"/>
      <c r="AX825" s="70"/>
      <c r="AY825" s="70"/>
      <c r="AZ825" s="70"/>
      <c r="BA825" s="70"/>
      <c r="BB825" s="70"/>
    </row>
    <row r="826" ht="14.25" customHeight="1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  <c r="AD826" s="70"/>
      <c r="AE826" s="70"/>
      <c r="AF826" s="70"/>
      <c r="AG826" s="70"/>
      <c r="AH826" s="70"/>
      <c r="AI826" s="70"/>
      <c r="AJ826" s="70"/>
      <c r="AK826" s="70"/>
      <c r="AL826" s="70"/>
      <c r="AM826" s="70"/>
      <c r="AN826" s="70"/>
      <c r="AO826" s="70"/>
      <c r="AP826" s="70"/>
      <c r="AQ826" s="70"/>
      <c r="AR826" s="70"/>
      <c r="AS826" s="70"/>
      <c r="AT826" s="70"/>
      <c r="AU826" s="70"/>
      <c r="AV826" s="70"/>
      <c r="AW826" s="70"/>
      <c r="AX826" s="70"/>
      <c r="AY826" s="70"/>
      <c r="AZ826" s="70"/>
      <c r="BA826" s="70"/>
      <c r="BB826" s="70"/>
    </row>
    <row r="827" ht="14.25" customHeight="1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  <c r="AD827" s="70"/>
      <c r="AE827" s="70"/>
      <c r="AF827" s="70"/>
      <c r="AG827" s="70"/>
      <c r="AH827" s="70"/>
      <c r="AI827" s="70"/>
      <c r="AJ827" s="70"/>
      <c r="AK827" s="70"/>
      <c r="AL827" s="70"/>
      <c r="AM827" s="70"/>
      <c r="AN827" s="70"/>
      <c r="AO827" s="70"/>
      <c r="AP827" s="70"/>
      <c r="AQ827" s="70"/>
      <c r="AR827" s="70"/>
      <c r="AS827" s="70"/>
      <c r="AT827" s="70"/>
      <c r="AU827" s="70"/>
      <c r="AV827" s="70"/>
      <c r="AW827" s="70"/>
      <c r="AX827" s="70"/>
      <c r="AY827" s="70"/>
      <c r="AZ827" s="70"/>
      <c r="BA827" s="70"/>
      <c r="BB827" s="70"/>
    </row>
    <row r="828" ht="14.25" customHeight="1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  <c r="AD828" s="70"/>
      <c r="AE828" s="70"/>
      <c r="AF828" s="70"/>
      <c r="AG828" s="70"/>
      <c r="AH828" s="70"/>
      <c r="AI828" s="70"/>
      <c r="AJ828" s="70"/>
      <c r="AK828" s="70"/>
      <c r="AL828" s="70"/>
      <c r="AM828" s="70"/>
      <c r="AN828" s="70"/>
      <c r="AO828" s="70"/>
      <c r="AP828" s="70"/>
      <c r="AQ828" s="70"/>
      <c r="AR828" s="70"/>
      <c r="AS828" s="70"/>
      <c r="AT828" s="70"/>
      <c r="AU828" s="70"/>
      <c r="AV828" s="70"/>
      <c r="AW828" s="70"/>
      <c r="AX828" s="70"/>
      <c r="AY828" s="70"/>
      <c r="AZ828" s="70"/>
      <c r="BA828" s="70"/>
      <c r="BB828" s="70"/>
    </row>
    <row r="829" ht="14.25" customHeight="1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  <c r="AD829" s="70"/>
      <c r="AE829" s="70"/>
      <c r="AF829" s="70"/>
      <c r="AG829" s="70"/>
      <c r="AH829" s="70"/>
      <c r="AI829" s="70"/>
      <c r="AJ829" s="70"/>
      <c r="AK829" s="70"/>
      <c r="AL829" s="70"/>
      <c r="AM829" s="70"/>
      <c r="AN829" s="70"/>
      <c r="AO829" s="70"/>
      <c r="AP829" s="70"/>
      <c r="AQ829" s="70"/>
      <c r="AR829" s="70"/>
      <c r="AS829" s="70"/>
      <c r="AT829" s="70"/>
      <c r="AU829" s="70"/>
      <c r="AV829" s="70"/>
      <c r="AW829" s="70"/>
      <c r="AX829" s="70"/>
      <c r="AY829" s="70"/>
      <c r="AZ829" s="70"/>
      <c r="BA829" s="70"/>
      <c r="BB829" s="70"/>
    </row>
    <row r="830" ht="14.25" customHeight="1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  <c r="AD830" s="70"/>
      <c r="AE830" s="70"/>
      <c r="AF830" s="70"/>
      <c r="AG830" s="70"/>
      <c r="AH830" s="70"/>
      <c r="AI830" s="70"/>
      <c r="AJ830" s="70"/>
      <c r="AK830" s="70"/>
      <c r="AL830" s="70"/>
      <c r="AM830" s="70"/>
      <c r="AN830" s="70"/>
      <c r="AO830" s="70"/>
      <c r="AP830" s="70"/>
      <c r="AQ830" s="70"/>
      <c r="AR830" s="70"/>
      <c r="AS830" s="70"/>
      <c r="AT830" s="70"/>
      <c r="AU830" s="70"/>
      <c r="AV830" s="70"/>
      <c r="AW830" s="70"/>
      <c r="AX830" s="70"/>
      <c r="AY830" s="70"/>
      <c r="AZ830" s="70"/>
      <c r="BA830" s="70"/>
      <c r="BB830" s="70"/>
    </row>
    <row r="831" ht="14.25" customHeight="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  <c r="AD831" s="70"/>
      <c r="AE831" s="70"/>
      <c r="AF831" s="70"/>
      <c r="AG831" s="70"/>
      <c r="AH831" s="70"/>
      <c r="AI831" s="70"/>
      <c r="AJ831" s="70"/>
      <c r="AK831" s="70"/>
      <c r="AL831" s="70"/>
      <c r="AM831" s="70"/>
      <c r="AN831" s="70"/>
      <c r="AO831" s="70"/>
      <c r="AP831" s="70"/>
      <c r="AQ831" s="70"/>
      <c r="AR831" s="70"/>
      <c r="AS831" s="70"/>
      <c r="AT831" s="70"/>
      <c r="AU831" s="70"/>
      <c r="AV831" s="70"/>
      <c r="AW831" s="70"/>
      <c r="AX831" s="70"/>
      <c r="AY831" s="70"/>
      <c r="AZ831" s="70"/>
      <c r="BA831" s="70"/>
      <c r="BB831" s="70"/>
    </row>
    <row r="832" ht="14.25" customHeight="1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  <c r="AD832" s="70"/>
      <c r="AE832" s="70"/>
      <c r="AF832" s="70"/>
      <c r="AG832" s="70"/>
      <c r="AH832" s="70"/>
      <c r="AI832" s="70"/>
      <c r="AJ832" s="70"/>
      <c r="AK832" s="70"/>
      <c r="AL832" s="70"/>
      <c r="AM832" s="70"/>
      <c r="AN832" s="70"/>
      <c r="AO832" s="70"/>
      <c r="AP832" s="70"/>
      <c r="AQ832" s="70"/>
      <c r="AR832" s="70"/>
      <c r="AS832" s="70"/>
      <c r="AT832" s="70"/>
      <c r="AU832" s="70"/>
      <c r="AV832" s="70"/>
      <c r="AW832" s="70"/>
      <c r="AX832" s="70"/>
      <c r="AY832" s="70"/>
      <c r="AZ832" s="70"/>
      <c r="BA832" s="70"/>
      <c r="BB832" s="70"/>
    </row>
    <row r="833" ht="14.25" customHeight="1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  <c r="AD833" s="70"/>
      <c r="AE833" s="70"/>
      <c r="AF833" s="70"/>
      <c r="AG833" s="70"/>
      <c r="AH833" s="70"/>
      <c r="AI833" s="70"/>
      <c r="AJ833" s="70"/>
      <c r="AK833" s="70"/>
      <c r="AL833" s="70"/>
      <c r="AM833" s="70"/>
      <c r="AN833" s="70"/>
      <c r="AO833" s="70"/>
      <c r="AP833" s="70"/>
      <c r="AQ833" s="70"/>
      <c r="AR833" s="70"/>
      <c r="AS833" s="70"/>
      <c r="AT833" s="70"/>
      <c r="AU833" s="70"/>
      <c r="AV833" s="70"/>
      <c r="AW833" s="70"/>
      <c r="AX833" s="70"/>
      <c r="AY833" s="70"/>
      <c r="AZ833" s="70"/>
      <c r="BA833" s="70"/>
      <c r="BB833" s="70"/>
    </row>
    <row r="834" ht="14.25" customHeight="1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  <c r="AD834" s="70"/>
      <c r="AE834" s="70"/>
      <c r="AF834" s="70"/>
      <c r="AG834" s="70"/>
      <c r="AH834" s="70"/>
      <c r="AI834" s="70"/>
      <c r="AJ834" s="70"/>
      <c r="AK834" s="70"/>
      <c r="AL834" s="70"/>
      <c r="AM834" s="70"/>
      <c r="AN834" s="70"/>
      <c r="AO834" s="70"/>
      <c r="AP834" s="70"/>
      <c r="AQ834" s="70"/>
      <c r="AR834" s="70"/>
      <c r="AS834" s="70"/>
      <c r="AT834" s="70"/>
      <c r="AU834" s="70"/>
      <c r="AV834" s="70"/>
      <c r="AW834" s="70"/>
      <c r="AX834" s="70"/>
      <c r="AY834" s="70"/>
      <c r="AZ834" s="70"/>
      <c r="BA834" s="70"/>
      <c r="BB834" s="70"/>
    </row>
    <row r="835" ht="14.25" customHeight="1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  <c r="AD835" s="70"/>
      <c r="AE835" s="70"/>
      <c r="AF835" s="70"/>
      <c r="AG835" s="70"/>
      <c r="AH835" s="70"/>
      <c r="AI835" s="70"/>
      <c r="AJ835" s="70"/>
      <c r="AK835" s="70"/>
      <c r="AL835" s="70"/>
      <c r="AM835" s="70"/>
      <c r="AN835" s="70"/>
      <c r="AO835" s="70"/>
      <c r="AP835" s="70"/>
      <c r="AQ835" s="70"/>
      <c r="AR835" s="70"/>
      <c r="AS835" s="70"/>
      <c r="AT835" s="70"/>
      <c r="AU835" s="70"/>
      <c r="AV835" s="70"/>
      <c r="AW835" s="70"/>
      <c r="AX835" s="70"/>
      <c r="AY835" s="70"/>
      <c r="AZ835" s="70"/>
      <c r="BA835" s="70"/>
      <c r="BB835" s="70"/>
    </row>
    <row r="836" ht="14.25" customHeight="1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  <c r="AD836" s="70"/>
      <c r="AE836" s="70"/>
      <c r="AF836" s="70"/>
      <c r="AG836" s="70"/>
      <c r="AH836" s="70"/>
      <c r="AI836" s="70"/>
      <c r="AJ836" s="70"/>
      <c r="AK836" s="70"/>
      <c r="AL836" s="70"/>
      <c r="AM836" s="70"/>
      <c r="AN836" s="70"/>
      <c r="AO836" s="70"/>
      <c r="AP836" s="70"/>
      <c r="AQ836" s="70"/>
      <c r="AR836" s="70"/>
      <c r="AS836" s="70"/>
      <c r="AT836" s="70"/>
      <c r="AU836" s="70"/>
      <c r="AV836" s="70"/>
      <c r="AW836" s="70"/>
      <c r="AX836" s="70"/>
      <c r="AY836" s="70"/>
      <c r="AZ836" s="70"/>
      <c r="BA836" s="70"/>
      <c r="BB836" s="70"/>
    </row>
    <row r="837" ht="14.25" customHeight="1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  <c r="AD837" s="70"/>
      <c r="AE837" s="70"/>
      <c r="AF837" s="70"/>
      <c r="AG837" s="70"/>
      <c r="AH837" s="70"/>
      <c r="AI837" s="70"/>
      <c r="AJ837" s="70"/>
      <c r="AK837" s="70"/>
      <c r="AL837" s="70"/>
      <c r="AM837" s="70"/>
      <c r="AN837" s="70"/>
      <c r="AO837" s="70"/>
      <c r="AP837" s="70"/>
      <c r="AQ837" s="70"/>
      <c r="AR837" s="70"/>
      <c r="AS837" s="70"/>
      <c r="AT837" s="70"/>
      <c r="AU837" s="70"/>
      <c r="AV837" s="70"/>
      <c r="AW837" s="70"/>
      <c r="AX837" s="70"/>
      <c r="AY837" s="70"/>
      <c r="AZ837" s="70"/>
      <c r="BA837" s="70"/>
      <c r="BB837" s="70"/>
    </row>
    <row r="838" ht="14.25" customHeight="1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  <c r="AD838" s="70"/>
      <c r="AE838" s="70"/>
      <c r="AF838" s="70"/>
      <c r="AG838" s="70"/>
      <c r="AH838" s="70"/>
      <c r="AI838" s="70"/>
      <c r="AJ838" s="70"/>
      <c r="AK838" s="70"/>
      <c r="AL838" s="70"/>
      <c r="AM838" s="70"/>
      <c r="AN838" s="70"/>
      <c r="AO838" s="70"/>
      <c r="AP838" s="70"/>
      <c r="AQ838" s="70"/>
      <c r="AR838" s="70"/>
      <c r="AS838" s="70"/>
      <c r="AT838" s="70"/>
      <c r="AU838" s="70"/>
      <c r="AV838" s="70"/>
      <c r="AW838" s="70"/>
      <c r="AX838" s="70"/>
      <c r="AY838" s="70"/>
      <c r="AZ838" s="70"/>
      <c r="BA838" s="70"/>
      <c r="BB838" s="70"/>
    </row>
    <row r="839" ht="14.25" customHeight="1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  <c r="AD839" s="70"/>
      <c r="AE839" s="70"/>
      <c r="AF839" s="70"/>
      <c r="AG839" s="70"/>
      <c r="AH839" s="70"/>
      <c r="AI839" s="70"/>
      <c r="AJ839" s="70"/>
      <c r="AK839" s="70"/>
      <c r="AL839" s="70"/>
      <c r="AM839" s="70"/>
      <c r="AN839" s="70"/>
      <c r="AO839" s="70"/>
      <c r="AP839" s="70"/>
      <c r="AQ839" s="70"/>
      <c r="AR839" s="70"/>
      <c r="AS839" s="70"/>
      <c r="AT839" s="70"/>
      <c r="AU839" s="70"/>
      <c r="AV839" s="70"/>
      <c r="AW839" s="70"/>
      <c r="AX839" s="70"/>
      <c r="AY839" s="70"/>
      <c r="AZ839" s="70"/>
      <c r="BA839" s="70"/>
      <c r="BB839" s="70"/>
    </row>
    <row r="840" ht="14.25" customHeight="1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  <c r="AD840" s="70"/>
      <c r="AE840" s="70"/>
      <c r="AF840" s="70"/>
      <c r="AG840" s="70"/>
      <c r="AH840" s="70"/>
      <c r="AI840" s="70"/>
      <c r="AJ840" s="70"/>
      <c r="AK840" s="70"/>
      <c r="AL840" s="70"/>
      <c r="AM840" s="70"/>
      <c r="AN840" s="70"/>
      <c r="AO840" s="70"/>
      <c r="AP840" s="70"/>
      <c r="AQ840" s="70"/>
      <c r="AR840" s="70"/>
      <c r="AS840" s="70"/>
      <c r="AT840" s="70"/>
      <c r="AU840" s="70"/>
      <c r="AV840" s="70"/>
      <c r="AW840" s="70"/>
      <c r="AX840" s="70"/>
      <c r="AY840" s="70"/>
      <c r="AZ840" s="70"/>
      <c r="BA840" s="70"/>
      <c r="BB840" s="70"/>
    </row>
    <row r="841" ht="14.25" customHeight="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  <c r="AD841" s="70"/>
      <c r="AE841" s="70"/>
      <c r="AF841" s="70"/>
      <c r="AG841" s="70"/>
      <c r="AH841" s="70"/>
      <c r="AI841" s="70"/>
      <c r="AJ841" s="70"/>
      <c r="AK841" s="70"/>
      <c r="AL841" s="70"/>
      <c r="AM841" s="70"/>
      <c r="AN841" s="70"/>
      <c r="AO841" s="70"/>
      <c r="AP841" s="70"/>
      <c r="AQ841" s="70"/>
      <c r="AR841" s="70"/>
      <c r="AS841" s="70"/>
      <c r="AT841" s="70"/>
      <c r="AU841" s="70"/>
      <c r="AV841" s="70"/>
      <c r="AW841" s="70"/>
      <c r="AX841" s="70"/>
      <c r="AY841" s="70"/>
      <c r="AZ841" s="70"/>
      <c r="BA841" s="70"/>
      <c r="BB841" s="70"/>
    </row>
    <row r="842" ht="14.25" customHeight="1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  <c r="AC842" s="70"/>
      <c r="AD842" s="70"/>
      <c r="AE842" s="70"/>
      <c r="AF842" s="70"/>
      <c r="AG842" s="70"/>
      <c r="AH842" s="70"/>
      <c r="AI842" s="70"/>
      <c r="AJ842" s="70"/>
      <c r="AK842" s="70"/>
      <c r="AL842" s="70"/>
      <c r="AM842" s="70"/>
      <c r="AN842" s="70"/>
      <c r="AO842" s="70"/>
      <c r="AP842" s="70"/>
      <c r="AQ842" s="70"/>
      <c r="AR842" s="70"/>
      <c r="AS842" s="70"/>
      <c r="AT842" s="70"/>
      <c r="AU842" s="70"/>
      <c r="AV842" s="70"/>
      <c r="AW842" s="70"/>
      <c r="AX842" s="70"/>
      <c r="AY842" s="70"/>
      <c r="AZ842" s="70"/>
      <c r="BA842" s="70"/>
      <c r="BB842" s="70"/>
    </row>
    <row r="843" ht="14.25" customHeight="1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  <c r="AD843" s="70"/>
      <c r="AE843" s="70"/>
      <c r="AF843" s="70"/>
      <c r="AG843" s="70"/>
      <c r="AH843" s="70"/>
      <c r="AI843" s="70"/>
      <c r="AJ843" s="70"/>
      <c r="AK843" s="70"/>
      <c r="AL843" s="70"/>
      <c r="AM843" s="70"/>
      <c r="AN843" s="70"/>
      <c r="AO843" s="70"/>
      <c r="AP843" s="70"/>
      <c r="AQ843" s="70"/>
      <c r="AR843" s="70"/>
      <c r="AS843" s="70"/>
      <c r="AT843" s="70"/>
      <c r="AU843" s="70"/>
      <c r="AV843" s="70"/>
      <c r="AW843" s="70"/>
      <c r="AX843" s="70"/>
      <c r="AY843" s="70"/>
      <c r="AZ843" s="70"/>
      <c r="BA843" s="70"/>
      <c r="BB843" s="70"/>
    </row>
    <row r="844" ht="14.25" customHeight="1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  <c r="AD844" s="70"/>
      <c r="AE844" s="70"/>
      <c r="AF844" s="70"/>
      <c r="AG844" s="70"/>
      <c r="AH844" s="70"/>
      <c r="AI844" s="70"/>
      <c r="AJ844" s="70"/>
      <c r="AK844" s="70"/>
      <c r="AL844" s="70"/>
      <c r="AM844" s="70"/>
      <c r="AN844" s="70"/>
      <c r="AO844" s="70"/>
      <c r="AP844" s="70"/>
      <c r="AQ844" s="70"/>
      <c r="AR844" s="70"/>
      <c r="AS844" s="70"/>
      <c r="AT844" s="70"/>
      <c r="AU844" s="70"/>
      <c r="AV844" s="70"/>
      <c r="AW844" s="70"/>
      <c r="AX844" s="70"/>
      <c r="AY844" s="70"/>
      <c r="AZ844" s="70"/>
      <c r="BA844" s="70"/>
      <c r="BB844" s="70"/>
    </row>
    <row r="845" ht="14.25" customHeight="1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  <c r="AD845" s="70"/>
      <c r="AE845" s="70"/>
      <c r="AF845" s="70"/>
      <c r="AG845" s="70"/>
      <c r="AH845" s="70"/>
      <c r="AI845" s="70"/>
      <c r="AJ845" s="70"/>
      <c r="AK845" s="70"/>
      <c r="AL845" s="70"/>
      <c r="AM845" s="70"/>
      <c r="AN845" s="70"/>
      <c r="AO845" s="70"/>
      <c r="AP845" s="70"/>
      <c r="AQ845" s="70"/>
      <c r="AR845" s="70"/>
      <c r="AS845" s="70"/>
      <c r="AT845" s="70"/>
      <c r="AU845" s="70"/>
      <c r="AV845" s="70"/>
      <c r="AW845" s="70"/>
      <c r="AX845" s="70"/>
      <c r="AY845" s="70"/>
      <c r="AZ845" s="70"/>
      <c r="BA845" s="70"/>
      <c r="BB845" s="70"/>
    </row>
    <row r="846" ht="14.25" customHeight="1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  <c r="AD846" s="70"/>
      <c r="AE846" s="70"/>
      <c r="AF846" s="70"/>
      <c r="AG846" s="70"/>
      <c r="AH846" s="70"/>
      <c r="AI846" s="70"/>
      <c r="AJ846" s="70"/>
      <c r="AK846" s="70"/>
      <c r="AL846" s="70"/>
      <c r="AM846" s="70"/>
      <c r="AN846" s="70"/>
      <c r="AO846" s="70"/>
      <c r="AP846" s="70"/>
      <c r="AQ846" s="70"/>
      <c r="AR846" s="70"/>
      <c r="AS846" s="70"/>
      <c r="AT846" s="70"/>
      <c r="AU846" s="70"/>
      <c r="AV846" s="70"/>
      <c r="AW846" s="70"/>
      <c r="AX846" s="70"/>
      <c r="AY846" s="70"/>
      <c r="AZ846" s="70"/>
      <c r="BA846" s="70"/>
      <c r="BB846" s="70"/>
    </row>
    <row r="847" ht="14.25" customHeight="1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  <c r="AD847" s="70"/>
      <c r="AE847" s="70"/>
      <c r="AF847" s="70"/>
      <c r="AG847" s="70"/>
      <c r="AH847" s="70"/>
      <c r="AI847" s="70"/>
      <c r="AJ847" s="70"/>
      <c r="AK847" s="70"/>
      <c r="AL847" s="70"/>
      <c r="AM847" s="70"/>
      <c r="AN847" s="70"/>
      <c r="AO847" s="70"/>
      <c r="AP847" s="70"/>
      <c r="AQ847" s="70"/>
      <c r="AR847" s="70"/>
      <c r="AS847" s="70"/>
      <c r="AT847" s="70"/>
      <c r="AU847" s="70"/>
      <c r="AV847" s="70"/>
      <c r="AW847" s="70"/>
      <c r="AX847" s="70"/>
      <c r="AY847" s="70"/>
      <c r="AZ847" s="70"/>
      <c r="BA847" s="70"/>
      <c r="BB847" s="70"/>
    </row>
    <row r="848" ht="14.25" customHeight="1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  <c r="AD848" s="70"/>
      <c r="AE848" s="70"/>
      <c r="AF848" s="70"/>
      <c r="AG848" s="70"/>
      <c r="AH848" s="70"/>
      <c r="AI848" s="70"/>
      <c r="AJ848" s="70"/>
      <c r="AK848" s="70"/>
      <c r="AL848" s="70"/>
      <c r="AM848" s="70"/>
      <c r="AN848" s="70"/>
      <c r="AO848" s="70"/>
      <c r="AP848" s="70"/>
      <c r="AQ848" s="70"/>
      <c r="AR848" s="70"/>
      <c r="AS848" s="70"/>
      <c r="AT848" s="70"/>
      <c r="AU848" s="70"/>
      <c r="AV848" s="70"/>
      <c r="AW848" s="70"/>
      <c r="AX848" s="70"/>
      <c r="AY848" s="70"/>
      <c r="AZ848" s="70"/>
      <c r="BA848" s="70"/>
      <c r="BB848" s="70"/>
    </row>
    <row r="849" ht="14.25" customHeight="1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  <c r="AD849" s="70"/>
      <c r="AE849" s="70"/>
      <c r="AF849" s="70"/>
      <c r="AG849" s="70"/>
      <c r="AH849" s="70"/>
      <c r="AI849" s="70"/>
      <c r="AJ849" s="70"/>
      <c r="AK849" s="70"/>
      <c r="AL849" s="70"/>
      <c r="AM849" s="70"/>
      <c r="AN849" s="70"/>
      <c r="AO849" s="70"/>
      <c r="AP849" s="70"/>
      <c r="AQ849" s="70"/>
      <c r="AR849" s="70"/>
      <c r="AS849" s="70"/>
      <c r="AT849" s="70"/>
      <c r="AU849" s="70"/>
      <c r="AV849" s="70"/>
      <c r="AW849" s="70"/>
      <c r="AX849" s="70"/>
      <c r="AY849" s="70"/>
      <c r="AZ849" s="70"/>
      <c r="BA849" s="70"/>
      <c r="BB849" s="70"/>
    </row>
    <row r="850" ht="14.25" customHeight="1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  <c r="AD850" s="70"/>
      <c r="AE850" s="70"/>
      <c r="AF850" s="70"/>
      <c r="AG850" s="70"/>
      <c r="AH850" s="70"/>
      <c r="AI850" s="70"/>
      <c r="AJ850" s="70"/>
      <c r="AK850" s="70"/>
      <c r="AL850" s="70"/>
      <c r="AM850" s="70"/>
      <c r="AN850" s="70"/>
      <c r="AO850" s="70"/>
      <c r="AP850" s="70"/>
      <c r="AQ850" s="70"/>
      <c r="AR850" s="70"/>
      <c r="AS850" s="70"/>
      <c r="AT850" s="70"/>
      <c r="AU850" s="70"/>
      <c r="AV850" s="70"/>
      <c r="AW850" s="70"/>
      <c r="AX850" s="70"/>
      <c r="AY850" s="70"/>
      <c r="AZ850" s="70"/>
      <c r="BA850" s="70"/>
      <c r="BB850" s="70"/>
    </row>
    <row r="851" ht="14.25" customHeight="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  <c r="AD851" s="70"/>
      <c r="AE851" s="70"/>
      <c r="AF851" s="70"/>
      <c r="AG851" s="70"/>
      <c r="AH851" s="70"/>
      <c r="AI851" s="70"/>
      <c r="AJ851" s="70"/>
      <c r="AK851" s="70"/>
      <c r="AL851" s="70"/>
      <c r="AM851" s="70"/>
      <c r="AN851" s="70"/>
      <c r="AO851" s="70"/>
      <c r="AP851" s="70"/>
      <c r="AQ851" s="70"/>
      <c r="AR851" s="70"/>
      <c r="AS851" s="70"/>
      <c r="AT851" s="70"/>
      <c r="AU851" s="70"/>
      <c r="AV851" s="70"/>
      <c r="AW851" s="70"/>
      <c r="AX851" s="70"/>
      <c r="AY851" s="70"/>
      <c r="AZ851" s="70"/>
      <c r="BA851" s="70"/>
      <c r="BB851" s="70"/>
    </row>
    <row r="852" ht="14.25" customHeight="1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  <c r="AD852" s="70"/>
      <c r="AE852" s="70"/>
      <c r="AF852" s="70"/>
      <c r="AG852" s="70"/>
      <c r="AH852" s="70"/>
      <c r="AI852" s="70"/>
      <c r="AJ852" s="70"/>
      <c r="AK852" s="70"/>
      <c r="AL852" s="70"/>
      <c r="AM852" s="70"/>
      <c r="AN852" s="70"/>
      <c r="AO852" s="70"/>
      <c r="AP852" s="70"/>
      <c r="AQ852" s="70"/>
      <c r="AR852" s="70"/>
      <c r="AS852" s="70"/>
      <c r="AT852" s="70"/>
      <c r="AU852" s="70"/>
      <c r="AV852" s="70"/>
      <c r="AW852" s="70"/>
      <c r="AX852" s="70"/>
      <c r="AY852" s="70"/>
      <c r="AZ852" s="70"/>
      <c r="BA852" s="70"/>
      <c r="BB852" s="70"/>
    </row>
    <row r="853" ht="14.25" customHeight="1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  <c r="AD853" s="70"/>
      <c r="AE853" s="70"/>
      <c r="AF853" s="70"/>
      <c r="AG853" s="70"/>
      <c r="AH853" s="70"/>
      <c r="AI853" s="70"/>
      <c r="AJ853" s="70"/>
      <c r="AK853" s="70"/>
      <c r="AL853" s="70"/>
      <c r="AM853" s="70"/>
      <c r="AN853" s="70"/>
      <c r="AO853" s="70"/>
      <c r="AP853" s="70"/>
      <c r="AQ853" s="70"/>
      <c r="AR853" s="70"/>
      <c r="AS853" s="70"/>
      <c r="AT853" s="70"/>
      <c r="AU853" s="70"/>
      <c r="AV853" s="70"/>
      <c r="AW853" s="70"/>
      <c r="AX853" s="70"/>
      <c r="AY853" s="70"/>
      <c r="AZ853" s="70"/>
      <c r="BA853" s="70"/>
      <c r="BB853" s="70"/>
    </row>
    <row r="854" ht="14.25" customHeight="1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  <c r="AD854" s="70"/>
      <c r="AE854" s="70"/>
      <c r="AF854" s="70"/>
      <c r="AG854" s="70"/>
      <c r="AH854" s="70"/>
      <c r="AI854" s="70"/>
      <c r="AJ854" s="70"/>
      <c r="AK854" s="70"/>
      <c r="AL854" s="70"/>
      <c r="AM854" s="70"/>
      <c r="AN854" s="70"/>
      <c r="AO854" s="70"/>
      <c r="AP854" s="70"/>
      <c r="AQ854" s="70"/>
      <c r="AR854" s="70"/>
      <c r="AS854" s="70"/>
      <c r="AT854" s="70"/>
      <c r="AU854" s="70"/>
      <c r="AV854" s="70"/>
      <c r="AW854" s="70"/>
      <c r="AX854" s="70"/>
      <c r="AY854" s="70"/>
      <c r="AZ854" s="70"/>
      <c r="BA854" s="70"/>
      <c r="BB854" s="70"/>
    </row>
    <row r="855" ht="14.25" customHeight="1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  <c r="AD855" s="70"/>
      <c r="AE855" s="70"/>
      <c r="AF855" s="70"/>
      <c r="AG855" s="70"/>
      <c r="AH855" s="70"/>
      <c r="AI855" s="70"/>
      <c r="AJ855" s="70"/>
      <c r="AK855" s="70"/>
      <c r="AL855" s="70"/>
      <c r="AM855" s="70"/>
      <c r="AN855" s="70"/>
      <c r="AO855" s="70"/>
      <c r="AP855" s="70"/>
      <c r="AQ855" s="70"/>
      <c r="AR855" s="70"/>
      <c r="AS855" s="70"/>
      <c r="AT855" s="70"/>
      <c r="AU855" s="70"/>
      <c r="AV855" s="70"/>
      <c r="AW855" s="70"/>
      <c r="AX855" s="70"/>
      <c r="AY855" s="70"/>
      <c r="AZ855" s="70"/>
      <c r="BA855" s="70"/>
      <c r="BB855" s="70"/>
    </row>
    <row r="856" ht="14.25" customHeight="1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  <c r="AD856" s="70"/>
      <c r="AE856" s="70"/>
      <c r="AF856" s="70"/>
      <c r="AG856" s="70"/>
      <c r="AH856" s="70"/>
      <c r="AI856" s="70"/>
      <c r="AJ856" s="70"/>
      <c r="AK856" s="70"/>
      <c r="AL856" s="70"/>
      <c r="AM856" s="70"/>
      <c r="AN856" s="70"/>
      <c r="AO856" s="70"/>
      <c r="AP856" s="70"/>
      <c r="AQ856" s="70"/>
      <c r="AR856" s="70"/>
      <c r="AS856" s="70"/>
      <c r="AT856" s="70"/>
      <c r="AU856" s="70"/>
      <c r="AV856" s="70"/>
      <c r="AW856" s="70"/>
      <c r="AX856" s="70"/>
      <c r="AY856" s="70"/>
      <c r="AZ856" s="70"/>
      <c r="BA856" s="70"/>
      <c r="BB856" s="70"/>
    </row>
    <row r="857" ht="14.25" customHeight="1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  <c r="AD857" s="70"/>
      <c r="AE857" s="70"/>
      <c r="AF857" s="70"/>
      <c r="AG857" s="70"/>
      <c r="AH857" s="70"/>
      <c r="AI857" s="70"/>
      <c r="AJ857" s="70"/>
      <c r="AK857" s="70"/>
      <c r="AL857" s="70"/>
      <c r="AM857" s="70"/>
      <c r="AN857" s="70"/>
      <c r="AO857" s="70"/>
      <c r="AP857" s="70"/>
      <c r="AQ857" s="70"/>
      <c r="AR857" s="70"/>
      <c r="AS857" s="70"/>
      <c r="AT857" s="70"/>
      <c r="AU857" s="70"/>
      <c r="AV857" s="70"/>
      <c r="AW857" s="70"/>
      <c r="AX857" s="70"/>
      <c r="AY857" s="70"/>
      <c r="AZ857" s="70"/>
      <c r="BA857" s="70"/>
      <c r="BB857" s="70"/>
    </row>
    <row r="858" ht="14.25" customHeight="1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  <c r="AD858" s="70"/>
      <c r="AE858" s="70"/>
      <c r="AF858" s="70"/>
      <c r="AG858" s="70"/>
      <c r="AH858" s="70"/>
      <c r="AI858" s="70"/>
      <c r="AJ858" s="70"/>
      <c r="AK858" s="70"/>
      <c r="AL858" s="70"/>
      <c r="AM858" s="70"/>
      <c r="AN858" s="70"/>
      <c r="AO858" s="70"/>
      <c r="AP858" s="70"/>
      <c r="AQ858" s="70"/>
      <c r="AR858" s="70"/>
      <c r="AS858" s="70"/>
      <c r="AT858" s="70"/>
      <c r="AU858" s="70"/>
      <c r="AV858" s="70"/>
      <c r="AW858" s="70"/>
      <c r="AX858" s="70"/>
      <c r="AY858" s="70"/>
      <c r="AZ858" s="70"/>
      <c r="BA858" s="70"/>
      <c r="BB858" s="70"/>
    </row>
    <row r="859" ht="14.25" customHeight="1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  <c r="AD859" s="70"/>
      <c r="AE859" s="70"/>
      <c r="AF859" s="70"/>
      <c r="AG859" s="70"/>
      <c r="AH859" s="70"/>
      <c r="AI859" s="70"/>
      <c r="AJ859" s="70"/>
      <c r="AK859" s="70"/>
      <c r="AL859" s="70"/>
      <c r="AM859" s="70"/>
      <c r="AN859" s="70"/>
      <c r="AO859" s="70"/>
      <c r="AP859" s="70"/>
      <c r="AQ859" s="70"/>
      <c r="AR859" s="70"/>
      <c r="AS859" s="70"/>
      <c r="AT859" s="70"/>
      <c r="AU859" s="70"/>
      <c r="AV859" s="70"/>
      <c r="AW859" s="70"/>
      <c r="AX859" s="70"/>
      <c r="AY859" s="70"/>
      <c r="AZ859" s="70"/>
      <c r="BA859" s="70"/>
      <c r="BB859" s="70"/>
    </row>
    <row r="860" ht="14.25" customHeight="1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  <c r="AD860" s="70"/>
      <c r="AE860" s="70"/>
      <c r="AF860" s="70"/>
      <c r="AG860" s="70"/>
      <c r="AH860" s="70"/>
      <c r="AI860" s="70"/>
      <c r="AJ860" s="70"/>
      <c r="AK860" s="70"/>
      <c r="AL860" s="70"/>
      <c r="AM860" s="70"/>
      <c r="AN860" s="70"/>
      <c r="AO860" s="70"/>
      <c r="AP860" s="70"/>
      <c r="AQ860" s="70"/>
      <c r="AR860" s="70"/>
      <c r="AS860" s="70"/>
      <c r="AT860" s="70"/>
      <c r="AU860" s="70"/>
      <c r="AV860" s="70"/>
      <c r="AW860" s="70"/>
      <c r="AX860" s="70"/>
      <c r="AY860" s="70"/>
      <c r="AZ860" s="70"/>
      <c r="BA860" s="70"/>
      <c r="BB860" s="70"/>
    </row>
    <row r="861" ht="14.25" customHeight="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  <c r="AD861" s="70"/>
      <c r="AE861" s="70"/>
      <c r="AF861" s="70"/>
      <c r="AG861" s="70"/>
      <c r="AH861" s="70"/>
      <c r="AI861" s="70"/>
      <c r="AJ861" s="70"/>
      <c r="AK861" s="70"/>
      <c r="AL861" s="70"/>
      <c r="AM861" s="70"/>
      <c r="AN861" s="70"/>
      <c r="AO861" s="70"/>
      <c r="AP861" s="70"/>
      <c r="AQ861" s="70"/>
      <c r="AR861" s="70"/>
      <c r="AS861" s="70"/>
      <c r="AT861" s="70"/>
      <c r="AU861" s="70"/>
      <c r="AV861" s="70"/>
      <c r="AW861" s="70"/>
      <c r="AX861" s="70"/>
      <c r="AY861" s="70"/>
      <c r="AZ861" s="70"/>
      <c r="BA861" s="70"/>
      <c r="BB861" s="70"/>
    </row>
    <row r="862" ht="14.25" customHeight="1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  <c r="AD862" s="70"/>
      <c r="AE862" s="70"/>
      <c r="AF862" s="70"/>
      <c r="AG862" s="70"/>
      <c r="AH862" s="70"/>
      <c r="AI862" s="70"/>
      <c r="AJ862" s="70"/>
      <c r="AK862" s="70"/>
      <c r="AL862" s="70"/>
      <c r="AM862" s="70"/>
      <c r="AN862" s="70"/>
      <c r="AO862" s="70"/>
      <c r="AP862" s="70"/>
      <c r="AQ862" s="70"/>
      <c r="AR862" s="70"/>
      <c r="AS862" s="70"/>
      <c r="AT862" s="70"/>
      <c r="AU862" s="70"/>
      <c r="AV862" s="70"/>
      <c r="AW862" s="70"/>
      <c r="AX862" s="70"/>
      <c r="AY862" s="70"/>
      <c r="AZ862" s="70"/>
      <c r="BA862" s="70"/>
      <c r="BB862" s="70"/>
    </row>
    <row r="863" ht="14.25" customHeight="1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  <c r="AD863" s="70"/>
      <c r="AE863" s="70"/>
      <c r="AF863" s="70"/>
      <c r="AG863" s="70"/>
      <c r="AH863" s="70"/>
      <c r="AI863" s="70"/>
      <c r="AJ863" s="70"/>
      <c r="AK863" s="70"/>
      <c r="AL863" s="70"/>
      <c r="AM863" s="70"/>
      <c r="AN863" s="70"/>
      <c r="AO863" s="70"/>
      <c r="AP863" s="70"/>
      <c r="AQ863" s="70"/>
      <c r="AR863" s="70"/>
      <c r="AS863" s="70"/>
      <c r="AT863" s="70"/>
      <c r="AU863" s="70"/>
      <c r="AV863" s="70"/>
      <c r="AW863" s="70"/>
      <c r="AX863" s="70"/>
      <c r="AY863" s="70"/>
      <c r="AZ863" s="70"/>
      <c r="BA863" s="70"/>
      <c r="BB863" s="70"/>
    </row>
    <row r="864" ht="14.25" customHeight="1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  <c r="AD864" s="70"/>
      <c r="AE864" s="70"/>
      <c r="AF864" s="70"/>
      <c r="AG864" s="70"/>
      <c r="AH864" s="70"/>
      <c r="AI864" s="70"/>
      <c r="AJ864" s="70"/>
      <c r="AK864" s="70"/>
      <c r="AL864" s="70"/>
      <c r="AM864" s="70"/>
      <c r="AN864" s="70"/>
      <c r="AO864" s="70"/>
      <c r="AP864" s="70"/>
      <c r="AQ864" s="70"/>
      <c r="AR864" s="70"/>
      <c r="AS864" s="70"/>
      <c r="AT864" s="70"/>
      <c r="AU864" s="70"/>
      <c r="AV864" s="70"/>
      <c r="AW864" s="70"/>
      <c r="AX864" s="70"/>
      <c r="AY864" s="70"/>
      <c r="AZ864" s="70"/>
      <c r="BA864" s="70"/>
      <c r="BB864" s="70"/>
    </row>
    <row r="865" ht="14.25" customHeight="1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  <c r="AD865" s="70"/>
      <c r="AE865" s="70"/>
      <c r="AF865" s="70"/>
      <c r="AG865" s="70"/>
      <c r="AH865" s="70"/>
      <c r="AI865" s="70"/>
      <c r="AJ865" s="70"/>
      <c r="AK865" s="70"/>
      <c r="AL865" s="70"/>
      <c r="AM865" s="70"/>
      <c r="AN865" s="70"/>
      <c r="AO865" s="70"/>
      <c r="AP865" s="70"/>
      <c r="AQ865" s="70"/>
      <c r="AR865" s="70"/>
      <c r="AS865" s="70"/>
      <c r="AT865" s="70"/>
      <c r="AU865" s="70"/>
      <c r="AV865" s="70"/>
      <c r="AW865" s="70"/>
      <c r="AX865" s="70"/>
      <c r="AY865" s="70"/>
      <c r="AZ865" s="70"/>
      <c r="BA865" s="70"/>
      <c r="BB865" s="70"/>
    </row>
    <row r="866" ht="14.25" customHeight="1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  <c r="AC866" s="70"/>
      <c r="AD866" s="70"/>
      <c r="AE866" s="70"/>
      <c r="AF866" s="70"/>
      <c r="AG866" s="70"/>
      <c r="AH866" s="70"/>
      <c r="AI866" s="70"/>
      <c r="AJ866" s="70"/>
      <c r="AK866" s="70"/>
      <c r="AL866" s="70"/>
      <c r="AM866" s="70"/>
      <c r="AN866" s="70"/>
      <c r="AO866" s="70"/>
      <c r="AP866" s="70"/>
      <c r="AQ866" s="70"/>
      <c r="AR866" s="70"/>
      <c r="AS866" s="70"/>
      <c r="AT866" s="70"/>
      <c r="AU866" s="70"/>
      <c r="AV866" s="70"/>
      <c r="AW866" s="70"/>
      <c r="AX866" s="70"/>
      <c r="AY866" s="70"/>
      <c r="AZ866" s="70"/>
      <c r="BA866" s="70"/>
      <c r="BB866" s="70"/>
    </row>
    <row r="867" ht="14.25" customHeight="1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  <c r="AD867" s="70"/>
      <c r="AE867" s="70"/>
      <c r="AF867" s="70"/>
      <c r="AG867" s="70"/>
      <c r="AH867" s="70"/>
      <c r="AI867" s="70"/>
      <c r="AJ867" s="70"/>
      <c r="AK867" s="70"/>
      <c r="AL867" s="70"/>
      <c r="AM867" s="70"/>
      <c r="AN867" s="70"/>
      <c r="AO867" s="70"/>
      <c r="AP867" s="70"/>
      <c r="AQ867" s="70"/>
      <c r="AR867" s="70"/>
      <c r="AS867" s="70"/>
      <c r="AT867" s="70"/>
      <c r="AU867" s="70"/>
      <c r="AV867" s="70"/>
      <c r="AW867" s="70"/>
      <c r="AX867" s="70"/>
      <c r="AY867" s="70"/>
      <c r="AZ867" s="70"/>
      <c r="BA867" s="70"/>
      <c r="BB867" s="70"/>
    </row>
    <row r="868" ht="14.25" customHeight="1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  <c r="AD868" s="70"/>
      <c r="AE868" s="70"/>
      <c r="AF868" s="70"/>
      <c r="AG868" s="70"/>
      <c r="AH868" s="70"/>
      <c r="AI868" s="70"/>
      <c r="AJ868" s="70"/>
      <c r="AK868" s="70"/>
      <c r="AL868" s="70"/>
      <c r="AM868" s="70"/>
      <c r="AN868" s="70"/>
      <c r="AO868" s="70"/>
      <c r="AP868" s="70"/>
      <c r="AQ868" s="70"/>
      <c r="AR868" s="70"/>
      <c r="AS868" s="70"/>
      <c r="AT868" s="70"/>
      <c r="AU868" s="70"/>
      <c r="AV868" s="70"/>
      <c r="AW868" s="70"/>
      <c r="AX868" s="70"/>
      <c r="AY868" s="70"/>
      <c r="AZ868" s="70"/>
      <c r="BA868" s="70"/>
      <c r="BB868" s="70"/>
    </row>
    <row r="869" ht="14.25" customHeight="1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  <c r="AD869" s="70"/>
      <c r="AE869" s="70"/>
      <c r="AF869" s="70"/>
      <c r="AG869" s="70"/>
      <c r="AH869" s="70"/>
      <c r="AI869" s="70"/>
      <c r="AJ869" s="70"/>
      <c r="AK869" s="70"/>
      <c r="AL869" s="70"/>
      <c r="AM869" s="70"/>
      <c r="AN869" s="70"/>
      <c r="AO869" s="70"/>
      <c r="AP869" s="70"/>
      <c r="AQ869" s="70"/>
      <c r="AR869" s="70"/>
      <c r="AS869" s="70"/>
      <c r="AT869" s="70"/>
      <c r="AU869" s="70"/>
      <c r="AV869" s="70"/>
      <c r="AW869" s="70"/>
      <c r="AX869" s="70"/>
      <c r="AY869" s="70"/>
      <c r="AZ869" s="70"/>
      <c r="BA869" s="70"/>
      <c r="BB869" s="70"/>
    </row>
    <row r="870" ht="14.25" customHeight="1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  <c r="AC870" s="70"/>
      <c r="AD870" s="70"/>
      <c r="AE870" s="70"/>
      <c r="AF870" s="70"/>
      <c r="AG870" s="70"/>
      <c r="AH870" s="70"/>
      <c r="AI870" s="70"/>
      <c r="AJ870" s="70"/>
      <c r="AK870" s="70"/>
      <c r="AL870" s="70"/>
      <c r="AM870" s="70"/>
      <c r="AN870" s="70"/>
      <c r="AO870" s="70"/>
      <c r="AP870" s="70"/>
      <c r="AQ870" s="70"/>
      <c r="AR870" s="70"/>
      <c r="AS870" s="70"/>
      <c r="AT870" s="70"/>
      <c r="AU870" s="70"/>
      <c r="AV870" s="70"/>
      <c r="AW870" s="70"/>
      <c r="AX870" s="70"/>
      <c r="AY870" s="70"/>
      <c r="AZ870" s="70"/>
      <c r="BA870" s="70"/>
      <c r="BB870" s="70"/>
    </row>
    <row r="871" ht="14.25" customHeight="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  <c r="AD871" s="70"/>
      <c r="AE871" s="70"/>
      <c r="AF871" s="70"/>
      <c r="AG871" s="70"/>
      <c r="AH871" s="70"/>
      <c r="AI871" s="70"/>
      <c r="AJ871" s="70"/>
      <c r="AK871" s="70"/>
      <c r="AL871" s="70"/>
      <c r="AM871" s="70"/>
      <c r="AN871" s="70"/>
      <c r="AO871" s="70"/>
      <c r="AP871" s="70"/>
      <c r="AQ871" s="70"/>
      <c r="AR871" s="70"/>
      <c r="AS871" s="70"/>
      <c r="AT871" s="70"/>
      <c r="AU871" s="70"/>
      <c r="AV871" s="70"/>
      <c r="AW871" s="70"/>
      <c r="AX871" s="70"/>
      <c r="AY871" s="70"/>
      <c r="AZ871" s="70"/>
      <c r="BA871" s="70"/>
      <c r="BB871" s="70"/>
    </row>
    <row r="872" ht="14.25" customHeight="1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  <c r="AC872" s="70"/>
      <c r="AD872" s="70"/>
      <c r="AE872" s="70"/>
      <c r="AF872" s="70"/>
      <c r="AG872" s="70"/>
      <c r="AH872" s="70"/>
      <c r="AI872" s="70"/>
      <c r="AJ872" s="70"/>
      <c r="AK872" s="70"/>
      <c r="AL872" s="70"/>
      <c r="AM872" s="70"/>
      <c r="AN872" s="70"/>
      <c r="AO872" s="70"/>
      <c r="AP872" s="70"/>
      <c r="AQ872" s="70"/>
      <c r="AR872" s="70"/>
      <c r="AS872" s="70"/>
      <c r="AT872" s="70"/>
      <c r="AU872" s="70"/>
      <c r="AV872" s="70"/>
      <c r="AW872" s="70"/>
      <c r="AX872" s="70"/>
      <c r="AY872" s="70"/>
      <c r="AZ872" s="70"/>
      <c r="BA872" s="70"/>
      <c r="BB872" s="70"/>
    </row>
    <row r="873" ht="14.25" customHeight="1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  <c r="AD873" s="70"/>
      <c r="AE873" s="70"/>
      <c r="AF873" s="70"/>
      <c r="AG873" s="70"/>
      <c r="AH873" s="70"/>
      <c r="AI873" s="70"/>
      <c r="AJ873" s="70"/>
      <c r="AK873" s="70"/>
      <c r="AL873" s="70"/>
      <c r="AM873" s="70"/>
      <c r="AN873" s="70"/>
      <c r="AO873" s="70"/>
      <c r="AP873" s="70"/>
      <c r="AQ873" s="70"/>
      <c r="AR873" s="70"/>
      <c r="AS873" s="70"/>
      <c r="AT873" s="70"/>
      <c r="AU873" s="70"/>
      <c r="AV873" s="70"/>
      <c r="AW873" s="70"/>
      <c r="AX873" s="70"/>
      <c r="AY873" s="70"/>
      <c r="AZ873" s="70"/>
      <c r="BA873" s="70"/>
      <c r="BB873" s="70"/>
    </row>
    <row r="874" ht="14.25" customHeight="1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  <c r="AD874" s="70"/>
      <c r="AE874" s="70"/>
      <c r="AF874" s="70"/>
      <c r="AG874" s="70"/>
      <c r="AH874" s="70"/>
      <c r="AI874" s="70"/>
      <c r="AJ874" s="70"/>
      <c r="AK874" s="70"/>
      <c r="AL874" s="70"/>
      <c r="AM874" s="70"/>
      <c r="AN874" s="70"/>
      <c r="AO874" s="70"/>
      <c r="AP874" s="70"/>
      <c r="AQ874" s="70"/>
      <c r="AR874" s="70"/>
      <c r="AS874" s="70"/>
      <c r="AT874" s="70"/>
      <c r="AU874" s="70"/>
      <c r="AV874" s="70"/>
      <c r="AW874" s="70"/>
      <c r="AX874" s="70"/>
      <c r="AY874" s="70"/>
      <c r="AZ874" s="70"/>
      <c r="BA874" s="70"/>
      <c r="BB874" s="70"/>
    </row>
    <row r="875" ht="14.25" customHeight="1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  <c r="AD875" s="70"/>
      <c r="AE875" s="70"/>
      <c r="AF875" s="70"/>
      <c r="AG875" s="70"/>
      <c r="AH875" s="70"/>
      <c r="AI875" s="70"/>
      <c r="AJ875" s="70"/>
      <c r="AK875" s="70"/>
      <c r="AL875" s="70"/>
      <c r="AM875" s="70"/>
      <c r="AN875" s="70"/>
      <c r="AO875" s="70"/>
      <c r="AP875" s="70"/>
      <c r="AQ875" s="70"/>
      <c r="AR875" s="70"/>
      <c r="AS875" s="70"/>
      <c r="AT875" s="70"/>
      <c r="AU875" s="70"/>
      <c r="AV875" s="70"/>
      <c r="AW875" s="70"/>
      <c r="AX875" s="70"/>
      <c r="AY875" s="70"/>
      <c r="AZ875" s="70"/>
      <c r="BA875" s="70"/>
      <c r="BB875" s="70"/>
    </row>
    <row r="876" ht="14.25" customHeight="1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  <c r="AD876" s="70"/>
      <c r="AE876" s="70"/>
      <c r="AF876" s="70"/>
      <c r="AG876" s="70"/>
      <c r="AH876" s="70"/>
      <c r="AI876" s="70"/>
      <c r="AJ876" s="70"/>
      <c r="AK876" s="70"/>
      <c r="AL876" s="70"/>
      <c r="AM876" s="70"/>
      <c r="AN876" s="70"/>
      <c r="AO876" s="70"/>
      <c r="AP876" s="70"/>
      <c r="AQ876" s="70"/>
      <c r="AR876" s="70"/>
      <c r="AS876" s="70"/>
      <c r="AT876" s="70"/>
      <c r="AU876" s="70"/>
      <c r="AV876" s="70"/>
      <c r="AW876" s="70"/>
      <c r="AX876" s="70"/>
      <c r="AY876" s="70"/>
      <c r="AZ876" s="70"/>
      <c r="BA876" s="70"/>
      <c r="BB876" s="70"/>
    </row>
    <row r="877" ht="14.25" customHeight="1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  <c r="AD877" s="70"/>
      <c r="AE877" s="70"/>
      <c r="AF877" s="70"/>
      <c r="AG877" s="70"/>
      <c r="AH877" s="70"/>
      <c r="AI877" s="70"/>
      <c r="AJ877" s="70"/>
      <c r="AK877" s="70"/>
      <c r="AL877" s="70"/>
      <c r="AM877" s="70"/>
      <c r="AN877" s="70"/>
      <c r="AO877" s="70"/>
      <c r="AP877" s="70"/>
      <c r="AQ877" s="70"/>
      <c r="AR877" s="70"/>
      <c r="AS877" s="70"/>
      <c r="AT877" s="70"/>
      <c r="AU877" s="70"/>
      <c r="AV877" s="70"/>
      <c r="AW877" s="70"/>
      <c r="AX877" s="70"/>
      <c r="AY877" s="70"/>
      <c r="AZ877" s="70"/>
      <c r="BA877" s="70"/>
      <c r="BB877" s="70"/>
    </row>
    <row r="878" ht="14.25" customHeight="1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  <c r="AD878" s="70"/>
      <c r="AE878" s="70"/>
      <c r="AF878" s="70"/>
      <c r="AG878" s="70"/>
      <c r="AH878" s="70"/>
      <c r="AI878" s="70"/>
      <c r="AJ878" s="70"/>
      <c r="AK878" s="70"/>
      <c r="AL878" s="70"/>
      <c r="AM878" s="70"/>
      <c r="AN878" s="70"/>
      <c r="AO878" s="70"/>
      <c r="AP878" s="70"/>
      <c r="AQ878" s="70"/>
      <c r="AR878" s="70"/>
      <c r="AS878" s="70"/>
      <c r="AT878" s="70"/>
      <c r="AU878" s="70"/>
      <c r="AV878" s="70"/>
      <c r="AW878" s="70"/>
      <c r="AX878" s="70"/>
      <c r="AY878" s="70"/>
      <c r="AZ878" s="70"/>
      <c r="BA878" s="70"/>
      <c r="BB878" s="70"/>
    </row>
    <row r="879" ht="14.25" customHeight="1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  <c r="AD879" s="70"/>
      <c r="AE879" s="70"/>
      <c r="AF879" s="70"/>
      <c r="AG879" s="70"/>
      <c r="AH879" s="70"/>
      <c r="AI879" s="70"/>
      <c r="AJ879" s="70"/>
      <c r="AK879" s="70"/>
      <c r="AL879" s="70"/>
      <c r="AM879" s="70"/>
      <c r="AN879" s="70"/>
      <c r="AO879" s="70"/>
      <c r="AP879" s="70"/>
      <c r="AQ879" s="70"/>
      <c r="AR879" s="70"/>
      <c r="AS879" s="70"/>
      <c r="AT879" s="70"/>
      <c r="AU879" s="70"/>
      <c r="AV879" s="70"/>
      <c r="AW879" s="70"/>
      <c r="AX879" s="70"/>
      <c r="AY879" s="70"/>
      <c r="AZ879" s="70"/>
      <c r="BA879" s="70"/>
      <c r="BB879" s="70"/>
    </row>
    <row r="880" ht="14.25" customHeight="1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  <c r="AD880" s="70"/>
      <c r="AE880" s="70"/>
      <c r="AF880" s="70"/>
      <c r="AG880" s="70"/>
      <c r="AH880" s="70"/>
      <c r="AI880" s="70"/>
      <c r="AJ880" s="70"/>
      <c r="AK880" s="70"/>
      <c r="AL880" s="70"/>
      <c r="AM880" s="70"/>
      <c r="AN880" s="70"/>
      <c r="AO880" s="70"/>
      <c r="AP880" s="70"/>
      <c r="AQ880" s="70"/>
      <c r="AR880" s="70"/>
      <c r="AS880" s="70"/>
      <c r="AT880" s="70"/>
      <c r="AU880" s="70"/>
      <c r="AV880" s="70"/>
      <c r="AW880" s="70"/>
      <c r="AX880" s="70"/>
      <c r="AY880" s="70"/>
      <c r="AZ880" s="70"/>
      <c r="BA880" s="70"/>
      <c r="BB880" s="70"/>
    </row>
    <row r="881" ht="14.25" customHeight="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  <c r="AD881" s="70"/>
      <c r="AE881" s="70"/>
      <c r="AF881" s="70"/>
      <c r="AG881" s="70"/>
      <c r="AH881" s="70"/>
      <c r="AI881" s="70"/>
      <c r="AJ881" s="70"/>
      <c r="AK881" s="70"/>
      <c r="AL881" s="70"/>
      <c r="AM881" s="70"/>
      <c r="AN881" s="70"/>
      <c r="AO881" s="70"/>
      <c r="AP881" s="70"/>
      <c r="AQ881" s="70"/>
      <c r="AR881" s="70"/>
      <c r="AS881" s="70"/>
      <c r="AT881" s="70"/>
      <c r="AU881" s="70"/>
      <c r="AV881" s="70"/>
      <c r="AW881" s="70"/>
      <c r="AX881" s="70"/>
      <c r="AY881" s="70"/>
      <c r="AZ881" s="70"/>
      <c r="BA881" s="70"/>
      <c r="BB881" s="70"/>
    </row>
    <row r="882" ht="14.25" customHeight="1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  <c r="AD882" s="70"/>
      <c r="AE882" s="70"/>
      <c r="AF882" s="70"/>
      <c r="AG882" s="70"/>
      <c r="AH882" s="70"/>
      <c r="AI882" s="70"/>
      <c r="AJ882" s="70"/>
      <c r="AK882" s="70"/>
      <c r="AL882" s="70"/>
      <c r="AM882" s="70"/>
      <c r="AN882" s="70"/>
      <c r="AO882" s="70"/>
      <c r="AP882" s="70"/>
      <c r="AQ882" s="70"/>
      <c r="AR882" s="70"/>
      <c r="AS882" s="70"/>
      <c r="AT882" s="70"/>
      <c r="AU882" s="70"/>
      <c r="AV882" s="70"/>
      <c r="AW882" s="70"/>
      <c r="AX882" s="70"/>
      <c r="AY882" s="70"/>
      <c r="AZ882" s="70"/>
      <c r="BA882" s="70"/>
      <c r="BB882" s="70"/>
    </row>
    <row r="883" ht="14.25" customHeight="1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  <c r="AD883" s="70"/>
      <c r="AE883" s="70"/>
      <c r="AF883" s="70"/>
      <c r="AG883" s="70"/>
      <c r="AH883" s="70"/>
      <c r="AI883" s="70"/>
      <c r="AJ883" s="70"/>
      <c r="AK883" s="70"/>
      <c r="AL883" s="70"/>
      <c r="AM883" s="70"/>
      <c r="AN883" s="70"/>
      <c r="AO883" s="70"/>
      <c r="AP883" s="70"/>
      <c r="AQ883" s="70"/>
      <c r="AR883" s="70"/>
      <c r="AS883" s="70"/>
      <c r="AT883" s="70"/>
      <c r="AU883" s="70"/>
      <c r="AV883" s="70"/>
      <c r="AW883" s="70"/>
      <c r="AX883" s="70"/>
      <c r="AY883" s="70"/>
      <c r="AZ883" s="70"/>
      <c r="BA883" s="70"/>
      <c r="BB883" s="70"/>
    </row>
    <row r="884" ht="14.25" customHeight="1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  <c r="AD884" s="70"/>
      <c r="AE884" s="70"/>
      <c r="AF884" s="70"/>
      <c r="AG884" s="70"/>
      <c r="AH884" s="70"/>
      <c r="AI884" s="70"/>
      <c r="AJ884" s="70"/>
      <c r="AK884" s="70"/>
      <c r="AL884" s="70"/>
      <c r="AM884" s="70"/>
      <c r="AN884" s="70"/>
      <c r="AO884" s="70"/>
      <c r="AP884" s="70"/>
      <c r="AQ884" s="70"/>
      <c r="AR884" s="70"/>
      <c r="AS884" s="70"/>
      <c r="AT884" s="70"/>
      <c r="AU884" s="70"/>
      <c r="AV884" s="70"/>
      <c r="AW884" s="70"/>
      <c r="AX884" s="70"/>
      <c r="AY884" s="70"/>
      <c r="AZ884" s="70"/>
      <c r="BA884" s="70"/>
      <c r="BB884" s="70"/>
    </row>
    <row r="885" ht="14.25" customHeight="1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  <c r="AD885" s="70"/>
      <c r="AE885" s="70"/>
      <c r="AF885" s="70"/>
      <c r="AG885" s="70"/>
      <c r="AH885" s="70"/>
      <c r="AI885" s="70"/>
      <c r="AJ885" s="70"/>
      <c r="AK885" s="70"/>
      <c r="AL885" s="70"/>
      <c r="AM885" s="70"/>
      <c r="AN885" s="70"/>
      <c r="AO885" s="70"/>
      <c r="AP885" s="70"/>
      <c r="AQ885" s="70"/>
      <c r="AR885" s="70"/>
      <c r="AS885" s="70"/>
      <c r="AT885" s="70"/>
      <c r="AU885" s="70"/>
      <c r="AV885" s="70"/>
      <c r="AW885" s="70"/>
      <c r="AX885" s="70"/>
      <c r="AY885" s="70"/>
      <c r="AZ885" s="70"/>
      <c r="BA885" s="70"/>
      <c r="BB885" s="70"/>
    </row>
    <row r="886" ht="14.25" customHeight="1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  <c r="AC886" s="70"/>
      <c r="AD886" s="70"/>
      <c r="AE886" s="70"/>
      <c r="AF886" s="70"/>
      <c r="AG886" s="70"/>
      <c r="AH886" s="70"/>
      <c r="AI886" s="70"/>
      <c r="AJ886" s="70"/>
      <c r="AK886" s="70"/>
      <c r="AL886" s="70"/>
      <c r="AM886" s="70"/>
      <c r="AN886" s="70"/>
      <c r="AO886" s="70"/>
      <c r="AP886" s="70"/>
      <c r="AQ886" s="70"/>
      <c r="AR886" s="70"/>
      <c r="AS886" s="70"/>
      <c r="AT886" s="70"/>
      <c r="AU886" s="70"/>
      <c r="AV886" s="70"/>
      <c r="AW886" s="70"/>
      <c r="AX886" s="70"/>
      <c r="AY886" s="70"/>
      <c r="AZ886" s="70"/>
      <c r="BA886" s="70"/>
      <c r="BB886" s="70"/>
    </row>
    <row r="887" ht="14.25" customHeight="1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  <c r="AD887" s="70"/>
      <c r="AE887" s="70"/>
      <c r="AF887" s="70"/>
      <c r="AG887" s="70"/>
      <c r="AH887" s="70"/>
      <c r="AI887" s="70"/>
      <c r="AJ887" s="70"/>
      <c r="AK887" s="70"/>
      <c r="AL887" s="70"/>
      <c r="AM887" s="70"/>
      <c r="AN887" s="70"/>
      <c r="AO887" s="70"/>
      <c r="AP887" s="70"/>
      <c r="AQ887" s="70"/>
      <c r="AR887" s="70"/>
      <c r="AS887" s="70"/>
      <c r="AT887" s="70"/>
      <c r="AU887" s="70"/>
      <c r="AV887" s="70"/>
      <c r="AW887" s="70"/>
      <c r="AX887" s="70"/>
      <c r="AY887" s="70"/>
      <c r="AZ887" s="70"/>
      <c r="BA887" s="70"/>
      <c r="BB887" s="70"/>
    </row>
    <row r="888" ht="14.25" customHeight="1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  <c r="AC888" s="70"/>
      <c r="AD888" s="70"/>
      <c r="AE888" s="70"/>
      <c r="AF888" s="70"/>
      <c r="AG888" s="70"/>
      <c r="AH888" s="70"/>
      <c r="AI888" s="70"/>
      <c r="AJ888" s="70"/>
      <c r="AK888" s="70"/>
      <c r="AL888" s="70"/>
      <c r="AM888" s="70"/>
      <c r="AN888" s="70"/>
      <c r="AO888" s="70"/>
      <c r="AP888" s="70"/>
      <c r="AQ888" s="70"/>
      <c r="AR888" s="70"/>
      <c r="AS888" s="70"/>
      <c r="AT888" s="70"/>
      <c r="AU888" s="70"/>
      <c r="AV888" s="70"/>
      <c r="AW888" s="70"/>
      <c r="AX888" s="70"/>
      <c r="AY888" s="70"/>
      <c r="AZ888" s="70"/>
      <c r="BA888" s="70"/>
      <c r="BB888" s="70"/>
    </row>
    <row r="889" ht="14.25" customHeight="1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  <c r="AD889" s="70"/>
      <c r="AE889" s="70"/>
      <c r="AF889" s="70"/>
      <c r="AG889" s="70"/>
      <c r="AH889" s="70"/>
      <c r="AI889" s="70"/>
      <c r="AJ889" s="70"/>
      <c r="AK889" s="70"/>
      <c r="AL889" s="70"/>
      <c r="AM889" s="70"/>
      <c r="AN889" s="70"/>
      <c r="AO889" s="70"/>
      <c r="AP889" s="70"/>
      <c r="AQ889" s="70"/>
      <c r="AR889" s="70"/>
      <c r="AS889" s="70"/>
      <c r="AT889" s="70"/>
      <c r="AU889" s="70"/>
      <c r="AV889" s="70"/>
      <c r="AW889" s="70"/>
      <c r="AX889" s="70"/>
      <c r="AY889" s="70"/>
      <c r="AZ889" s="70"/>
      <c r="BA889" s="70"/>
      <c r="BB889" s="70"/>
    </row>
    <row r="890" ht="14.25" customHeight="1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  <c r="AC890" s="70"/>
      <c r="AD890" s="70"/>
      <c r="AE890" s="70"/>
      <c r="AF890" s="70"/>
      <c r="AG890" s="70"/>
      <c r="AH890" s="70"/>
      <c r="AI890" s="70"/>
      <c r="AJ890" s="70"/>
      <c r="AK890" s="70"/>
      <c r="AL890" s="70"/>
      <c r="AM890" s="70"/>
      <c r="AN890" s="70"/>
      <c r="AO890" s="70"/>
      <c r="AP890" s="70"/>
      <c r="AQ890" s="70"/>
      <c r="AR890" s="70"/>
      <c r="AS890" s="70"/>
      <c r="AT890" s="70"/>
      <c r="AU890" s="70"/>
      <c r="AV890" s="70"/>
      <c r="AW890" s="70"/>
      <c r="AX890" s="70"/>
      <c r="AY890" s="70"/>
      <c r="AZ890" s="70"/>
      <c r="BA890" s="70"/>
      <c r="BB890" s="70"/>
    </row>
    <row r="891" ht="14.25" customHeight="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  <c r="AD891" s="70"/>
      <c r="AE891" s="70"/>
      <c r="AF891" s="70"/>
      <c r="AG891" s="70"/>
      <c r="AH891" s="70"/>
      <c r="AI891" s="70"/>
      <c r="AJ891" s="70"/>
      <c r="AK891" s="70"/>
      <c r="AL891" s="70"/>
      <c r="AM891" s="70"/>
      <c r="AN891" s="70"/>
      <c r="AO891" s="70"/>
      <c r="AP891" s="70"/>
      <c r="AQ891" s="70"/>
      <c r="AR891" s="70"/>
      <c r="AS891" s="70"/>
      <c r="AT891" s="70"/>
      <c r="AU891" s="70"/>
      <c r="AV891" s="70"/>
      <c r="AW891" s="70"/>
      <c r="AX891" s="70"/>
      <c r="AY891" s="70"/>
      <c r="AZ891" s="70"/>
      <c r="BA891" s="70"/>
      <c r="BB891" s="70"/>
    </row>
    <row r="892" ht="14.25" customHeight="1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  <c r="AC892" s="70"/>
      <c r="AD892" s="70"/>
      <c r="AE892" s="70"/>
      <c r="AF892" s="70"/>
      <c r="AG892" s="70"/>
      <c r="AH892" s="70"/>
      <c r="AI892" s="70"/>
      <c r="AJ892" s="70"/>
      <c r="AK892" s="70"/>
      <c r="AL892" s="70"/>
      <c r="AM892" s="70"/>
      <c r="AN892" s="70"/>
      <c r="AO892" s="70"/>
      <c r="AP892" s="70"/>
      <c r="AQ892" s="70"/>
      <c r="AR892" s="70"/>
      <c r="AS892" s="70"/>
      <c r="AT892" s="70"/>
      <c r="AU892" s="70"/>
      <c r="AV892" s="70"/>
      <c r="AW892" s="70"/>
      <c r="AX892" s="70"/>
      <c r="AY892" s="70"/>
      <c r="AZ892" s="70"/>
      <c r="BA892" s="70"/>
      <c r="BB892" s="70"/>
    </row>
    <row r="893" ht="14.25" customHeight="1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  <c r="AD893" s="70"/>
      <c r="AE893" s="70"/>
      <c r="AF893" s="70"/>
      <c r="AG893" s="70"/>
      <c r="AH893" s="70"/>
      <c r="AI893" s="70"/>
      <c r="AJ893" s="70"/>
      <c r="AK893" s="70"/>
      <c r="AL893" s="70"/>
      <c r="AM893" s="70"/>
      <c r="AN893" s="70"/>
      <c r="AO893" s="70"/>
      <c r="AP893" s="70"/>
      <c r="AQ893" s="70"/>
      <c r="AR893" s="70"/>
      <c r="AS893" s="70"/>
      <c r="AT893" s="70"/>
      <c r="AU893" s="70"/>
      <c r="AV893" s="70"/>
      <c r="AW893" s="70"/>
      <c r="AX893" s="70"/>
      <c r="AY893" s="70"/>
      <c r="AZ893" s="70"/>
      <c r="BA893" s="70"/>
      <c r="BB893" s="70"/>
    </row>
    <row r="894" ht="14.25" customHeight="1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  <c r="AC894" s="70"/>
      <c r="AD894" s="70"/>
      <c r="AE894" s="70"/>
      <c r="AF894" s="70"/>
      <c r="AG894" s="70"/>
      <c r="AH894" s="70"/>
      <c r="AI894" s="70"/>
      <c r="AJ894" s="70"/>
      <c r="AK894" s="70"/>
      <c r="AL894" s="70"/>
      <c r="AM894" s="70"/>
      <c r="AN894" s="70"/>
      <c r="AO894" s="70"/>
      <c r="AP894" s="70"/>
      <c r="AQ894" s="70"/>
      <c r="AR894" s="70"/>
      <c r="AS894" s="70"/>
      <c r="AT894" s="70"/>
      <c r="AU894" s="70"/>
      <c r="AV894" s="70"/>
      <c r="AW894" s="70"/>
      <c r="AX894" s="70"/>
      <c r="AY894" s="70"/>
      <c r="AZ894" s="70"/>
      <c r="BA894" s="70"/>
      <c r="BB894" s="70"/>
    </row>
    <row r="895" ht="14.25" customHeight="1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  <c r="AD895" s="70"/>
      <c r="AE895" s="70"/>
      <c r="AF895" s="70"/>
      <c r="AG895" s="70"/>
      <c r="AH895" s="70"/>
      <c r="AI895" s="70"/>
      <c r="AJ895" s="70"/>
      <c r="AK895" s="70"/>
      <c r="AL895" s="70"/>
      <c r="AM895" s="70"/>
      <c r="AN895" s="70"/>
      <c r="AO895" s="70"/>
      <c r="AP895" s="70"/>
      <c r="AQ895" s="70"/>
      <c r="AR895" s="70"/>
      <c r="AS895" s="70"/>
      <c r="AT895" s="70"/>
      <c r="AU895" s="70"/>
      <c r="AV895" s="70"/>
      <c r="AW895" s="70"/>
      <c r="AX895" s="70"/>
      <c r="AY895" s="70"/>
      <c r="AZ895" s="70"/>
      <c r="BA895" s="70"/>
      <c r="BB895" s="70"/>
    </row>
    <row r="896" ht="14.25" customHeight="1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  <c r="AC896" s="70"/>
      <c r="AD896" s="70"/>
      <c r="AE896" s="70"/>
      <c r="AF896" s="70"/>
      <c r="AG896" s="70"/>
      <c r="AH896" s="70"/>
      <c r="AI896" s="70"/>
      <c r="AJ896" s="70"/>
      <c r="AK896" s="70"/>
      <c r="AL896" s="70"/>
      <c r="AM896" s="70"/>
      <c r="AN896" s="70"/>
      <c r="AO896" s="70"/>
      <c r="AP896" s="70"/>
      <c r="AQ896" s="70"/>
      <c r="AR896" s="70"/>
      <c r="AS896" s="70"/>
      <c r="AT896" s="70"/>
      <c r="AU896" s="70"/>
      <c r="AV896" s="70"/>
      <c r="AW896" s="70"/>
      <c r="AX896" s="70"/>
      <c r="AY896" s="70"/>
      <c r="AZ896" s="70"/>
      <c r="BA896" s="70"/>
      <c r="BB896" s="70"/>
    </row>
    <row r="897" ht="14.25" customHeight="1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  <c r="AD897" s="70"/>
      <c r="AE897" s="70"/>
      <c r="AF897" s="70"/>
      <c r="AG897" s="70"/>
      <c r="AH897" s="70"/>
      <c r="AI897" s="70"/>
      <c r="AJ897" s="70"/>
      <c r="AK897" s="70"/>
      <c r="AL897" s="70"/>
      <c r="AM897" s="70"/>
      <c r="AN897" s="70"/>
      <c r="AO897" s="70"/>
      <c r="AP897" s="70"/>
      <c r="AQ897" s="70"/>
      <c r="AR897" s="70"/>
      <c r="AS897" s="70"/>
      <c r="AT897" s="70"/>
      <c r="AU897" s="70"/>
      <c r="AV897" s="70"/>
      <c r="AW897" s="70"/>
      <c r="AX897" s="70"/>
      <c r="AY897" s="70"/>
      <c r="AZ897" s="70"/>
      <c r="BA897" s="70"/>
      <c r="BB897" s="70"/>
    </row>
    <row r="898" ht="14.25" customHeight="1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  <c r="AD898" s="70"/>
      <c r="AE898" s="70"/>
      <c r="AF898" s="70"/>
      <c r="AG898" s="70"/>
      <c r="AH898" s="70"/>
      <c r="AI898" s="70"/>
      <c r="AJ898" s="70"/>
      <c r="AK898" s="70"/>
      <c r="AL898" s="70"/>
      <c r="AM898" s="70"/>
      <c r="AN898" s="70"/>
      <c r="AO898" s="70"/>
      <c r="AP898" s="70"/>
      <c r="AQ898" s="70"/>
      <c r="AR898" s="70"/>
      <c r="AS898" s="70"/>
      <c r="AT898" s="70"/>
      <c r="AU898" s="70"/>
      <c r="AV898" s="70"/>
      <c r="AW898" s="70"/>
      <c r="AX898" s="70"/>
      <c r="AY898" s="70"/>
      <c r="AZ898" s="70"/>
      <c r="BA898" s="70"/>
      <c r="BB898" s="70"/>
    </row>
    <row r="899" ht="14.25" customHeight="1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  <c r="AD899" s="70"/>
      <c r="AE899" s="70"/>
      <c r="AF899" s="70"/>
      <c r="AG899" s="70"/>
      <c r="AH899" s="70"/>
      <c r="AI899" s="70"/>
      <c r="AJ899" s="70"/>
      <c r="AK899" s="70"/>
      <c r="AL899" s="70"/>
      <c r="AM899" s="70"/>
      <c r="AN899" s="70"/>
      <c r="AO899" s="70"/>
      <c r="AP899" s="70"/>
      <c r="AQ899" s="70"/>
      <c r="AR899" s="70"/>
      <c r="AS899" s="70"/>
      <c r="AT899" s="70"/>
      <c r="AU899" s="70"/>
      <c r="AV899" s="70"/>
      <c r="AW899" s="70"/>
      <c r="AX899" s="70"/>
      <c r="AY899" s="70"/>
      <c r="AZ899" s="70"/>
      <c r="BA899" s="70"/>
      <c r="BB899" s="70"/>
    </row>
    <row r="900" ht="14.25" customHeight="1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  <c r="AC900" s="70"/>
      <c r="AD900" s="70"/>
      <c r="AE900" s="70"/>
      <c r="AF900" s="70"/>
      <c r="AG900" s="70"/>
      <c r="AH900" s="70"/>
      <c r="AI900" s="70"/>
      <c r="AJ900" s="70"/>
      <c r="AK900" s="70"/>
      <c r="AL900" s="70"/>
      <c r="AM900" s="70"/>
      <c r="AN900" s="70"/>
      <c r="AO900" s="70"/>
      <c r="AP900" s="70"/>
      <c r="AQ900" s="70"/>
      <c r="AR900" s="70"/>
      <c r="AS900" s="70"/>
      <c r="AT900" s="70"/>
      <c r="AU900" s="70"/>
      <c r="AV900" s="70"/>
      <c r="AW900" s="70"/>
      <c r="AX900" s="70"/>
      <c r="AY900" s="70"/>
      <c r="AZ900" s="70"/>
      <c r="BA900" s="70"/>
      <c r="BB900" s="70"/>
    </row>
    <row r="901" ht="14.25" customHeight="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  <c r="AC901" s="70"/>
      <c r="AD901" s="70"/>
      <c r="AE901" s="70"/>
      <c r="AF901" s="70"/>
      <c r="AG901" s="70"/>
      <c r="AH901" s="70"/>
      <c r="AI901" s="70"/>
      <c r="AJ901" s="70"/>
      <c r="AK901" s="70"/>
      <c r="AL901" s="70"/>
      <c r="AM901" s="70"/>
      <c r="AN901" s="70"/>
      <c r="AO901" s="70"/>
      <c r="AP901" s="70"/>
      <c r="AQ901" s="70"/>
      <c r="AR901" s="70"/>
      <c r="AS901" s="70"/>
      <c r="AT901" s="70"/>
      <c r="AU901" s="70"/>
      <c r="AV901" s="70"/>
      <c r="AW901" s="70"/>
      <c r="AX901" s="70"/>
      <c r="AY901" s="70"/>
      <c r="AZ901" s="70"/>
      <c r="BA901" s="70"/>
      <c r="BB901" s="70"/>
    </row>
    <row r="902" ht="14.25" customHeight="1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  <c r="AC902" s="70"/>
      <c r="AD902" s="70"/>
      <c r="AE902" s="70"/>
      <c r="AF902" s="70"/>
      <c r="AG902" s="70"/>
      <c r="AH902" s="70"/>
      <c r="AI902" s="70"/>
      <c r="AJ902" s="70"/>
      <c r="AK902" s="70"/>
      <c r="AL902" s="70"/>
      <c r="AM902" s="70"/>
      <c r="AN902" s="70"/>
      <c r="AO902" s="70"/>
      <c r="AP902" s="70"/>
      <c r="AQ902" s="70"/>
      <c r="AR902" s="70"/>
      <c r="AS902" s="70"/>
      <c r="AT902" s="70"/>
      <c r="AU902" s="70"/>
      <c r="AV902" s="70"/>
      <c r="AW902" s="70"/>
      <c r="AX902" s="70"/>
      <c r="AY902" s="70"/>
      <c r="AZ902" s="70"/>
      <c r="BA902" s="70"/>
      <c r="BB902" s="70"/>
    </row>
    <row r="903" ht="14.25" customHeight="1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  <c r="AC903" s="70"/>
      <c r="AD903" s="70"/>
      <c r="AE903" s="70"/>
      <c r="AF903" s="70"/>
      <c r="AG903" s="70"/>
      <c r="AH903" s="70"/>
      <c r="AI903" s="70"/>
      <c r="AJ903" s="70"/>
      <c r="AK903" s="70"/>
      <c r="AL903" s="70"/>
      <c r="AM903" s="70"/>
      <c r="AN903" s="70"/>
      <c r="AO903" s="70"/>
      <c r="AP903" s="70"/>
      <c r="AQ903" s="70"/>
      <c r="AR903" s="70"/>
      <c r="AS903" s="70"/>
      <c r="AT903" s="70"/>
      <c r="AU903" s="70"/>
      <c r="AV903" s="70"/>
      <c r="AW903" s="70"/>
      <c r="AX903" s="70"/>
      <c r="AY903" s="70"/>
      <c r="AZ903" s="70"/>
      <c r="BA903" s="70"/>
      <c r="BB903" s="70"/>
    </row>
    <row r="904" ht="14.25" customHeight="1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  <c r="AC904" s="70"/>
      <c r="AD904" s="70"/>
      <c r="AE904" s="70"/>
      <c r="AF904" s="70"/>
      <c r="AG904" s="70"/>
      <c r="AH904" s="70"/>
      <c r="AI904" s="70"/>
      <c r="AJ904" s="70"/>
      <c r="AK904" s="70"/>
      <c r="AL904" s="70"/>
      <c r="AM904" s="70"/>
      <c r="AN904" s="70"/>
      <c r="AO904" s="70"/>
      <c r="AP904" s="70"/>
      <c r="AQ904" s="70"/>
      <c r="AR904" s="70"/>
      <c r="AS904" s="70"/>
      <c r="AT904" s="70"/>
      <c r="AU904" s="70"/>
      <c r="AV904" s="70"/>
      <c r="AW904" s="70"/>
      <c r="AX904" s="70"/>
      <c r="AY904" s="70"/>
      <c r="AZ904" s="70"/>
      <c r="BA904" s="70"/>
      <c r="BB904" s="70"/>
    </row>
    <row r="905" ht="14.25" customHeight="1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  <c r="AC905" s="70"/>
      <c r="AD905" s="70"/>
      <c r="AE905" s="70"/>
      <c r="AF905" s="70"/>
      <c r="AG905" s="70"/>
      <c r="AH905" s="70"/>
      <c r="AI905" s="70"/>
      <c r="AJ905" s="70"/>
      <c r="AK905" s="70"/>
      <c r="AL905" s="70"/>
      <c r="AM905" s="70"/>
      <c r="AN905" s="70"/>
      <c r="AO905" s="70"/>
      <c r="AP905" s="70"/>
      <c r="AQ905" s="70"/>
      <c r="AR905" s="70"/>
      <c r="AS905" s="70"/>
      <c r="AT905" s="70"/>
      <c r="AU905" s="70"/>
      <c r="AV905" s="70"/>
      <c r="AW905" s="70"/>
      <c r="AX905" s="70"/>
      <c r="AY905" s="70"/>
      <c r="AZ905" s="70"/>
      <c r="BA905" s="70"/>
      <c r="BB905" s="70"/>
    </row>
    <row r="906" ht="14.25" customHeight="1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  <c r="AC906" s="70"/>
      <c r="AD906" s="70"/>
      <c r="AE906" s="70"/>
      <c r="AF906" s="70"/>
      <c r="AG906" s="70"/>
      <c r="AH906" s="70"/>
      <c r="AI906" s="70"/>
      <c r="AJ906" s="70"/>
      <c r="AK906" s="70"/>
      <c r="AL906" s="70"/>
      <c r="AM906" s="70"/>
      <c r="AN906" s="70"/>
      <c r="AO906" s="70"/>
      <c r="AP906" s="70"/>
      <c r="AQ906" s="70"/>
      <c r="AR906" s="70"/>
      <c r="AS906" s="70"/>
      <c r="AT906" s="70"/>
      <c r="AU906" s="70"/>
      <c r="AV906" s="70"/>
      <c r="AW906" s="70"/>
      <c r="AX906" s="70"/>
      <c r="AY906" s="70"/>
      <c r="AZ906" s="70"/>
      <c r="BA906" s="70"/>
      <c r="BB906" s="70"/>
    </row>
    <row r="907" ht="14.25" customHeight="1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  <c r="AC907" s="70"/>
      <c r="AD907" s="70"/>
      <c r="AE907" s="70"/>
      <c r="AF907" s="70"/>
      <c r="AG907" s="70"/>
      <c r="AH907" s="70"/>
      <c r="AI907" s="70"/>
      <c r="AJ907" s="70"/>
      <c r="AK907" s="70"/>
      <c r="AL907" s="70"/>
      <c r="AM907" s="70"/>
      <c r="AN907" s="70"/>
      <c r="AO907" s="70"/>
      <c r="AP907" s="70"/>
      <c r="AQ907" s="70"/>
      <c r="AR907" s="70"/>
      <c r="AS907" s="70"/>
      <c r="AT907" s="70"/>
      <c r="AU907" s="70"/>
      <c r="AV907" s="70"/>
      <c r="AW907" s="70"/>
      <c r="AX907" s="70"/>
      <c r="AY907" s="70"/>
      <c r="AZ907" s="70"/>
      <c r="BA907" s="70"/>
      <c r="BB907" s="70"/>
    </row>
    <row r="908" ht="14.25" customHeight="1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  <c r="AC908" s="70"/>
      <c r="AD908" s="70"/>
      <c r="AE908" s="70"/>
      <c r="AF908" s="70"/>
      <c r="AG908" s="70"/>
      <c r="AH908" s="70"/>
      <c r="AI908" s="70"/>
      <c r="AJ908" s="70"/>
      <c r="AK908" s="70"/>
      <c r="AL908" s="70"/>
      <c r="AM908" s="70"/>
      <c r="AN908" s="70"/>
      <c r="AO908" s="70"/>
      <c r="AP908" s="70"/>
      <c r="AQ908" s="70"/>
      <c r="AR908" s="70"/>
      <c r="AS908" s="70"/>
      <c r="AT908" s="70"/>
      <c r="AU908" s="70"/>
      <c r="AV908" s="70"/>
      <c r="AW908" s="70"/>
      <c r="AX908" s="70"/>
      <c r="AY908" s="70"/>
      <c r="AZ908" s="70"/>
      <c r="BA908" s="70"/>
      <c r="BB908" s="70"/>
    </row>
    <row r="909" ht="14.25" customHeight="1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  <c r="AC909" s="70"/>
      <c r="AD909" s="70"/>
      <c r="AE909" s="70"/>
      <c r="AF909" s="70"/>
      <c r="AG909" s="70"/>
      <c r="AH909" s="70"/>
      <c r="AI909" s="70"/>
      <c r="AJ909" s="70"/>
      <c r="AK909" s="70"/>
      <c r="AL909" s="70"/>
      <c r="AM909" s="70"/>
      <c r="AN909" s="70"/>
      <c r="AO909" s="70"/>
      <c r="AP909" s="70"/>
      <c r="AQ909" s="70"/>
      <c r="AR909" s="70"/>
      <c r="AS909" s="70"/>
      <c r="AT909" s="70"/>
      <c r="AU909" s="70"/>
      <c r="AV909" s="70"/>
      <c r="AW909" s="70"/>
      <c r="AX909" s="70"/>
      <c r="AY909" s="70"/>
      <c r="AZ909" s="70"/>
      <c r="BA909" s="70"/>
      <c r="BB909" s="70"/>
    </row>
    <row r="910" ht="14.25" customHeight="1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  <c r="AC910" s="70"/>
      <c r="AD910" s="70"/>
      <c r="AE910" s="70"/>
      <c r="AF910" s="70"/>
      <c r="AG910" s="70"/>
      <c r="AH910" s="70"/>
      <c r="AI910" s="70"/>
      <c r="AJ910" s="70"/>
      <c r="AK910" s="70"/>
      <c r="AL910" s="70"/>
      <c r="AM910" s="70"/>
      <c r="AN910" s="70"/>
      <c r="AO910" s="70"/>
      <c r="AP910" s="70"/>
      <c r="AQ910" s="70"/>
      <c r="AR910" s="70"/>
      <c r="AS910" s="70"/>
      <c r="AT910" s="70"/>
      <c r="AU910" s="70"/>
      <c r="AV910" s="70"/>
      <c r="AW910" s="70"/>
      <c r="AX910" s="70"/>
      <c r="AY910" s="70"/>
      <c r="AZ910" s="70"/>
      <c r="BA910" s="70"/>
      <c r="BB910" s="70"/>
    </row>
    <row r="911" ht="14.25" customHeight="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  <c r="AC911" s="70"/>
      <c r="AD911" s="70"/>
      <c r="AE911" s="70"/>
      <c r="AF911" s="70"/>
      <c r="AG911" s="70"/>
      <c r="AH911" s="70"/>
      <c r="AI911" s="70"/>
      <c r="AJ911" s="70"/>
      <c r="AK911" s="70"/>
      <c r="AL911" s="70"/>
      <c r="AM911" s="70"/>
      <c r="AN911" s="70"/>
      <c r="AO911" s="70"/>
      <c r="AP911" s="70"/>
      <c r="AQ911" s="70"/>
      <c r="AR911" s="70"/>
      <c r="AS911" s="70"/>
      <c r="AT911" s="70"/>
      <c r="AU911" s="70"/>
      <c r="AV911" s="70"/>
      <c r="AW911" s="70"/>
      <c r="AX911" s="70"/>
      <c r="AY911" s="70"/>
      <c r="AZ911" s="70"/>
      <c r="BA911" s="70"/>
      <c r="BB911" s="70"/>
    </row>
    <row r="912" ht="14.25" customHeight="1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  <c r="AC912" s="70"/>
      <c r="AD912" s="70"/>
      <c r="AE912" s="70"/>
      <c r="AF912" s="70"/>
      <c r="AG912" s="70"/>
      <c r="AH912" s="70"/>
      <c r="AI912" s="70"/>
      <c r="AJ912" s="70"/>
      <c r="AK912" s="70"/>
      <c r="AL912" s="70"/>
      <c r="AM912" s="70"/>
      <c r="AN912" s="70"/>
      <c r="AO912" s="70"/>
      <c r="AP912" s="70"/>
      <c r="AQ912" s="70"/>
      <c r="AR912" s="70"/>
      <c r="AS912" s="70"/>
      <c r="AT912" s="70"/>
      <c r="AU912" s="70"/>
      <c r="AV912" s="70"/>
      <c r="AW912" s="70"/>
      <c r="AX912" s="70"/>
      <c r="AY912" s="70"/>
      <c r="AZ912" s="70"/>
      <c r="BA912" s="70"/>
      <c r="BB912" s="70"/>
    </row>
    <row r="913" ht="14.25" customHeight="1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  <c r="AC913" s="70"/>
      <c r="AD913" s="70"/>
      <c r="AE913" s="70"/>
      <c r="AF913" s="70"/>
      <c r="AG913" s="70"/>
      <c r="AH913" s="70"/>
      <c r="AI913" s="70"/>
      <c r="AJ913" s="70"/>
      <c r="AK913" s="70"/>
      <c r="AL913" s="70"/>
      <c r="AM913" s="70"/>
      <c r="AN913" s="70"/>
      <c r="AO913" s="70"/>
      <c r="AP913" s="70"/>
      <c r="AQ913" s="70"/>
      <c r="AR913" s="70"/>
      <c r="AS913" s="70"/>
      <c r="AT913" s="70"/>
      <c r="AU913" s="70"/>
      <c r="AV913" s="70"/>
      <c r="AW913" s="70"/>
      <c r="AX913" s="70"/>
      <c r="AY913" s="70"/>
      <c r="AZ913" s="70"/>
      <c r="BA913" s="70"/>
      <c r="BB913" s="70"/>
    </row>
    <row r="914" ht="14.25" customHeight="1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  <c r="AC914" s="70"/>
      <c r="AD914" s="70"/>
      <c r="AE914" s="70"/>
      <c r="AF914" s="70"/>
      <c r="AG914" s="70"/>
      <c r="AH914" s="70"/>
      <c r="AI914" s="70"/>
      <c r="AJ914" s="70"/>
      <c r="AK914" s="70"/>
      <c r="AL914" s="70"/>
      <c r="AM914" s="70"/>
      <c r="AN914" s="70"/>
      <c r="AO914" s="70"/>
      <c r="AP914" s="70"/>
      <c r="AQ914" s="70"/>
      <c r="AR914" s="70"/>
      <c r="AS914" s="70"/>
      <c r="AT914" s="70"/>
      <c r="AU914" s="70"/>
      <c r="AV914" s="70"/>
      <c r="AW914" s="70"/>
      <c r="AX914" s="70"/>
      <c r="AY914" s="70"/>
      <c r="AZ914" s="70"/>
      <c r="BA914" s="70"/>
      <c r="BB914" s="70"/>
    </row>
    <row r="915" ht="14.25" customHeight="1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  <c r="AC915" s="70"/>
      <c r="AD915" s="70"/>
      <c r="AE915" s="70"/>
      <c r="AF915" s="70"/>
      <c r="AG915" s="70"/>
      <c r="AH915" s="70"/>
      <c r="AI915" s="70"/>
      <c r="AJ915" s="70"/>
      <c r="AK915" s="70"/>
      <c r="AL915" s="70"/>
      <c r="AM915" s="70"/>
      <c r="AN915" s="70"/>
      <c r="AO915" s="70"/>
      <c r="AP915" s="70"/>
      <c r="AQ915" s="70"/>
      <c r="AR915" s="70"/>
      <c r="AS915" s="70"/>
      <c r="AT915" s="70"/>
      <c r="AU915" s="70"/>
      <c r="AV915" s="70"/>
      <c r="AW915" s="70"/>
      <c r="AX915" s="70"/>
      <c r="AY915" s="70"/>
      <c r="AZ915" s="70"/>
      <c r="BA915" s="70"/>
      <c r="BB915" s="70"/>
    </row>
    <row r="916" ht="14.25" customHeight="1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  <c r="AC916" s="70"/>
      <c r="AD916" s="70"/>
      <c r="AE916" s="70"/>
      <c r="AF916" s="70"/>
      <c r="AG916" s="70"/>
      <c r="AH916" s="70"/>
      <c r="AI916" s="70"/>
      <c r="AJ916" s="70"/>
      <c r="AK916" s="70"/>
      <c r="AL916" s="70"/>
      <c r="AM916" s="70"/>
      <c r="AN916" s="70"/>
      <c r="AO916" s="70"/>
      <c r="AP916" s="70"/>
      <c r="AQ916" s="70"/>
      <c r="AR916" s="70"/>
      <c r="AS916" s="70"/>
      <c r="AT916" s="70"/>
      <c r="AU916" s="70"/>
      <c r="AV916" s="70"/>
      <c r="AW916" s="70"/>
      <c r="AX916" s="70"/>
      <c r="AY916" s="70"/>
      <c r="AZ916" s="70"/>
      <c r="BA916" s="70"/>
      <c r="BB916" s="70"/>
    </row>
    <row r="917" ht="14.25" customHeight="1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  <c r="AC917" s="70"/>
      <c r="AD917" s="70"/>
      <c r="AE917" s="70"/>
      <c r="AF917" s="70"/>
      <c r="AG917" s="70"/>
      <c r="AH917" s="70"/>
      <c r="AI917" s="70"/>
      <c r="AJ917" s="70"/>
      <c r="AK917" s="70"/>
      <c r="AL917" s="70"/>
      <c r="AM917" s="70"/>
      <c r="AN917" s="70"/>
      <c r="AO917" s="70"/>
      <c r="AP917" s="70"/>
      <c r="AQ917" s="70"/>
      <c r="AR917" s="70"/>
      <c r="AS917" s="70"/>
      <c r="AT917" s="70"/>
      <c r="AU917" s="70"/>
      <c r="AV917" s="70"/>
      <c r="AW917" s="70"/>
      <c r="AX917" s="70"/>
      <c r="AY917" s="70"/>
      <c r="AZ917" s="70"/>
      <c r="BA917" s="70"/>
      <c r="BB917" s="70"/>
    </row>
    <row r="918" ht="14.25" customHeight="1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  <c r="AA918" s="70"/>
      <c r="AB918" s="70"/>
      <c r="AC918" s="70"/>
      <c r="AD918" s="70"/>
      <c r="AE918" s="70"/>
      <c r="AF918" s="70"/>
      <c r="AG918" s="70"/>
      <c r="AH918" s="70"/>
      <c r="AI918" s="70"/>
      <c r="AJ918" s="70"/>
      <c r="AK918" s="70"/>
      <c r="AL918" s="70"/>
      <c r="AM918" s="70"/>
      <c r="AN918" s="70"/>
      <c r="AO918" s="70"/>
      <c r="AP918" s="70"/>
      <c r="AQ918" s="70"/>
      <c r="AR918" s="70"/>
      <c r="AS918" s="70"/>
      <c r="AT918" s="70"/>
      <c r="AU918" s="70"/>
      <c r="AV918" s="70"/>
      <c r="AW918" s="70"/>
      <c r="AX918" s="70"/>
      <c r="AY918" s="70"/>
      <c r="AZ918" s="70"/>
      <c r="BA918" s="70"/>
      <c r="BB918" s="70"/>
    </row>
    <row r="919" ht="14.25" customHeight="1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  <c r="AC919" s="70"/>
      <c r="AD919" s="70"/>
      <c r="AE919" s="70"/>
      <c r="AF919" s="70"/>
      <c r="AG919" s="70"/>
      <c r="AH919" s="70"/>
      <c r="AI919" s="70"/>
      <c r="AJ919" s="70"/>
      <c r="AK919" s="70"/>
      <c r="AL919" s="70"/>
      <c r="AM919" s="70"/>
      <c r="AN919" s="70"/>
      <c r="AO919" s="70"/>
      <c r="AP919" s="70"/>
      <c r="AQ919" s="70"/>
      <c r="AR919" s="70"/>
      <c r="AS919" s="70"/>
      <c r="AT919" s="70"/>
      <c r="AU919" s="70"/>
      <c r="AV919" s="70"/>
      <c r="AW919" s="70"/>
      <c r="AX919" s="70"/>
      <c r="AY919" s="70"/>
      <c r="AZ919" s="70"/>
      <c r="BA919" s="70"/>
      <c r="BB919" s="70"/>
    </row>
    <row r="920" ht="14.25" customHeight="1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  <c r="AA920" s="70"/>
      <c r="AB920" s="70"/>
      <c r="AC920" s="70"/>
      <c r="AD920" s="70"/>
      <c r="AE920" s="70"/>
      <c r="AF920" s="70"/>
      <c r="AG920" s="70"/>
      <c r="AH920" s="70"/>
      <c r="AI920" s="70"/>
      <c r="AJ920" s="70"/>
      <c r="AK920" s="70"/>
      <c r="AL920" s="70"/>
      <c r="AM920" s="70"/>
      <c r="AN920" s="70"/>
      <c r="AO920" s="70"/>
      <c r="AP920" s="70"/>
      <c r="AQ920" s="70"/>
      <c r="AR920" s="70"/>
      <c r="AS920" s="70"/>
      <c r="AT920" s="70"/>
      <c r="AU920" s="70"/>
      <c r="AV920" s="70"/>
      <c r="AW920" s="70"/>
      <c r="AX920" s="70"/>
      <c r="AY920" s="70"/>
      <c r="AZ920" s="70"/>
      <c r="BA920" s="70"/>
      <c r="BB920" s="70"/>
    </row>
    <row r="921" ht="14.25" customHeight="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  <c r="AC921" s="70"/>
      <c r="AD921" s="70"/>
      <c r="AE921" s="70"/>
      <c r="AF921" s="70"/>
      <c r="AG921" s="70"/>
      <c r="AH921" s="70"/>
      <c r="AI921" s="70"/>
      <c r="AJ921" s="70"/>
      <c r="AK921" s="70"/>
      <c r="AL921" s="70"/>
      <c r="AM921" s="70"/>
      <c r="AN921" s="70"/>
      <c r="AO921" s="70"/>
      <c r="AP921" s="70"/>
      <c r="AQ921" s="70"/>
      <c r="AR921" s="70"/>
      <c r="AS921" s="70"/>
      <c r="AT921" s="70"/>
      <c r="AU921" s="70"/>
      <c r="AV921" s="70"/>
      <c r="AW921" s="70"/>
      <c r="AX921" s="70"/>
      <c r="AY921" s="70"/>
      <c r="AZ921" s="70"/>
      <c r="BA921" s="70"/>
      <c r="BB921" s="70"/>
    </row>
    <row r="922" ht="14.25" customHeight="1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  <c r="AA922" s="70"/>
      <c r="AB922" s="70"/>
      <c r="AC922" s="70"/>
      <c r="AD922" s="70"/>
      <c r="AE922" s="70"/>
      <c r="AF922" s="70"/>
      <c r="AG922" s="70"/>
      <c r="AH922" s="70"/>
      <c r="AI922" s="70"/>
      <c r="AJ922" s="70"/>
      <c r="AK922" s="70"/>
      <c r="AL922" s="70"/>
      <c r="AM922" s="70"/>
      <c r="AN922" s="70"/>
      <c r="AO922" s="70"/>
      <c r="AP922" s="70"/>
      <c r="AQ922" s="70"/>
      <c r="AR922" s="70"/>
      <c r="AS922" s="70"/>
      <c r="AT922" s="70"/>
      <c r="AU922" s="70"/>
      <c r="AV922" s="70"/>
      <c r="AW922" s="70"/>
      <c r="AX922" s="70"/>
      <c r="AY922" s="70"/>
      <c r="AZ922" s="70"/>
      <c r="BA922" s="70"/>
      <c r="BB922" s="70"/>
    </row>
    <row r="923" ht="14.25" customHeight="1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  <c r="AC923" s="70"/>
      <c r="AD923" s="70"/>
      <c r="AE923" s="70"/>
      <c r="AF923" s="70"/>
      <c r="AG923" s="70"/>
      <c r="AH923" s="70"/>
      <c r="AI923" s="70"/>
      <c r="AJ923" s="70"/>
      <c r="AK923" s="70"/>
      <c r="AL923" s="70"/>
      <c r="AM923" s="70"/>
      <c r="AN923" s="70"/>
      <c r="AO923" s="70"/>
      <c r="AP923" s="70"/>
      <c r="AQ923" s="70"/>
      <c r="AR923" s="70"/>
      <c r="AS923" s="70"/>
      <c r="AT923" s="70"/>
      <c r="AU923" s="70"/>
      <c r="AV923" s="70"/>
      <c r="AW923" s="70"/>
      <c r="AX923" s="70"/>
      <c r="AY923" s="70"/>
      <c r="AZ923" s="70"/>
      <c r="BA923" s="70"/>
      <c r="BB923" s="70"/>
    </row>
    <row r="924" ht="14.25" customHeight="1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  <c r="AA924" s="70"/>
      <c r="AB924" s="70"/>
      <c r="AC924" s="70"/>
      <c r="AD924" s="70"/>
      <c r="AE924" s="70"/>
      <c r="AF924" s="70"/>
      <c r="AG924" s="70"/>
      <c r="AH924" s="70"/>
      <c r="AI924" s="70"/>
      <c r="AJ924" s="70"/>
      <c r="AK924" s="70"/>
      <c r="AL924" s="70"/>
      <c r="AM924" s="70"/>
      <c r="AN924" s="70"/>
      <c r="AO924" s="70"/>
      <c r="AP924" s="70"/>
      <c r="AQ924" s="70"/>
      <c r="AR924" s="70"/>
      <c r="AS924" s="70"/>
      <c r="AT924" s="70"/>
      <c r="AU924" s="70"/>
      <c r="AV924" s="70"/>
      <c r="AW924" s="70"/>
      <c r="AX924" s="70"/>
      <c r="AY924" s="70"/>
      <c r="AZ924" s="70"/>
      <c r="BA924" s="70"/>
      <c r="BB924" s="70"/>
    </row>
    <row r="925" ht="14.25" customHeight="1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  <c r="AC925" s="70"/>
      <c r="AD925" s="70"/>
      <c r="AE925" s="70"/>
      <c r="AF925" s="70"/>
      <c r="AG925" s="70"/>
      <c r="AH925" s="70"/>
      <c r="AI925" s="70"/>
      <c r="AJ925" s="70"/>
      <c r="AK925" s="70"/>
      <c r="AL925" s="70"/>
      <c r="AM925" s="70"/>
      <c r="AN925" s="70"/>
      <c r="AO925" s="70"/>
      <c r="AP925" s="70"/>
      <c r="AQ925" s="70"/>
      <c r="AR925" s="70"/>
      <c r="AS925" s="70"/>
      <c r="AT925" s="70"/>
      <c r="AU925" s="70"/>
      <c r="AV925" s="70"/>
      <c r="AW925" s="70"/>
      <c r="AX925" s="70"/>
      <c r="AY925" s="70"/>
      <c r="AZ925" s="70"/>
      <c r="BA925" s="70"/>
      <c r="BB925" s="70"/>
    </row>
    <row r="926" ht="14.25" customHeight="1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  <c r="AA926" s="70"/>
      <c r="AB926" s="70"/>
      <c r="AC926" s="70"/>
      <c r="AD926" s="70"/>
      <c r="AE926" s="70"/>
      <c r="AF926" s="70"/>
      <c r="AG926" s="70"/>
      <c r="AH926" s="70"/>
      <c r="AI926" s="70"/>
      <c r="AJ926" s="70"/>
      <c r="AK926" s="70"/>
      <c r="AL926" s="70"/>
      <c r="AM926" s="70"/>
      <c r="AN926" s="70"/>
      <c r="AO926" s="70"/>
      <c r="AP926" s="70"/>
      <c r="AQ926" s="70"/>
      <c r="AR926" s="70"/>
      <c r="AS926" s="70"/>
      <c r="AT926" s="70"/>
      <c r="AU926" s="70"/>
      <c r="AV926" s="70"/>
      <c r="AW926" s="70"/>
      <c r="AX926" s="70"/>
      <c r="AY926" s="70"/>
      <c r="AZ926" s="70"/>
      <c r="BA926" s="70"/>
      <c r="BB926" s="70"/>
    </row>
    <row r="927" ht="14.25" customHeight="1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  <c r="AC927" s="70"/>
      <c r="AD927" s="70"/>
      <c r="AE927" s="70"/>
      <c r="AF927" s="70"/>
      <c r="AG927" s="70"/>
      <c r="AH927" s="70"/>
      <c r="AI927" s="70"/>
      <c r="AJ927" s="70"/>
      <c r="AK927" s="70"/>
      <c r="AL927" s="70"/>
      <c r="AM927" s="70"/>
      <c r="AN927" s="70"/>
      <c r="AO927" s="70"/>
      <c r="AP927" s="70"/>
      <c r="AQ927" s="70"/>
      <c r="AR927" s="70"/>
      <c r="AS927" s="70"/>
      <c r="AT927" s="70"/>
      <c r="AU927" s="70"/>
      <c r="AV927" s="70"/>
      <c r="AW927" s="70"/>
      <c r="AX927" s="70"/>
      <c r="AY927" s="70"/>
      <c r="AZ927" s="70"/>
      <c r="BA927" s="70"/>
      <c r="BB927" s="70"/>
    </row>
    <row r="928" ht="14.25" customHeight="1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  <c r="AA928" s="70"/>
      <c r="AB928" s="70"/>
      <c r="AC928" s="70"/>
      <c r="AD928" s="70"/>
      <c r="AE928" s="70"/>
      <c r="AF928" s="70"/>
      <c r="AG928" s="70"/>
      <c r="AH928" s="70"/>
      <c r="AI928" s="70"/>
      <c r="AJ928" s="70"/>
      <c r="AK928" s="70"/>
      <c r="AL928" s="70"/>
      <c r="AM928" s="70"/>
      <c r="AN928" s="70"/>
      <c r="AO928" s="70"/>
      <c r="AP928" s="70"/>
      <c r="AQ928" s="70"/>
      <c r="AR928" s="70"/>
      <c r="AS928" s="70"/>
      <c r="AT928" s="70"/>
      <c r="AU928" s="70"/>
      <c r="AV928" s="70"/>
      <c r="AW928" s="70"/>
      <c r="AX928" s="70"/>
      <c r="AY928" s="70"/>
      <c r="AZ928" s="70"/>
      <c r="BA928" s="70"/>
      <c r="BB928" s="70"/>
    </row>
    <row r="929" ht="14.25" customHeight="1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  <c r="AC929" s="70"/>
      <c r="AD929" s="70"/>
      <c r="AE929" s="70"/>
      <c r="AF929" s="70"/>
      <c r="AG929" s="70"/>
      <c r="AH929" s="70"/>
      <c r="AI929" s="70"/>
      <c r="AJ929" s="70"/>
      <c r="AK929" s="70"/>
      <c r="AL929" s="70"/>
      <c r="AM929" s="70"/>
      <c r="AN929" s="70"/>
      <c r="AO929" s="70"/>
      <c r="AP929" s="70"/>
      <c r="AQ929" s="70"/>
      <c r="AR929" s="70"/>
      <c r="AS929" s="70"/>
      <c r="AT929" s="70"/>
      <c r="AU929" s="70"/>
      <c r="AV929" s="70"/>
      <c r="AW929" s="70"/>
      <c r="AX929" s="70"/>
      <c r="AY929" s="70"/>
      <c r="AZ929" s="70"/>
      <c r="BA929" s="70"/>
      <c r="BB929" s="70"/>
    </row>
    <row r="930" ht="14.25" customHeight="1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  <c r="AA930" s="70"/>
      <c r="AB930" s="70"/>
      <c r="AC930" s="70"/>
      <c r="AD930" s="70"/>
      <c r="AE930" s="70"/>
      <c r="AF930" s="70"/>
      <c r="AG930" s="70"/>
      <c r="AH930" s="70"/>
      <c r="AI930" s="70"/>
      <c r="AJ930" s="70"/>
      <c r="AK930" s="70"/>
      <c r="AL930" s="70"/>
      <c r="AM930" s="70"/>
      <c r="AN930" s="70"/>
      <c r="AO930" s="70"/>
      <c r="AP930" s="70"/>
      <c r="AQ930" s="70"/>
      <c r="AR930" s="70"/>
      <c r="AS930" s="70"/>
      <c r="AT930" s="70"/>
      <c r="AU930" s="70"/>
      <c r="AV930" s="70"/>
      <c r="AW930" s="70"/>
      <c r="AX930" s="70"/>
      <c r="AY930" s="70"/>
      <c r="AZ930" s="70"/>
      <c r="BA930" s="70"/>
      <c r="BB930" s="70"/>
    </row>
    <row r="931" ht="14.25" customHeight="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  <c r="AC931" s="70"/>
      <c r="AD931" s="70"/>
      <c r="AE931" s="70"/>
      <c r="AF931" s="70"/>
      <c r="AG931" s="70"/>
      <c r="AH931" s="70"/>
      <c r="AI931" s="70"/>
      <c r="AJ931" s="70"/>
      <c r="AK931" s="70"/>
      <c r="AL931" s="70"/>
      <c r="AM931" s="70"/>
      <c r="AN931" s="70"/>
      <c r="AO931" s="70"/>
      <c r="AP931" s="70"/>
      <c r="AQ931" s="70"/>
      <c r="AR931" s="70"/>
      <c r="AS931" s="70"/>
      <c r="AT931" s="70"/>
      <c r="AU931" s="70"/>
      <c r="AV931" s="70"/>
      <c r="AW931" s="70"/>
      <c r="AX931" s="70"/>
      <c r="AY931" s="70"/>
      <c r="AZ931" s="70"/>
      <c r="BA931" s="70"/>
      <c r="BB931" s="70"/>
    </row>
    <row r="932" ht="14.25" customHeight="1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  <c r="AA932" s="70"/>
      <c r="AB932" s="70"/>
      <c r="AC932" s="70"/>
      <c r="AD932" s="70"/>
      <c r="AE932" s="70"/>
      <c r="AF932" s="70"/>
      <c r="AG932" s="70"/>
      <c r="AH932" s="70"/>
      <c r="AI932" s="70"/>
      <c r="AJ932" s="70"/>
      <c r="AK932" s="70"/>
      <c r="AL932" s="70"/>
      <c r="AM932" s="70"/>
      <c r="AN932" s="70"/>
      <c r="AO932" s="70"/>
      <c r="AP932" s="70"/>
      <c r="AQ932" s="70"/>
      <c r="AR932" s="70"/>
      <c r="AS932" s="70"/>
      <c r="AT932" s="70"/>
      <c r="AU932" s="70"/>
      <c r="AV932" s="70"/>
      <c r="AW932" s="70"/>
      <c r="AX932" s="70"/>
      <c r="AY932" s="70"/>
      <c r="AZ932" s="70"/>
      <c r="BA932" s="70"/>
      <c r="BB932" s="70"/>
    </row>
    <row r="933" ht="14.25" customHeight="1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  <c r="AC933" s="70"/>
      <c r="AD933" s="70"/>
      <c r="AE933" s="70"/>
      <c r="AF933" s="70"/>
      <c r="AG933" s="70"/>
      <c r="AH933" s="70"/>
      <c r="AI933" s="70"/>
      <c r="AJ933" s="70"/>
      <c r="AK933" s="70"/>
      <c r="AL933" s="70"/>
      <c r="AM933" s="70"/>
      <c r="AN933" s="70"/>
      <c r="AO933" s="70"/>
      <c r="AP933" s="70"/>
      <c r="AQ933" s="70"/>
      <c r="AR933" s="70"/>
      <c r="AS933" s="70"/>
      <c r="AT933" s="70"/>
      <c r="AU933" s="70"/>
      <c r="AV933" s="70"/>
      <c r="AW933" s="70"/>
      <c r="AX933" s="70"/>
      <c r="AY933" s="70"/>
      <c r="AZ933" s="70"/>
      <c r="BA933" s="70"/>
      <c r="BB933" s="70"/>
    </row>
    <row r="934" ht="14.25" customHeight="1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  <c r="AC934" s="70"/>
      <c r="AD934" s="70"/>
      <c r="AE934" s="70"/>
      <c r="AF934" s="70"/>
      <c r="AG934" s="70"/>
      <c r="AH934" s="70"/>
      <c r="AI934" s="70"/>
      <c r="AJ934" s="70"/>
      <c r="AK934" s="70"/>
      <c r="AL934" s="70"/>
      <c r="AM934" s="70"/>
      <c r="AN934" s="70"/>
      <c r="AO934" s="70"/>
      <c r="AP934" s="70"/>
      <c r="AQ934" s="70"/>
      <c r="AR934" s="70"/>
      <c r="AS934" s="70"/>
      <c r="AT934" s="70"/>
      <c r="AU934" s="70"/>
      <c r="AV934" s="70"/>
      <c r="AW934" s="70"/>
      <c r="AX934" s="70"/>
      <c r="AY934" s="70"/>
      <c r="AZ934" s="70"/>
      <c r="BA934" s="70"/>
      <c r="BB934" s="70"/>
    </row>
    <row r="935" ht="14.25" customHeight="1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  <c r="AC935" s="70"/>
      <c r="AD935" s="70"/>
      <c r="AE935" s="70"/>
      <c r="AF935" s="70"/>
      <c r="AG935" s="70"/>
      <c r="AH935" s="70"/>
      <c r="AI935" s="70"/>
      <c r="AJ935" s="70"/>
      <c r="AK935" s="70"/>
      <c r="AL935" s="70"/>
      <c r="AM935" s="70"/>
      <c r="AN935" s="70"/>
      <c r="AO935" s="70"/>
      <c r="AP935" s="70"/>
      <c r="AQ935" s="70"/>
      <c r="AR935" s="70"/>
      <c r="AS935" s="70"/>
      <c r="AT935" s="70"/>
      <c r="AU935" s="70"/>
      <c r="AV935" s="70"/>
      <c r="AW935" s="70"/>
      <c r="AX935" s="70"/>
      <c r="AY935" s="70"/>
      <c r="AZ935" s="70"/>
      <c r="BA935" s="70"/>
      <c r="BB935" s="70"/>
    </row>
    <row r="936" ht="14.25" customHeight="1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  <c r="AA936" s="70"/>
      <c r="AB936" s="70"/>
      <c r="AC936" s="70"/>
      <c r="AD936" s="70"/>
      <c r="AE936" s="70"/>
      <c r="AF936" s="70"/>
      <c r="AG936" s="70"/>
      <c r="AH936" s="70"/>
      <c r="AI936" s="70"/>
      <c r="AJ936" s="70"/>
      <c r="AK936" s="70"/>
      <c r="AL936" s="70"/>
      <c r="AM936" s="70"/>
      <c r="AN936" s="70"/>
      <c r="AO936" s="70"/>
      <c r="AP936" s="70"/>
      <c r="AQ936" s="70"/>
      <c r="AR936" s="70"/>
      <c r="AS936" s="70"/>
      <c r="AT936" s="70"/>
      <c r="AU936" s="70"/>
      <c r="AV936" s="70"/>
      <c r="AW936" s="70"/>
      <c r="AX936" s="70"/>
      <c r="AY936" s="70"/>
      <c r="AZ936" s="70"/>
      <c r="BA936" s="70"/>
      <c r="BB936" s="70"/>
    </row>
    <row r="937" ht="14.25" customHeight="1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  <c r="AA937" s="70"/>
      <c r="AB937" s="70"/>
      <c r="AC937" s="70"/>
      <c r="AD937" s="70"/>
      <c r="AE937" s="70"/>
      <c r="AF937" s="70"/>
      <c r="AG937" s="70"/>
      <c r="AH937" s="70"/>
      <c r="AI937" s="70"/>
      <c r="AJ937" s="70"/>
      <c r="AK937" s="70"/>
      <c r="AL937" s="70"/>
      <c r="AM937" s="70"/>
      <c r="AN937" s="70"/>
      <c r="AO937" s="70"/>
      <c r="AP937" s="70"/>
      <c r="AQ937" s="70"/>
      <c r="AR937" s="70"/>
      <c r="AS937" s="70"/>
      <c r="AT937" s="70"/>
      <c r="AU937" s="70"/>
      <c r="AV937" s="70"/>
      <c r="AW937" s="70"/>
      <c r="AX937" s="70"/>
      <c r="AY937" s="70"/>
      <c r="AZ937" s="70"/>
      <c r="BA937" s="70"/>
      <c r="BB937" s="70"/>
    </row>
    <row r="938" ht="14.25" customHeight="1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  <c r="AA938" s="70"/>
      <c r="AB938" s="70"/>
      <c r="AC938" s="70"/>
      <c r="AD938" s="70"/>
      <c r="AE938" s="70"/>
      <c r="AF938" s="70"/>
      <c r="AG938" s="70"/>
      <c r="AH938" s="70"/>
      <c r="AI938" s="70"/>
      <c r="AJ938" s="70"/>
      <c r="AK938" s="70"/>
      <c r="AL938" s="70"/>
      <c r="AM938" s="70"/>
      <c r="AN938" s="70"/>
      <c r="AO938" s="70"/>
      <c r="AP938" s="70"/>
      <c r="AQ938" s="70"/>
      <c r="AR938" s="70"/>
      <c r="AS938" s="70"/>
      <c r="AT938" s="70"/>
      <c r="AU938" s="70"/>
      <c r="AV938" s="70"/>
      <c r="AW938" s="70"/>
      <c r="AX938" s="70"/>
      <c r="AY938" s="70"/>
      <c r="AZ938" s="70"/>
      <c r="BA938" s="70"/>
      <c r="BB938" s="70"/>
    </row>
    <row r="939" ht="14.25" customHeight="1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  <c r="AA939" s="70"/>
      <c r="AB939" s="70"/>
      <c r="AC939" s="70"/>
      <c r="AD939" s="70"/>
      <c r="AE939" s="70"/>
      <c r="AF939" s="70"/>
      <c r="AG939" s="70"/>
      <c r="AH939" s="70"/>
      <c r="AI939" s="70"/>
      <c r="AJ939" s="70"/>
      <c r="AK939" s="70"/>
      <c r="AL939" s="70"/>
      <c r="AM939" s="70"/>
      <c r="AN939" s="70"/>
      <c r="AO939" s="70"/>
      <c r="AP939" s="70"/>
      <c r="AQ939" s="70"/>
      <c r="AR939" s="70"/>
      <c r="AS939" s="70"/>
      <c r="AT939" s="70"/>
      <c r="AU939" s="70"/>
      <c r="AV939" s="70"/>
      <c r="AW939" s="70"/>
      <c r="AX939" s="70"/>
      <c r="AY939" s="70"/>
      <c r="AZ939" s="70"/>
      <c r="BA939" s="70"/>
      <c r="BB939" s="70"/>
    </row>
    <row r="940" ht="14.25" customHeight="1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  <c r="AA940" s="70"/>
      <c r="AB940" s="70"/>
      <c r="AC940" s="70"/>
      <c r="AD940" s="70"/>
      <c r="AE940" s="70"/>
      <c r="AF940" s="70"/>
      <c r="AG940" s="70"/>
      <c r="AH940" s="70"/>
      <c r="AI940" s="70"/>
      <c r="AJ940" s="70"/>
      <c r="AK940" s="70"/>
      <c r="AL940" s="70"/>
      <c r="AM940" s="70"/>
      <c r="AN940" s="70"/>
      <c r="AO940" s="70"/>
      <c r="AP940" s="70"/>
      <c r="AQ940" s="70"/>
      <c r="AR940" s="70"/>
      <c r="AS940" s="70"/>
      <c r="AT940" s="70"/>
      <c r="AU940" s="70"/>
      <c r="AV940" s="70"/>
      <c r="AW940" s="70"/>
      <c r="AX940" s="70"/>
      <c r="AY940" s="70"/>
      <c r="AZ940" s="70"/>
      <c r="BA940" s="70"/>
      <c r="BB940" s="70"/>
    </row>
    <row r="941" ht="14.25" customHeight="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  <c r="AA941" s="70"/>
      <c r="AB941" s="70"/>
      <c r="AC941" s="70"/>
      <c r="AD941" s="70"/>
      <c r="AE941" s="70"/>
      <c r="AF941" s="70"/>
      <c r="AG941" s="70"/>
      <c r="AH941" s="70"/>
      <c r="AI941" s="70"/>
      <c r="AJ941" s="70"/>
      <c r="AK941" s="70"/>
      <c r="AL941" s="70"/>
      <c r="AM941" s="70"/>
      <c r="AN941" s="70"/>
      <c r="AO941" s="70"/>
      <c r="AP941" s="70"/>
      <c r="AQ941" s="70"/>
      <c r="AR941" s="70"/>
      <c r="AS941" s="70"/>
      <c r="AT941" s="70"/>
      <c r="AU941" s="70"/>
      <c r="AV941" s="70"/>
      <c r="AW941" s="70"/>
      <c r="AX941" s="70"/>
      <c r="AY941" s="70"/>
      <c r="AZ941" s="70"/>
      <c r="BA941" s="70"/>
      <c r="BB941" s="70"/>
    </row>
    <row r="942" ht="14.25" customHeight="1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  <c r="AA942" s="70"/>
      <c r="AB942" s="70"/>
      <c r="AC942" s="70"/>
      <c r="AD942" s="70"/>
      <c r="AE942" s="70"/>
      <c r="AF942" s="70"/>
      <c r="AG942" s="70"/>
      <c r="AH942" s="70"/>
      <c r="AI942" s="70"/>
      <c r="AJ942" s="70"/>
      <c r="AK942" s="70"/>
      <c r="AL942" s="70"/>
      <c r="AM942" s="70"/>
      <c r="AN942" s="70"/>
      <c r="AO942" s="70"/>
      <c r="AP942" s="70"/>
      <c r="AQ942" s="70"/>
      <c r="AR942" s="70"/>
      <c r="AS942" s="70"/>
      <c r="AT942" s="70"/>
      <c r="AU942" s="70"/>
      <c r="AV942" s="70"/>
      <c r="AW942" s="70"/>
      <c r="AX942" s="70"/>
      <c r="AY942" s="70"/>
      <c r="AZ942" s="70"/>
      <c r="BA942" s="70"/>
      <c r="BB942" s="70"/>
    </row>
    <row r="943" ht="14.25" customHeight="1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  <c r="AA943" s="70"/>
      <c r="AB943" s="70"/>
      <c r="AC943" s="70"/>
      <c r="AD943" s="70"/>
      <c r="AE943" s="70"/>
      <c r="AF943" s="70"/>
      <c r="AG943" s="70"/>
      <c r="AH943" s="70"/>
      <c r="AI943" s="70"/>
      <c r="AJ943" s="70"/>
      <c r="AK943" s="70"/>
      <c r="AL943" s="70"/>
      <c r="AM943" s="70"/>
      <c r="AN943" s="70"/>
      <c r="AO943" s="70"/>
      <c r="AP943" s="70"/>
      <c r="AQ943" s="70"/>
      <c r="AR943" s="70"/>
      <c r="AS943" s="70"/>
      <c r="AT943" s="70"/>
      <c r="AU943" s="70"/>
      <c r="AV943" s="70"/>
      <c r="AW943" s="70"/>
      <c r="AX943" s="70"/>
      <c r="AY943" s="70"/>
      <c r="AZ943" s="70"/>
      <c r="BA943" s="70"/>
      <c r="BB943" s="70"/>
    </row>
    <row r="944" ht="14.25" customHeight="1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  <c r="AA944" s="70"/>
      <c r="AB944" s="70"/>
      <c r="AC944" s="70"/>
      <c r="AD944" s="70"/>
      <c r="AE944" s="70"/>
      <c r="AF944" s="70"/>
      <c r="AG944" s="70"/>
      <c r="AH944" s="70"/>
      <c r="AI944" s="70"/>
      <c r="AJ944" s="70"/>
      <c r="AK944" s="70"/>
      <c r="AL944" s="70"/>
      <c r="AM944" s="70"/>
      <c r="AN944" s="70"/>
      <c r="AO944" s="70"/>
      <c r="AP944" s="70"/>
      <c r="AQ944" s="70"/>
      <c r="AR944" s="70"/>
      <c r="AS944" s="70"/>
      <c r="AT944" s="70"/>
      <c r="AU944" s="70"/>
      <c r="AV944" s="70"/>
      <c r="AW944" s="70"/>
      <c r="AX944" s="70"/>
      <c r="AY944" s="70"/>
      <c r="AZ944" s="70"/>
      <c r="BA944" s="70"/>
      <c r="BB944" s="70"/>
    </row>
    <row r="945" ht="14.25" customHeight="1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  <c r="AA945" s="70"/>
      <c r="AB945" s="70"/>
      <c r="AC945" s="70"/>
      <c r="AD945" s="70"/>
      <c r="AE945" s="70"/>
      <c r="AF945" s="70"/>
      <c r="AG945" s="70"/>
      <c r="AH945" s="70"/>
      <c r="AI945" s="70"/>
      <c r="AJ945" s="70"/>
      <c r="AK945" s="70"/>
      <c r="AL945" s="70"/>
      <c r="AM945" s="70"/>
      <c r="AN945" s="70"/>
      <c r="AO945" s="70"/>
      <c r="AP945" s="70"/>
      <c r="AQ945" s="70"/>
      <c r="AR945" s="70"/>
      <c r="AS945" s="70"/>
      <c r="AT945" s="70"/>
      <c r="AU945" s="70"/>
      <c r="AV945" s="70"/>
      <c r="AW945" s="70"/>
      <c r="AX945" s="70"/>
      <c r="AY945" s="70"/>
      <c r="AZ945" s="70"/>
      <c r="BA945" s="70"/>
      <c r="BB945" s="70"/>
    </row>
    <row r="946" ht="14.25" customHeight="1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  <c r="AA946" s="70"/>
      <c r="AB946" s="70"/>
      <c r="AC946" s="70"/>
      <c r="AD946" s="70"/>
      <c r="AE946" s="70"/>
      <c r="AF946" s="70"/>
      <c r="AG946" s="70"/>
      <c r="AH946" s="70"/>
      <c r="AI946" s="70"/>
      <c r="AJ946" s="70"/>
      <c r="AK946" s="70"/>
      <c r="AL946" s="70"/>
      <c r="AM946" s="70"/>
      <c r="AN946" s="70"/>
      <c r="AO946" s="70"/>
      <c r="AP946" s="70"/>
      <c r="AQ946" s="70"/>
      <c r="AR946" s="70"/>
      <c r="AS946" s="70"/>
      <c r="AT946" s="70"/>
      <c r="AU946" s="70"/>
      <c r="AV946" s="70"/>
      <c r="AW946" s="70"/>
      <c r="AX946" s="70"/>
      <c r="AY946" s="70"/>
      <c r="AZ946" s="70"/>
      <c r="BA946" s="70"/>
      <c r="BB946" s="70"/>
    </row>
    <row r="947" ht="14.25" customHeight="1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  <c r="AA947" s="70"/>
      <c r="AB947" s="70"/>
      <c r="AC947" s="70"/>
      <c r="AD947" s="70"/>
      <c r="AE947" s="70"/>
      <c r="AF947" s="70"/>
      <c r="AG947" s="70"/>
      <c r="AH947" s="70"/>
      <c r="AI947" s="70"/>
      <c r="AJ947" s="70"/>
      <c r="AK947" s="70"/>
      <c r="AL947" s="70"/>
      <c r="AM947" s="70"/>
      <c r="AN947" s="70"/>
      <c r="AO947" s="70"/>
      <c r="AP947" s="70"/>
      <c r="AQ947" s="70"/>
      <c r="AR947" s="70"/>
      <c r="AS947" s="70"/>
      <c r="AT947" s="70"/>
      <c r="AU947" s="70"/>
      <c r="AV947" s="70"/>
      <c r="AW947" s="70"/>
      <c r="AX947" s="70"/>
      <c r="AY947" s="70"/>
      <c r="AZ947" s="70"/>
      <c r="BA947" s="70"/>
      <c r="BB947" s="70"/>
    </row>
    <row r="948" ht="14.25" customHeight="1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  <c r="AA948" s="70"/>
      <c r="AB948" s="70"/>
      <c r="AC948" s="70"/>
      <c r="AD948" s="70"/>
      <c r="AE948" s="70"/>
      <c r="AF948" s="70"/>
      <c r="AG948" s="70"/>
      <c r="AH948" s="70"/>
      <c r="AI948" s="70"/>
      <c r="AJ948" s="70"/>
      <c r="AK948" s="70"/>
      <c r="AL948" s="70"/>
      <c r="AM948" s="70"/>
      <c r="AN948" s="70"/>
      <c r="AO948" s="70"/>
      <c r="AP948" s="70"/>
      <c r="AQ948" s="70"/>
      <c r="AR948" s="70"/>
      <c r="AS948" s="70"/>
      <c r="AT948" s="70"/>
      <c r="AU948" s="70"/>
      <c r="AV948" s="70"/>
      <c r="AW948" s="70"/>
      <c r="AX948" s="70"/>
      <c r="AY948" s="70"/>
      <c r="AZ948" s="70"/>
      <c r="BA948" s="70"/>
      <c r="BB948" s="70"/>
    </row>
    <row r="949" ht="14.25" customHeight="1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  <c r="AA949" s="70"/>
      <c r="AB949" s="70"/>
      <c r="AC949" s="70"/>
      <c r="AD949" s="70"/>
      <c r="AE949" s="70"/>
      <c r="AF949" s="70"/>
      <c r="AG949" s="70"/>
      <c r="AH949" s="70"/>
      <c r="AI949" s="70"/>
      <c r="AJ949" s="70"/>
      <c r="AK949" s="70"/>
      <c r="AL949" s="70"/>
      <c r="AM949" s="70"/>
      <c r="AN949" s="70"/>
      <c r="AO949" s="70"/>
      <c r="AP949" s="70"/>
      <c r="AQ949" s="70"/>
      <c r="AR949" s="70"/>
      <c r="AS949" s="70"/>
      <c r="AT949" s="70"/>
      <c r="AU949" s="70"/>
      <c r="AV949" s="70"/>
      <c r="AW949" s="70"/>
      <c r="AX949" s="70"/>
      <c r="AY949" s="70"/>
      <c r="AZ949" s="70"/>
      <c r="BA949" s="70"/>
      <c r="BB949" s="70"/>
    </row>
    <row r="950" ht="14.25" customHeight="1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  <c r="AA950" s="70"/>
      <c r="AB950" s="70"/>
      <c r="AC950" s="70"/>
      <c r="AD950" s="70"/>
      <c r="AE950" s="70"/>
      <c r="AF950" s="70"/>
      <c r="AG950" s="70"/>
      <c r="AH950" s="70"/>
      <c r="AI950" s="70"/>
      <c r="AJ950" s="70"/>
      <c r="AK950" s="70"/>
      <c r="AL950" s="70"/>
      <c r="AM950" s="70"/>
      <c r="AN950" s="70"/>
      <c r="AO950" s="70"/>
      <c r="AP950" s="70"/>
      <c r="AQ950" s="70"/>
      <c r="AR950" s="70"/>
      <c r="AS950" s="70"/>
      <c r="AT950" s="70"/>
      <c r="AU950" s="70"/>
      <c r="AV950" s="70"/>
      <c r="AW950" s="70"/>
      <c r="AX950" s="70"/>
      <c r="AY950" s="70"/>
      <c r="AZ950" s="70"/>
      <c r="BA950" s="70"/>
      <c r="BB950" s="70"/>
    </row>
    <row r="951" ht="14.25" customHeight="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  <c r="AC951" s="70"/>
      <c r="AD951" s="70"/>
      <c r="AE951" s="70"/>
      <c r="AF951" s="70"/>
      <c r="AG951" s="70"/>
      <c r="AH951" s="70"/>
      <c r="AI951" s="70"/>
      <c r="AJ951" s="70"/>
      <c r="AK951" s="70"/>
      <c r="AL951" s="70"/>
      <c r="AM951" s="70"/>
      <c r="AN951" s="70"/>
      <c r="AO951" s="70"/>
      <c r="AP951" s="70"/>
      <c r="AQ951" s="70"/>
      <c r="AR951" s="70"/>
      <c r="AS951" s="70"/>
      <c r="AT951" s="70"/>
      <c r="AU951" s="70"/>
      <c r="AV951" s="70"/>
      <c r="AW951" s="70"/>
      <c r="AX951" s="70"/>
      <c r="AY951" s="70"/>
      <c r="AZ951" s="70"/>
      <c r="BA951" s="70"/>
      <c r="BB951" s="70"/>
    </row>
    <row r="952" ht="14.25" customHeight="1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  <c r="AA952" s="70"/>
      <c r="AB952" s="70"/>
      <c r="AC952" s="70"/>
      <c r="AD952" s="70"/>
      <c r="AE952" s="70"/>
      <c r="AF952" s="70"/>
      <c r="AG952" s="70"/>
      <c r="AH952" s="70"/>
      <c r="AI952" s="70"/>
      <c r="AJ952" s="70"/>
      <c r="AK952" s="70"/>
      <c r="AL952" s="70"/>
      <c r="AM952" s="70"/>
      <c r="AN952" s="70"/>
      <c r="AO952" s="70"/>
      <c r="AP952" s="70"/>
      <c r="AQ952" s="70"/>
      <c r="AR952" s="70"/>
      <c r="AS952" s="70"/>
      <c r="AT952" s="70"/>
      <c r="AU952" s="70"/>
      <c r="AV952" s="70"/>
      <c r="AW952" s="70"/>
      <c r="AX952" s="70"/>
      <c r="AY952" s="70"/>
      <c r="AZ952" s="70"/>
      <c r="BA952" s="70"/>
      <c r="BB952" s="70"/>
    </row>
    <row r="953" ht="14.25" customHeight="1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  <c r="AA953" s="70"/>
      <c r="AB953" s="70"/>
      <c r="AC953" s="70"/>
      <c r="AD953" s="70"/>
      <c r="AE953" s="70"/>
      <c r="AF953" s="70"/>
      <c r="AG953" s="70"/>
      <c r="AH953" s="70"/>
      <c r="AI953" s="70"/>
      <c r="AJ953" s="70"/>
      <c r="AK953" s="70"/>
      <c r="AL953" s="70"/>
      <c r="AM953" s="70"/>
      <c r="AN953" s="70"/>
      <c r="AO953" s="70"/>
      <c r="AP953" s="70"/>
      <c r="AQ953" s="70"/>
      <c r="AR953" s="70"/>
      <c r="AS953" s="70"/>
      <c r="AT953" s="70"/>
      <c r="AU953" s="70"/>
      <c r="AV953" s="70"/>
      <c r="AW953" s="70"/>
      <c r="AX953" s="70"/>
      <c r="AY953" s="70"/>
      <c r="AZ953" s="70"/>
      <c r="BA953" s="70"/>
      <c r="BB953" s="70"/>
    </row>
    <row r="954" ht="14.25" customHeight="1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  <c r="AA954" s="70"/>
      <c r="AB954" s="70"/>
      <c r="AC954" s="70"/>
      <c r="AD954" s="70"/>
      <c r="AE954" s="70"/>
      <c r="AF954" s="70"/>
      <c r="AG954" s="70"/>
      <c r="AH954" s="70"/>
      <c r="AI954" s="70"/>
      <c r="AJ954" s="70"/>
      <c r="AK954" s="70"/>
      <c r="AL954" s="70"/>
      <c r="AM954" s="70"/>
      <c r="AN954" s="70"/>
      <c r="AO954" s="70"/>
      <c r="AP954" s="70"/>
      <c r="AQ954" s="70"/>
      <c r="AR954" s="70"/>
      <c r="AS954" s="70"/>
      <c r="AT954" s="70"/>
      <c r="AU954" s="70"/>
      <c r="AV954" s="70"/>
      <c r="AW954" s="70"/>
      <c r="AX954" s="70"/>
      <c r="AY954" s="70"/>
      <c r="AZ954" s="70"/>
      <c r="BA954" s="70"/>
      <c r="BB954" s="70"/>
    </row>
    <row r="955" ht="14.25" customHeight="1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  <c r="AA955" s="70"/>
      <c r="AB955" s="70"/>
      <c r="AC955" s="70"/>
      <c r="AD955" s="70"/>
      <c r="AE955" s="70"/>
      <c r="AF955" s="70"/>
      <c r="AG955" s="70"/>
      <c r="AH955" s="70"/>
      <c r="AI955" s="70"/>
      <c r="AJ955" s="70"/>
      <c r="AK955" s="70"/>
      <c r="AL955" s="70"/>
      <c r="AM955" s="70"/>
      <c r="AN955" s="70"/>
      <c r="AO955" s="70"/>
      <c r="AP955" s="70"/>
      <c r="AQ955" s="70"/>
      <c r="AR955" s="70"/>
      <c r="AS955" s="70"/>
      <c r="AT955" s="70"/>
      <c r="AU955" s="70"/>
      <c r="AV955" s="70"/>
      <c r="AW955" s="70"/>
      <c r="AX955" s="70"/>
      <c r="AY955" s="70"/>
      <c r="AZ955" s="70"/>
      <c r="BA955" s="70"/>
      <c r="BB955" s="70"/>
    </row>
    <row r="956" ht="14.25" customHeight="1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  <c r="AA956" s="70"/>
      <c r="AB956" s="70"/>
      <c r="AC956" s="70"/>
      <c r="AD956" s="70"/>
      <c r="AE956" s="70"/>
      <c r="AF956" s="70"/>
      <c r="AG956" s="70"/>
      <c r="AH956" s="70"/>
      <c r="AI956" s="70"/>
      <c r="AJ956" s="70"/>
      <c r="AK956" s="70"/>
      <c r="AL956" s="70"/>
      <c r="AM956" s="70"/>
      <c r="AN956" s="70"/>
      <c r="AO956" s="70"/>
      <c r="AP956" s="70"/>
      <c r="AQ956" s="70"/>
      <c r="AR956" s="70"/>
      <c r="AS956" s="70"/>
      <c r="AT956" s="70"/>
      <c r="AU956" s="70"/>
      <c r="AV956" s="70"/>
      <c r="AW956" s="70"/>
      <c r="AX956" s="70"/>
      <c r="AY956" s="70"/>
      <c r="AZ956" s="70"/>
      <c r="BA956" s="70"/>
      <c r="BB956" s="70"/>
    </row>
    <row r="957" ht="14.25" customHeight="1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0"/>
      <c r="AC957" s="70"/>
      <c r="AD957" s="70"/>
      <c r="AE957" s="70"/>
      <c r="AF957" s="70"/>
      <c r="AG957" s="70"/>
      <c r="AH957" s="70"/>
      <c r="AI957" s="70"/>
      <c r="AJ957" s="70"/>
      <c r="AK957" s="70"/>
      <c r="AL957" s="70"/>
      <c r="AM957" s="70"/>
      <c r="AN957" s="70"/>
      <c r="AO957" s="70"/>
      <c r="AP957" s="70"/>
      <c r="AQ957" s="70"/>
      <c r="AR957" s="70"/>
      <c r="AS957" s="70"/>
      <c r="AT957" s="70"/>
      <c r="AU957" s="70"/>
      <c r="AV957" s="70"/>
      <c r="AW957" s="70"/>
      <c r="AX957" s="70"/>
      <c r="AY957" s="70"/>
      <c r="AZ957" s="70"/>
      <c r="BA957" s="70"/>
      <c r="BB957" s="70"/>
    </row>
    <row r="958" ht="14.25" customHeight="1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  <c r="AA958" s="70"/>
      <c r="AB958" s="70"/>
      <c r="AC958" s="70"/>
      <c r="AD958" s="70"/>
      <c r="AE958" s="70"/>
      <c r="AF958" s="70"/>
      <c r="AG958" s="70"/>
      <c r="AH958" s="70"/>
      <c r="AI958" s="70"/>
      <c r="AJ958" s="70"/>
      <c r="AK958" s="70"/>
      <c r="AL958" s="70"/>
      <c r="AM958" s="70"/>
      <c r="AN958" s="70"/>
      <c r="AO958" s="70"/>
      <c r="AP958" s="70"/>
      <c r="AQ958" s="70"/>
      <c r="AR958" s="70"/>
      <c r="AS958" s="70"/>
      <c r="AT958" s="70"/>
      <c r="AU958" s="70"/>
      <c r="AV958" s="70"/>
      <c r="AW958" s="70"/>
      <c r="AX958" s="70"/>
      <c r="AY958" s="70"/>
      <c r="AZ958" s="70"/>
      <c r="BA958" s="70"/>
      <c r="BB958" s="70"/>
    </row>
    <row r="959" ht="14.25" customHeight="1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  <c r="AA959" s="70"/>
      <c r="AB959" s="70"/>
      <c r="AC959" s="70"/>
      <c r="AD959" s="70"/>
      <c r="AE959" s="70"/>
      <c r="AF959" s="70"/>
      <c r="AG959" s="70"/>
      <c r="AH959" s="70"/>
      <c r="AI959" s="70"/>
      <c r="AJ959" s="70"/>
      <c r="AK959" s="70"/>
      <c r="AL959" s="70"/>
      <c r="AM959" s="70"/>
      <c r="AN959" s="70"/>
      <c r="AO959" s="70"/>
      <c r="AP959" s="70"/>
      <c r="AQ959" s="70"/>
      <c r="AR959" s="70"/>
      <c r="AS959" s="70"/>
      <c r="AT959" s="70"/>
      <c r="AU959" s="70"/>
      <c r="AV959" s="70"/>
      <c r="AW959" s="70"/>
      <c r="AX959" s="70"/>
      <c r="AY959" s="70"/>
      <c r="AZ959" s="70"/>
      <c r="BA959" s="70"/>
      <c r="BB959" s="70"/>
    </row>
    <row r="960" ht="14.25" customHeight="1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  <c r="AA960" s="70"/>
      <c r="AB960" s="70"/>
      <c r="AC960" s="70"/>
      <c r="AD960" s="70"/>
      <c r="AE960" s="70"/>
      <c r="AF960" s="70"/>
      <c r="AG960" s="70"/>
      <c r="AH960" s="70"/>
      <c r="AI960" s="70"/>
      <c r="AJ960" s="70"/>
      <c r="AK960" s="70"/>
      <c r="AL960" s="70"/>
      <c r="AM960" s="70"/>
      <c r="AN960" s="70"/>
      <c r="AO960" s="70"/>
      <c r="AP960" s="70"/>
      <c r="AQ960" s="70"/>
      <c r="AR960" s="70"/>
      <c r="AS960" s="70"/>
      <c r="AT960" s="70"/>
      <c r="AU960" s="70"/>
      <c r="AV960" s="70"/>
      <c r="AW960" s="70"/>
      <c r="AX960" s="70"/>
      <c r="AY960" s="70"/>
      <c r="AZ960" s="70"/>
      <c r="BA960" s="70"/>
      <c r="BB960" s="70"/>
    </row>
    <row r="961" ht="14.25" customHeight="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  <c r="AA961" s="70"/>
      <c r="AB961" s="70"/>
      <c r="AC961" s="70"/>
      <c r="AD961" s="70"/>
      <c r="AE961" s="70"/>
      <c r="AF961" s="70"/>
      <c r="AG961" s="70"/>
      <c r="AH961" s="70"/>
      <c r="AI961" s="70"/>
      <c r="AJ961" s="70"/>
      <c r="AK961" s="70"/>
      <c r="AL961" s="70"/>
      <c r="AM961" s="70"/>
      <c r="AN961" s="70"/>
      <c r="AO961" s="70"/>
      <c r="AP961" s="70"/>
      <c r="AQ961" s="70"/>
      <c r="AR961" s="70"/>
      <c r="AS961" s="70"/>
      <c r="AT961" s="70"/>
      <c r="AU961" s="70"/>
      <c r="AV961" s="70"/>
      <c r="AW961" s="70"/>
      <c r="AX961" s="70"/>
      <c r="AY961" s="70"/>
      <c r="AZ961" s="70"/>
      <c r="BA961" s="70"/>
      <c r="BB961" s="70"/>
    </row>
    <row r="962" ht="14.25" customHeight="1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  <c r="AA962" s="70"/>
      <c r="AB962" s="70"/>
      <c r="AC962" s="70"/>
      <c r="AD962" s="70"/>
      <c r="AE962" s="70"/>
      <c r="AF962" s="70"/>
      <c r="AG962" s="70"/>
      <c r="AH962" s="70"/>
      <c r="AI962" s="70"/>
      <c r="AJ962" s="70"/>
      <c r="AK962" s="70"/>
      <c r="AL962" s="70"/>
      <c r="AM962" s="70"/>
      <c r="AN962" s="70"/>
      <c r="AO962" s="70"/>
      <c r="AP962" s="70"/>
      <c r="AQ962" s="70"/>
      <c r="AR962" s="70"/>
      <c r="AS962" s="70"/>
      <c r="AT962" s="70"/>
      <c r="AU962" s="70"/>
      <c r="AV962" s="70"/>
      <c r="AW962" s="70"/>
      <c r="AX962" s="70"/>
      <c r="AY962" s="70"/>
      <c r="AZ962" s="70"/>
      <c r="BA962" s="70"/>
      <c r="BB962" s="70"/>
    </row>
    <row r="963" ht="14.25" customHeight="1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  <c r="AA963" s="70"/>
      <c r="AB963" s="70"/>
      <c r="AC963" s="70"/>
      <c r="AD963" s="70"/>
      <c r="AE963" s="70"/>
      <c r="AF963" s="70"/>
      <c r="AG963" s="70"/>
      <c r="AH963" s="70"/>
      <c r="AI963" s="70"/>
      <c r="AJ963" s="70"/>
      <c r="AK963" s="70"/>
      <c r="AL963" s="70"/>
      <c r="AM963" s="70"/>
      <c r="AN963" s="70"/>
      <c r="AO963" s="70"/>
      <c r="AP963" s="70"/>
      <c r="AQ963" s="70"/>
      <c r="AR963" s="70"/>
      <c r="AS963" s="70"/>
      <c r="AT963" s="70"/>
      <c r="AU963" s="70"/>
      <c r="AV963" s="70"/>
      <c r="AW963" s="70"/>
      <c r="AX963" s="70"/>
      <c r="AY963" s="70"/>
      <c r="AZ963" s="70"/>
      <c r="BA963" s="70"/>
      <c r="BB963" s="70"/>
    </row>
    <row r="964" ht="14.25" customHeight="1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  <c r="AA964" s="70"/>
      <c r="AB964" s="70"/>
      <c r="AC964" s="70"/>
      <c r="AD964" s="70"/>
      <c r="AE964" s="70"/>
      <c r="AF964" s="70"/>
      <c r="AG964" s="70"/>
      <c r="AH964" s="70"/>
      <c r="AI964" s="70"/>
      <c r="AJ964" s="70"/>
      <c r="AK964" s="70"/>
      <c r="AL964" s="70"/>
      <c r="AM964" s="70"/>
      <c r="AN964" s="70"/>
      <c r="AO964" s="70"/>
      <c r="AP964" s="70"/>
      <c r="AQ964" s="70"/>
      <c r="AR964" s="70"/>
      <c r="AS964" s="70"/>
      <c r="AT964" s="70"/>
      <c r="AU964" s="70"/>
      <c r="AV964" s="70"/>
      <c r="AW964" s="70"/>
      <c r="AX964" s="70"/>
      <c r="AY964" s="70"/>
      <c r="AZ964" s="70"/>
      <c r="BA964" s="70"/>
      <c r="BB964" s="70"/>
    </row>
    <row r="965" ht="14.25" customHeight="1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  <c r="AA965" s="70"/>
      <c r="AB965" s="70"/>
      <c r="AC965" s="70"/>
      <c r="AD965" s="70"/>
      <c r="AE965" s="70"/>
      <c r="AF965" s="70"/>
      <c r="AG965" s="70"/>
      <c r="AH965" s="70"/>
      <c r="AI965" s="70"/>
      <c r="AJ965" s="70"/>
      <c r="AK965" s="70"/>
      <c r="AL965" s="70"/>
      <c r="AM965" s="70"/>
      <c r="AN965" s="70"/>
      <c r="AO965" s="70"/>
      <c r="AP965" s="70"/>
      <c r="AQ965" s="70"/>
      <c r="AR965" s="70"/>
      <c r="AS965" s="70"/>
      <c r="AT965" s="70"/>
      <c r="AU965" s="70"/>
      <c r="AV965" s="70"/>
      <c r="AW965" s="70"/>
      <c r="AX965" s="70"/>
      <c r="AY965" s="70"/>
      <c r="AZ965" s="70"/>
      <c r="BA965" s="70"/>
      <c r="BB965" s="70"/>
    </row>
    <row r="966" ht="14.25" customHeight="1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  <c r="AA966" s="70"/>
      <c r="AB966" s="70"/>
      <c r="AC966" s="70"/>
      <c r="AD966" s="70"/>
      <c r="AE966" s="70"/>
      <c r="AF966" s="70"/>
      <c r="AG966" s="70"/>
      <c r="AH966" s="70"/>
      <c r="AI966" s="70"/>
      <c r="AJ966" s="70"/>
      <c r="AK966" s="70"/>
      <c r="AL966" s="70"/>
      <c r="AM966" s="70"/>
      <c r="AN966" s="70"/>
      <c r="AO966" s="70"/>
      <c r="AP966" s="70"/>
      <c r="AQ966" s="70"/>
      <c r="AR966" s="70"/>
      <c r="AS966" s="70"/>
      <c r="AT966" s="70"/>
      <c r="AU966" s="70"/>
      <c r="AV966" s="70"/>
      <c r="AW966" s="70"/>
      <c r="AX966" s="70"/>
      <c r="AY966" s="70"/>
      <c r="AZ966" s="70"/>
      <c r="BA966" s="70"/>
      <c r="BB966" s="70"/>
    </row>
    <row r="967" ht="14.25" customHeight="1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  <c r="AA967" s="70"/>
      <c r="AB967" s="70"/>
      <c r="AC967" s="70"/>
      <c r="AD967" s="70"/>
      <c r="AE967" s="70"/>
      <c r="AF967" s="70"/>
      <c r="AG967" s="70"/>
      <c r="AH967" s="70"/>
      <c r="AI967" s="70"/>
      <c r="AJ967" s="70"/>
      <c r="AK967" s="70"/>
      <c r="AL967" s="70"/>
      <c r="AM967" s="70"/>
      <c r="AN967" s="70"/>
      <c r="AO967" s="70"/>
      <c r="AP967" s="70"/>
      <c r="AQ967" s="70"/>
      <c r="AR967" s="70"/>
      <c r="AS967" s="70"/>
      <c r="AT967" s="70"/>
      <c r="AU967" s="70"/>
      <c r="AV967" s="70"/>
      <c r="AW967" s="70"/>
      <c r="AX967" s="70"/>
      <c r="AY967" s="70"/>
      <c r="AZ967" s="70"/>
      <c r="BA967" s="70"/>
      <c r="BB967" s="70"/>
    </row>
    <row r="968" ht="14.25" customHeight="1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  <c r="AA968" s="70"/>
      <c r="AB968" s="70"/>
      <c r="AC968" s="70"/>
      <c r="AD968" s="70"/>
      <c r="AE968" s="70"/>
      <c r="AF968" s="70"/>
      <c r="AG968" s="70"/>
      <c r="AH968" s="70"/>
      <c r="AI968" s="70"/>
      <c r="AJ968" s="70"/>
      <c r="AK968" s="70"/>
      <c r="AL968" s="70"/>
      <c r="AM968" s="70"/>
      <c r="AN968" s="70"/>
      <c r="AO968" s="70"/>
      <c r="AP968" s="70"/>
      <c r="AQ968" s="70"/>
      <c r="AR968" s="70"/>
      <c r="AS968" s="70"/>
      <c r="AT968" s="70"/>
      <c r="AU968" s="70"/>
      <c r="AV968" s="70"/>
      <c r="AW968" s="70"/>
      <c r="AX968" s="70"/>
      <c r="AY968" s="70"/>
      <c r="AZ968" s="70"/>
      <c r="BA968" s="70"/>
      <c r="BB968" s="70"/>
    </row>
    <row r="969" ht="14.25" customHeight="1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  <c r="AC969" s="70"/>
      <c r="AD969" s="70"/>
      <c r="AE969" s="70"/>
      <c r="AF969" s="70"/>
      <c r="AG969" s="70"/>
      <c r="AH969" s="70"/>
      <c r="AI969" s="70"/>
      <c r="AJ969" s="70"/>
      <c r="AK969" s="70"/>
      <c r="AL969" s="70"/>
      <c r="AM969" s="70"/>
      <c r="AN969" s="70"/>
      <c r="AO969" s="70"/>
      <c r="AP969" s="70"/>
      <c r="AQ969" s="70"/>
      <c r="AR969" s="70"/>
      <c r="AS969" s="70"/>
      <c r="AT969" s="70"/>
      <c r="AU969" s="70"/>
      <c r="AV969" s="70"/>
      <c r="AW969" s="70"/>
      <c r="AX969" s="70"/>
      <c r="AY969" s="70"/>
      <c r="AZ969" s="70"/>
      <c r="BA969" s="70"/>
      <c r="BB969" s="70"/>
    </row>
    <row r="970" ht="14.25" customHeight="1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  <c r="AA970" s="70"/>
      <c r="AB970" s="70"/>
      <c r="AC970" s="70"/>
      <c r="AD970" s="70"/>
      <c r="AE970" s="70"/>
      <c r="AF970" s="70"/>
      <c r="AG970" s="70"/>
      <c r="AH970" s="70"/>
      <c r="AI970" s="70"/>
      <c r="AJ970" s="70"/>
      <c r="AK970" s="70"/>
      <c r="AL970" s="70"/>
      <c r="AM970" s="70"/>
      <c r="AN970" s="70"/>
      <c r="AO970" s="70"/>
      <c r="AP970" s="70"/>
      <c r="AQ970" s="70"/>
      <c r="AR970" s="70"/>
      <c r="AS970" s="70"/>
      <c r="AT970" s="70"/>
      <c r="AU970" s="70"/>
      <c r="AV970" s="70"/>
      <c r="AW970" s="70"/>
      <c r="AX970" s="70"/>
      <c r="AY970" s="70"/>
      <c r="AZ970" s="70"/>
      <c r="BA970" s="70"/>
      <c r="BB970" s="70"/>
    </row>
    <row r="971" ht="14.25" customHeight="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  <c r="AA971" s="70"/>
      <c r="AB971" s="70"/>
      <c r="AC971" s="70"/>
      <c r="AD971" s="70"/>
      <c r="AE971" s="70"/>
      <c r="AF971" s="70"/>
      <c r="AG971" s="70"/>
      <c r="AH971" s="70"/>
      <c r="AI971" s="70"/>
      <c r="AJ971" s="70"/>
      <c r="AK971" s="70"/>
      <c r="AL971" s="70"/>
      <c r="AM971" s="70"/>
      <c r="AN971" s="70"/>
      <c r="AO971" s="70"/>
      <c r="AP971" s="70"/>
      <c r="AQ971" s="70"/>
      <c r="AR971" s="70"/>
      <c r="AS971" s="70"/>
      <c r="AT971" s="70"/>
      <c r="AU971" s="70"/>
      <c r="AV971" s="70"/>
      <c r="AW971" s="70"/>
      <c r="AX971" s="70"/>
      <c r="AY971" s="70"/>
      <c r="AZ971" s="70"/>
      <c r="BA971" s="70"/>
      <c r="BB971" s="70"/>
    </row>
    <row r="972" ht="14.25" customHeight="1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  <c r="AA972" s="70"/>
      <c r="AB972" s="70"/>
      <c r="AC972" s="70"/>
      <c r="AD972" s="70"/>
      <c r="AE972" s="70"/>
      <c r="AF972" s="70"/>
      <c r="AG972" s="70"/>
      <c r="AH972" s="70"/>
      <c r="AI972" s="70"/>
      <c r="AJ972" s="70"/>
      <c r="AK972" s="70"/>
      <c r="AL972" s="70"/>
      <c r="AM972" s="70"/>
      <c r="AN972" s="70"/>
      <c r="AO972" s="70"/>
      <c r="AP972" s="70"/>
      <c r="AQ972" s="70"/>
      <c r="AR972" s="70"/>
      <c r="AS972" s="70"/>
      <c r="AT972" s="70"/>
      <c r="AU972" s="70"/>
      <c r="AV972" s="70"/>
      <c r="AW972" s="70"/>
      <c r="AX972" s="70"/>
      <c r="AY972" s="70"/>
      <c r="AZ972" s="70"/>
      <c r="BA972" s="70"/>
      <c r="BB972" s="70"/>
    </row>
    <row r="973" ht="14.25" customHeight="1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  <c r="AA973" s="70"/>
      <c r="AB973" s="70"/>
      <c r="AC973" s="70"/>
      <c r="AD973" s="70"/>
      <c r="AE973" s="70"/>
      <c r="AF973" s="70"/>
      <c r="AG973" s="70"/>
      <c r="AH973" s="70"/>
      <c r="AI973" s="70"/>
      <c r="AJ973" s="70"/>
      <c r="AK973" s="70"/>
      <c r="AL973" s="70"/>
      <c r="AM973" s="70"/>
      <c r="AN973" s="70"/>
      <c r="AO973" s="70"/>
      <c r="AP973" s="70"/>
      <c r="AQ973" s="70"/>
      <c r="AR973" s="70"/>
      <c r="AS973" s="70"/>
      <c r="AT973" s="70"/>
      <c r="AU973" s="70"/>
      <c r="AV973" s="70"/>
      <c r="AW973" s="70"/>
      <c r="AX973" s="70"/>
      <c r="AY973" s="70"/>
      <c r="AZ973" s="70"/>
      <c r="BA973" s="70"/>
      <c r="BB973" s="70"/>
    </row>
    <row r="974" ht="14.25" customHeight="1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  <c r="AA974" s="70"/>
      <c r="AB974" s="70"/>
      <c r="AC974" s="70"/>
      <c r="AD974" s="70"/>
      <c r="AE974" s="70"/>
      <c r="AF974" s="70"/>
      <c r="AG974" s="70"/>
      <c r="AH974" s="70"/>
      <c r="AI974" s="70"/>
      <c r="AJ974" s="70"/>
      <c r="AK974" s="70"/>
      <c r="AL974" s="70"/>
      <c r="AM974" s="70"/>
      <c r="AN974" s="70"/>
      <c r="AO974" s="70"/>
      <c r="AP974" s="70"/>
      <c r="AQ974" s="70"/>
      <c r="AR974" s="70"/>
      <c r="AS974" s="70"/>
      <c r="AT974" s="70"/>
      <c r="AU974" s="70"/>
      <c r="AV974" s="70"/>
      <c r="AW974" s="70"/>
      <c r="AX974" s="70"/>
      <c r="AY974" s="70"/>
      <c r="AZ974" s="70"/>
      <c r="BA974" s="70"/>
      <c r="BB974" s="70"/>
    </row>
    <row r="975" ht="14.25" customHeight="1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  <c r="AA975" s="70"/>
      <c r="AB975" s="70"/>
      <c r="AC975" s="70"/>
      <c r="AD975" s="70"/>
      <c r="AE975" s="70"/>
      <c r="AF975" s="70"/>
      <c r="AG975" s="70"/>
      <c r="AH975" s="70"/>
      <c r="AI975" s="70"/>
      <c r="AJ975" s="70"/>
      <c r="AK975" s="70"/>
      <c r="AL975" s="70"/>
      <c r="AM975" s="70"/>
      <c r="AN975" s="70"/>
      <c r="AO975" s="70"/>
      <c r="AP975" s="70"/>
      <c r="AQ975" s="70"/>
      <c r="AR975" s="70"/>
      <c r="AS975" s="70"/>
      <c r="AT975" s="70"/>
      <c r="AU975" s="70"/>
      <c r="AV975" s="70"/>
      <c r="AW975" s="70"/>
      <c r="AX975" s="70"/>
      <c r="AY975" s="70"/>
      <c r="AZ975" s="70"/>
      <c r="BA975" s="70"/>
      <c r="BB975" s="70"/>
    </row>
    <row r="976" ht="14.25" customHeight="1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  <c r="AA976" s="70"/>
      <c r="AB976" s="70"/>
      <c r="AC976" s="70"/>
      <c r="AD976" s="70"/>
      <c r="AE976" s="70"/>
      <c r="AF976" s="70"/>
      <c r="AG976" s="70"/>
      <c r="AH976" s="70"/>
      <c r="AI976" s="70"/>
      <c r="AJ976" s="70"/>
      <c r="AK976" s="70"/>
      <c r="AL976" s="70"/>
      <c r="AM976" s="70"/>
      <c r="AN976" s="70"/>
      <c r="AO976" s="70"/>
      <c r="AP976" s="70"/>
      <c r="AQ976" s="70"/>
      <c r="AR976" s="70"/>
      <c r="AS976" s="70"/>
      <c r="AT976" s="70"/>
      <c r="AU976" s="70"/>
      <c r="AV976" s="70"/>
      <c r="AW976" s="70"/>
      <c r="AX976" s="70"/>
      <c r="AY976" s="70"/>
      <c r="AZ976" s="70"/>
      <c r="BA976" s="70"/>
      <c r="BB976" s="70"/>
    </row>
    <row r="977" ht="14.25" customHeight="1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  <c r="AA977" s="70"/>
      <c r="AB977" s="70"/>
      <c r="AC977" s="70"/>
      <c r="AD977" s="70"/>
      <c r="AE977" s="70"/>
      <c r="AF977" s="70"/>
      <c r="AG977" s="70"/>
      <c r="AH977" s="70"/>
      <c r="AI977" s="70"/>
      <c r="AJ977" s="70"/>
      <c r="AK977" s="70"/>
      <c r="AL977" s="70"/>
      <c r="AM977" s="70"/>
      <c r="AN977" s="70"/>
      <c r="AO977" s="70"/>
      <c r="AP977" s="70"/>
      <c r="AQ977" s="70"/>
      <c r="AR977" s="70"/>
      <c r="AS977" s="70"/>
      <c r="AT977" s="70"/>
      <c r="AU977" s="70"/>
      <c r="AV977" s="70"/>
      <c r="AW977" s="70"/>
      <c r="AX977" s="70"/>
      <c r="AY977" s="70"/>
      <c r="AZ977" s="70"/>
      <c r="BA977" s="70"/>
      <c r="BB977" s="70"/>
    </row>
    <row r="978" ht="14.25" customHeight="1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  <c r="AA978" s="70"/>
      <c r="AB978" s="70"/>
      <c r="AC978" s="70"/>
      <c r="AD978" s="70"/>
      <c r="AE978" s="70"/>
      <c r="AF978" s="70"/>
      <c r="AG978" s="70"/>
      <c r="AH978" s="70"/>
      <c r="AI978" s="70"/>
      <c r="AJ978" s="70"/>
      <c r="AK978" s="70"/>
      <c r="AL978" s="70"/>
      <c r="AM978" s="70"/>
      <c r="AN978" s="70"/>
      <c r="AO978" s="70"/>
      <c r="AP978" s="70"/>
      <c r="AQ978" s="70"/>
      <c r="AR978" s="70"/>
      <c r="AS978" s="70"/>
      <c r="AT978" s="70"/>
      <c r="AU978" s="70"/>
      <c r="AV978" s="70"/>
      <c r="AW978" s="70"/>
      <c r="AX978" s="70"/>
      <c r="AY978" s="70"/>
      <c r="AZ978" s="70"/>
      <c r="BA978" s="70"/>
      <c r="BB978" s="70"/>
    </row>
    <row r="979" ht="14.25" customHeight="1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  <c r="AA979" s="70"/>
      <c r="AB979" s="70"/>
      <c r="AC979" s="70"/>
      <c r="AD979" s="70"/>
      <c r="AE979" s="70"/>
      <c r="AF979" s="70"/>
      <c r="AG979" s="70"/>
      <c r="AH979" s="70"/>
      <c r="AI979" s="70"/>
      <c r="AJ979" s="70"/>
      <c r="AK979" s="70"/>
      <c r="AL979" s="70"/>
      <c r="AM979" s="70"/>
      <c r="AN979" s="70"/>
      <c r="AO979" s="70"/>
      <c r="AP979" s="70"/>
      <c r="AQ979" s="70"/>
      <c r="AR979" s="70"/>
      <c r="AS979" s="70"/>
      <c r="AT979" s="70"/>
      <c r="AU979" s="70"/>
      <c r="AV979" s="70"/>
      <c r="AW979" s="70"/>
      <c r="AX979" s="70"/>
      <c r="AY979" s="70"/>
      <c r="AZ979" s="70"/>
      <c r="BA979" s="70"/>
      <c r="BB979" s="70"/>
    </row>
    <row r="980" ht="14.25" customHeight="1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  <c r="AA980" s="70"/>
      <c r="AB980" s="70"/>
      <c r="AC980" s="70"/>
      <c r="AD980" s="70"/>
      <c r="AE980" s="70"/>
      <c r="AF980" s="70"/>
      <c r="AG980" s="70"/>
      <c r="AH980" s="70"/>
      <c r="AI980" s="70"/>
      <c r="AJ980" s="70"/>
      <c r="AK980" s="70"/>
      <c r="AL980" s="70"/>
      <c r="AM980" s="70"/>
      <c r="AN980" s="70"/>
      <c r="AO980" s="70"/>
      <c r="AP980" s="70"/>
      <c r="AQ980" s="70"/>
      <c r="AR980" s="70"/>
      <c r="AS980" s="70"/>
      <c r="AT980" s="70"/>
      <c r="AU980" s="70"/>
      <c r="AV980" s="70"/>
      <c r="AW980" s="70"/>
      <c r="AX980" s="70"/>
      <c r="AY980" s="70"/>
      <c r="AZ980" s="70"/>
      <c r="BA980" s="70"/>
      <c r="BB980" s="70"/>
    </row>
    <row r="981" ht="14.25" customHeight="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  <c r="AA981" s="70"/>
      <c r="AB981" s="70"/>
      <c r="AC981" s="70"/>
      <c r="AD981" s="70"/>
      <c r="AE981" s="70"/>
      <c r="AF981" s="70"/>
      <c r="AG981" s="70"/>
      <c r="AH981" s="70"/>
      <c r="AI981" s="70"/>
      <c r="AJ981" s="70"/>
      <c r="AK981" s="70"/>
      <c r="AL981" s="70"/>
      <c r="AM981" s="70"/>
      <c r="AN981" s="70"/>
      <c r="AO981" s="70"/>
      <c r="AP981" s="70"/>
      <c r="AQ981" s="70"/>
      <c r="AR981" s="70"/>
      <c r="AS981" s="70"/>
      <c r="AT981" s="70"/>
      <c r="AU981" s="70"/>
      <c r="AV981" s="70"/>
      <c r="AW981" s="70"/>
      <c r="AX981" s="70"/>
      <c r="AY981" s="70"/>
      <c r="AZ981" s="70"/>
      <c r="BA981" s="70"/>
      <c r="BB981" s="70"/>
    </row>
    <row r="982" ht="14.25" customHeight="1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  <c r="AA982" s="70"/>
      <c r="AB982" s="70"/>
      <c r="AC982" s="70"/>
      <c r="AD982" s="70"/>
      <c r="AE982" s="70"/>
      <c r="AF982" s="70"/>
      <c r="AG982" s="70"/>
      <c r="AH982" s="70"/>
      <c r="AI982" s="70"/>
      <c r="AJ982" s="70"/>
      <c r="AK982" s="70"/>
      <c r="AL982" s="70"/>
      <c r="AM982" s="70"/>
      <c r="AN982" s="70"/>
      <c r="AO982" s="70"/>
      <c r="AP982" s="70"/>
      <c r="AQ982" s="70"/>
      <c r="AR982" s="70"/>
      <c r="AS982" s="70"/>
      <c r="AT982" s="70"/>
      <c r="AU982" s="70"/>
      <c r="AV982" s="70"/>
      <c r="AW982" s="70"/>
      <c r="AX982" s="70"/>
      <c r="AY982" s="70"/>
      <c r="AZ982" s="70"/>
      <c r="BA982" s="70"/>
      <c r="BB982" s="70"/>
    </row>
    <row r="983" ht="14.25" customHeight="1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  <c r="AA983" s="70"/>
      <c r="AB983" s="70"/>
      <c r="AC983" s="70"/>
      <c r="AD983" s="70"/>
      <c r="AE983" s="70"/>
      <c r="AF983" s="70"/>
      <c r="AG983" s="70"/>
      <c r="AH983" s="70"/>
      <c r="AI983" s="70"/>
      <c r="AJ983" s="70"/>
      <c r="AK983" s="70"/>
      <c r="AL983" s="70"/>
      <c r="AM983" s="70"/>
      <c r="AN983" s="70"/>
      <c r="AO983" s="70"/>
      <c r="AP983" s="70"/>
      <c r="AQ983" s="70"/>
      <c r="AR983" s="70"/>
      <c r="AS983" s="70"/>
      <c r="AT983" s="70"/>
      <c r="AU983" s="70"/>
      <c r="AV983" s="70"/>
      <c r="AW983" s="70"/>
      <c r="AX983" s="70"/>
      <c r="AY983" s="70"/>
      <c r="AZ983" s="70"/>
      <c r="BA983" s="70"/>
      <c r="BB983" s="70"/>
    </row>
    <row r="984" ht="14.25" customHeight="1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  <c r="AA984" s="70"/>
      <c r="AB984" s="70"/>
      <c r="AC984" s="70"/>
      <c r="AD984" s="70"/>
      <c r="AE984" s="70"/>
      <c r="AF984" s="70"/>
      <c r="AG984" s="70"/>
      <c r="AH984" s="70"/>
      <c r="AI984" s="70"/>
      <c r="AJ984" s="70"/>
      <c r="AK984" s="70"/>
      <c r="AL984" s="70"/>
      <c r="AM984" s="70"/>
      <c r="AN984" s="70"/>
      <c r="AO984" s="70"/>
      <c r="AP984" s="70"/>
      <c r="AQ984" s="70"/>
      <c r="AR984" s="70"/>
      <c r="AS984" s="70"/>
      <c r="AT984" s="70"/>
      <c r="AU984" s="70"/>
      <c r="AV984" s="70"/>
      <c r="AW984" s="70"/>
      <c r="AX984" s="70"/>
      <c r="AY984" s="70"/>
      <c r="AZ984" s="70"/>
      <c r="BA984" s="70"/>
      <c r="BB984" s="70"/>
    </row>
    <row r="985" ht="14.25" customHeight="1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  <c r="AA985" s="70"/>
      <c r="AB985" s="70"/>
      <c r="AC985" s="70"/>
      <c r="AD985" s="70"/>
      <c r="AE985" s="70"/>
      <c r="AF985" s="70"/>
      <c r="AG985" s="70"/>
      <c r="AH985" s="70"/>
      <c r="AI985" s="70"/>
      <c r="AJ985" s="70"/>
      <c r="AK985" s="70"/>
      <c r="AL985" s="70"/>
      <c r="AM985" s="70"/>
      <c r="AN985" s="70"/>
      <c r="AO985" s="70"/>
      <c r="AP985" s="70"/>
      <c r="AQ985" s="70"/>
      <c r="AR985" s="70"/>
      <c r="AS985" s="70"/>
      <c r="AT985" s="70"/>
      <c r="AU985" s="70"/>
      <c r="AV985" s="70"/>
      <c r="AW985" s="70"/>
      <c r="AX985" s="70"/>
      <c r="AY985" s="70"/>
      <c r="AZ985" s="70"/>
      <c r="BA985" s="70"/>
      <c r="BB985" s="70"/>
    </row>
    <row r="986" ht="14.25" customHeight="1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  <c r="AA986" s="70"/>
      <c r="AB986" s="70"/>
      <c r="AC986" s="70"/>
      <c r="AD986" s="70"/>
      <c r="AE986" s="70"/>
      <c r="AF986" s="70"/>
      <c r="AG986" s="70"/>
      <c r="AH986" s="70"/>
      <c r="AI986" s="70"/>
      <c r="AJ986" s="70"/>
      <c r="AK986" s="70"/>
      <c r="AL986" s="70"/>
      <c r="AM986" s="70"/>
      <c r="AN986" s="70"/>
      <c r="AO986" s="70"/>
      <c r="AP986" s="70"/>
      <c r="AQ986" s="70"/>
      <c r="AR986" s="70"/>
      <c r="AS986" s="70"/>
      <c r="AT986" s="70"/>
      <c r="AU986" s="70"/>
      <c r="AV986" s="70"/>
      <c r="AW986" s="70"/>
      <c r="AX986" s="70"/>
      <c r="AY986" s="70"/>
      <c r="AZ986" s="70"/>
      <c r="BA986" s="70"/>
      <c r="BB986" s="70"/>
    </row>
    <row r="987" ht="14.25" customHeight="1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  <c r="AA987" s="70"/>
      <c r="AB987" s="70"/>
      <c r="AC987" s="70"/>
      <c r="AD987" s="70"/>
      <c r="AE987" s="70"/>
      <c r="AF987" s="70"/>
      <c r="AG987" s="70"/>
      <c r="AH987" s="70"/>
      <c r="AI987" s="70"/>
      <c r="AJ987" s="70"/>
      <c r="AK987" s="70"/>
      <c r="AL987" s="70"/>
      <c r="AM987" s="70"/>
      <c r="AN987" s="70"/>
      <c r="AO987" s="70"/>
      <c r="AP987" s="70"/>
      <c r="AQ987" s="70"/>
      <c r="AR987" s="70"/>
      <c r="AS987" s="70"/>
      <c r="AT987" s="70"/>
      <c r="AU987" s="70"/>
      <c r="AV987" s="70"/>
      <c r="AW987" s="70"/>
      <c r="AX987" s="70"/>
      <c r="AY987" s="70"/>
      <c r="AZ987" s="70"/>
      <c r="BA987" s="70"/>
      <c r="BB987" s="70"/>
    </row>
    <row r="988" ht="14.25" customHeight="1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  <c r="AA988" s="70"/>
      <c r="AB988" s="70"/>
      <c r="AC988" s="70"/>
      <c r="AD988" s="70"/>
      <c r="AE988" s="70"/>
      <c r="AF988" s="70"/>
      <c r="AG988" s="70"/>
      <c r="AH988" s="70"/>
      <c r="AI988" s="70"/>
      <c r="AJ988" s="70"/>
      <c r="AK988" s="70"/>
      <c r="AL988" s="70"/>
      <c r="AM988" s="70"/>
      <c r="AN988" s="70"/>
      <c r="AO988" s="70"/>
      <c r="AP988" s="70"/>
      <c r="AQ988" s="70"/>
      <c r="AR988" s="70"/>
      <c r="AS988" s="70"/>
      <c r="AT988" s="70"/>
      <c r="AU988" s="70"/>
      <c r="AV988" s="70"/>
      <c r="AW988" s="70"/>
      <c r="AX988" s="70"/>
      <c r="AY988" s="70"/>
      <c r="AZ988" s="70"/>
      <c r="BA988" s="70"/>
      <c r="BB988" s="70"/>
    </row>
    <row r="989" ht="14.25" customHeight="1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  <c r="AA989" s="70"/>
      <c r="AB989" s="70"/>
      <c r="AC989" s="70"/>
      <c r="AD989" s="70"/>
      <c r="AE989" s="70"/>
      <c r="AF989" s="70"/>
      <c r="AG989" s="70"/>
      <c r="AH989" s="70"/>
      <c r="AI989" s="70"/>
      <c r="AJ989" s="70"/>
      <c r="AK989" s="70"/>
      <c r="AL989" s="70"/>
      <c r="AM989" s="70"/>
      <c r="AN989" s="70"/>
      <c r="AO989" s="70"/>
      <c r="AP989" s="70"/>
      <c r="AQ989" s="70"/>
      <c r="AR989" s="70"/>
      <c r="AS989" s="70"/>
      <c r="AT989" s="70"/>
      <c r="AU989" s="70"/>
      <c r="AV989" s="70"/>
      <c r="AW989" s="70"/>
      <c r="AX989" s="70"/>
      <c r="AY989" s="70"/>
      <c r="AZ989" s="70"/>
      <c r="BA989" s="70"/>
      <c r="BB989" s="70"/>
    </row>
    <row r="990" ht="14.25" customHeight="1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  <c r="AA990" s="70"/>
      <c r="AB990" s="70"/>
      <c r="AC990" s="70"/>
      <c r="AD990" s="70"/>
      <c r="AE990" s="70"/>
      <c r="AF990" s="70"/>
      <c r="AG990" s="70"/>
      <c r="AH990" s="70"/>
      <c r="AI990" s="70"/>
      <c r="AJ990" s="70"/>
      <c r="AK990" s="70"/>
      <c r="AL990" s="70"/>
      <c r="AM990" s="70"/>
      <c r="AN990" s="70"/>
      <c r="AO990" s="70"/>
      <c r="AP990" s="70"/>
      <c r="AQ990" s="70"/>
      <c r="AR990" s="70"/>
      <c r="AS990" s="70"/>
      <c r="AT990" s="70"/>
      <c r="AU990" s="70"/>
      <c r="AV990" s="70"/>
      <c r="AW990" s="70"/>
      <c r="AX990" s="70"/>
      <c r="AY990" s="70"/>
      <c r="AZ990" s="70"/>
      <c r="BA990" s="70"/>
      <c r="BB990" s="70"/>
    </row>
    <row r="991" ht="14.25" customHeight="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  <c r="AA991" s="70"/>
      <c r="AB991" s="70"/>
      <c r="AC991" s="70"/>
      <c r="AD991" s="70"/>
      <c r="AE991" s="70"/>
      <c r="AF991" s="70"/>
      <c r="AG991" s="70"/>
      <c r="AH991" s="70"/>
      <c r="AI991" s="70"/>
      <c r="AJ991" s="70"/>
      <c r="AK991" s="70"/>
      <c r="AL991" s="70"/>
      <c r="AM991" s="70"/>
      <c r="AN991" s="70"/>
      <c r="AO991" s="70"/>
      <c r="AP991" s="70"/>
      <c r="AQ991" s="70"/>
      <c r="AR991" s="70"/>
      <c r="AS991" s="70"/>
      <c r="AT991" s="70"/>
      <c r="AU991" s="70"/>
      <c r="AV991" s="70"/>
      <c r="AW991" s="70"/>
      <c r="AX991" s="70"/>
      <c r="AY991" s="70"/>
      <c r="AZ991" s="70"/>
      <c r="BA991" s="70"/>
      <c r="BB991" s="70"/>
    </row>
    <row r="992" ht="14.25" customHeight="1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  <c r="AA992" s="70"/>
      <c r="AB992" s="70"/>
      <c r="AC992" s="70"/>
      <c r="AD992" s="70"/>
      <c r="AE992" s="70"/>
      <c r="AF992" s="70"/>
      <c r="AG992" s="70"/>
      <c r="AH992" s="70"/>
      <c r="AI992" s="70"/>
      <c r="AJ992" s="70"/>
      <c r="AK992" s="70"/>
      <c r="AL992" s="70"/>
      <c r="AM992" s="70"/>
      <c r="AN992" s="70"/>
      <c r="AO992" s="70"/>
      <c r="AP992" s="70"/>
      <c r="AQ992" s="70"/>
      <c r="AR992" s="70"/>
      <c r="AS992" s="70"/>
      <c r="AT992" s="70"/>
      <c r="AU992" s="70"/>
      <c r="AV992" s="70"/>
      <c r="AW992" s="70"/>
      <c r="AX992" s="70"/>
      <c r="AY992" s="70"/>
      <c r="AZ992" s="70"/>
      <c r="BA992" s="70"/>
      <c r="BB992" s="70"/>
    </row>
    <row r="993" ht="14.25" customHeight="1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  <c r="AA993" s="70"/>
      <c r="AB993" s="70"/>
      <c r="AC993" s="70"/>
      <c r="AD993" s="70"/>
      <c r="AE993" s="70"/>
      <c r="AF993" s="70"/>
      <c r="AG993" s="70"/>
      <c r="AH993" s="70"/>
      <c r="AI993" s="70"/>
      <c r="AJ993" s="70"/>
      <c r="AK993" s="70"/>
      <c r="AL993" s="70"/>
      <c r="AM993" s="70"/>
      <c r="AN993" s="70"/>
      <c r="AO993" s="70"/>
      <c r="AP993" s="70"/>
      <c r="AQ993" s="70"/>
      <c r="AR993" s="70"/>
      <c r="AS993" s="70"/>
      <c r="AT993" s="70"/>
      <c r="AU993" s="70"/>
      <c r="AV993" s="70"/>
      <c r="AW993" s="70"/>
      <c r="AX993" s="70"/>
      <c r="AY993" s="70"/>
      <c r="AZ993" s="70"/>
      <c r="BA993" s="70"/>
      <c r="BB993" s="70"/>
    </row>
    <row r="994" ht="14.25" customHeight="1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  <c r="AA994" s="70"/>
      <c r="AB994" s="70"/>
      <c r="AC994" s="70"/>
      <c r="AD994" s="70"/>
      <c r="AE994" s="70"/>
      <c r="AF994" s="70"/>
      <c r="AG994" s="70"/>
      <c r="AH994" s="70"/>
      <c r="AI994" s="70"/>
      <c r="AJ994" s="70"/>
      <c r="AK994" s="70"/>
      <c r="AL994" s="70"/>
      <c r="AM994" s="70"/>
      <c r="AN994" s="70"/>
      <c r="AO994" s="70"/>
      <c r="AP994" s="70"/>
      <c r="AQ994" s="70"/>
      <c r="AR994" s="70"/>
      <c r="AS994" s="70"/>
      <c r="AT994" s="70"/>
      <c r="AU994" s="70"/>
      <c r="AV994" s="70"/>
      <c r="AW994" s="70"/>
      <c r="AX994" s="70"/>
      <c r="AY994" s="70"/>
      <c r="AZ994" s="70"/>
      <c r="BA994" s="70"/>
      <c r="BB994" s="70"/>
    </row>
    <row r="995" ht="14.25" customHeight="1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  <c r="AA995" s="70"/>
      <c r="AB995" s="70"/>
      <c r="AC995" s="70"/>
      <c r="AD995" s="70"/>
      <c r="AE995" s="70"/>
      <c r="AF995" s="70"/>
      <c r="AG995" s="70"/>
      <c r="AH995" s="70"/>
      <c r="AI995" s="70"/>
      <c r="AJ995" s="70"/>
      <c r="AK995" s="70"/>
      <c r="AL995" s="70"/>
      <c r="AM995" s="70"/>
      <c r="AN995" s="70"/>
      <c r="AO995" s="70"/>
      <c r="AP995" s="70"/>
      <c r="AQ995" s="70"/>
      <c r="AR995" s="70"/>
      <c r="AS995" s="70"/>
      <c r="AT995" s="70"/>
      <c r="AU995" s="70"/>
      <c r="AV995" s="70"/>
      <c r="AW995" s="70"/>
      <c r="AX995" s="70"/>
      <c r="AY995" s="70"/>
      <c r="AZ995" s="70"/>
      <c r="BA995" s="70"/>
      <c r="BB995" s="70"/>
    </row>
    <row r="996" ht="14.25" customHeight="1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  <c r="AA996" s="70"/>
      <c r="AB996" s="70"/>
      <c r="AC996" s="70"/>
      <c r="AD996" s="70"/>
      <c r="AE996" s="70"/>
      <c r="AF996" s="70"/>
      <c r="AG996" s="70"/>
      <c r="AH996" s="70"/>
      <c r="AI996" s="70"/>
      <c r="AJ996" s="70"/>
      <c r="AK996" s="70"/>
      <c r="AL996" s="70"/>
      <c r="AM996" s="70"/>
      <c r="AN996" s="70"/>
      <c r="AO996" s="70"/>
      <c r="AP996" s="70"/>
      <c r="AQ996" s="70"/>
      <c r="AR996" s="70"/>
      <c r="AS996" s="70"/>
      <c r="AT996" s="70"/>
      <c r="AU996" s="70"/>
      <c r="AV996" s="70"/>
      <c r="AW996" s="70"/>
      <c r="AX996" s="70"/>
      <c r="AY996" s="70"/>
      <c r="AZ996" s="70"/>
      <c r="BA996" s="70"/>
      <c r="BB996" s="70"/>
    </row>
    <row r="997" ht="14.25" customHeight="1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  <c r="AA997" s="70"/>
      <c r="AB997" s="70"/>
      <c r="AC997" s="70"/>
      <c r="AD997" s="70"/>
      <c r="AE997" s="70"/>
      <c r="AF997" s="70"/>
      <c r="AG997" s="70"/>
      <c r="AH997" s="70"/>
      <c r="AI997" s="70"/>
      <c r="AJ997" s="70"/>
      <c r="AK997" s="70"/>
      <c r="AL997" s="70"/>
      <c r="AM997" s="70"/>
      <c r="AN997" s="70"/>
      <c r="AO997" s="70"/>
      <c r="AP997" s="70"/>
      <c r="AQ997" s="70"/>
      <c r="AR997" s="70"/>
      <c r="AS997" s="70"/>
      <c r="AT997" s="70"/>
      <c r="AU997" s="70"/>
      <c r="AV997" s="70"/>
      <c r="AW997" s="70"/>
      <c r="AX997" s="70"/>
      <c r="AY997" s="70"/>
      <c r="AZ997" s="70"/>
      <c r="BA997" s="70"/>
      <c r="BB997" s="70"/>
    </row>
    <row r="998" ht="14.25" customHeight="1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  <c r="AA998" s="70"/>
      <c r="AB998" s="70"/>
      <c r="AC998" s="70"/>
      <c r="AD998" s="70"/>
      <c r="AE998" s="70"/>
      <c r="AF998" s="70"/>
      <c r="AG998" s="70"/>
      <c r="AH998" s="70"/>
      <c r="AI998" s="70"/>
      <c r="AJ998" s="70"/>
      <c r="AK998" s="70"/>
      <c r="AL998" s="70"/>
      <c r="AM998" s="70"/>
      <c r="AN998" s="70"/>
      <c r="AO998" s="70"/>
      <c r="AP998" s="70"/>
      <c r="AQ998" s="70"/>
      <c r="AR998" s="70"/>
      <c r="AS998" s="70"/>
      <c r="AT998" s="70"/>
      <c r="AU998" s="70"/>
      <c r="AV998" s="70"/>
      <c r="AW998" s="70"/>
      <c r="AX998" s="70"/>
      <c r="AY998" s="70"/>
      <c r="AZ998" s="70"/>
      <c r="BA998" s="70"/>
      <c r="BB998" s="70"/>
    </row>
    <row r="999" ht="14.25" customHeight="1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  <c r="AA999" s="70"/>
      <c r="AB999" s="70"/>
      <c r="AC999" s="70"/>
      <c r="AD999" s="70"/>
      <c r="AE999" s="70"/>
      <c r="AF999" s="70"/>
      <c r="AG999" s="70"/>
      <c r="AH999" s="70"/>
      <c r="AI999" s="70"/>
      <c r="AJ999" s="70"/>
      <c r="AK999" s="70"/>
      <c r="AL999" s="70"/>
      <c r="AM999" s="70"/>
      <c r="AN999" s="70"/>
      <c r="AO999" s="70"/>
      <c r="AP999" s="70"/>
      <c r="AQ999" s="70"/>
      <c r="AR999" s="70"/>
      <c r="AS999" s="70"/>
      <c r="AT999" s="70"/>
      <c r="AU999" s="70"/>
      <c r="AV999" s="70"/>
      <c r="AW999" s="70"/>
      <c r="AX999" s="70"/>
      <c r="AY999" s="70"/>
      <c r="AZ999" s="70"/>
      <c r="BA999" s="70"/>
      <c r="BB999" s="70"/>
    </row>
    <row r="1000" ht="14.25" customHeight="1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  <c r="AA1000" s="70"/>
      <c r="AB1000" s="70"/>
      <c r="AC1000" s="70"/>
      <c r="AD1000" s="70"/>
      <c r="AE1000" s="70"/>
      <c r="AF1000" s="70"/>
      <c r="AG1000" s="70"/>
      <c r="AH1000" s="70"/>
      <c r="AI1000" s="70"/>
      <c r="AJ1000" s="70"/>
      <c r="AK1000" s="70"/>
      <c r="AL1000" s="70"/>
      <c r="AM1000" s="70"/>
      <c r="AN1000" s="70"/>
      <c r="AO1000" s="70"/>
      <c r="AP1000" s="70"/>
      <c r="AQ1000" s="70"/>
      <c r="AR1000" s="70"/>
      <c r="AS1000" s="70"/>
      <c r="AT1000" s="70"/>
      <c r="AU1000" s="70"/>
      <c r="AV1000" s="70"/>
      <c r="AW1000" s="70"/>
      <c r="AX1000" s="70"/>
      <c r="AY1000" s="70"/>
      <c r="AZ1000" s="70"/>
      <c r="BA1000" s="70"/>
      <c r="BB1000" s="70"/>
    </row>
  </sheetData>
  <mergeCells count="181">
    <mergeCell ref="A1:E5"/>
    <mergeCell ref="F1:J5"/>
    <mergeCell ref="K1:AF1"/>
    <mergeCell ref="AG1:AN5"/>
    <mergeCell ref="K2:AF2"/>
    <mergeCell ref="K3:AF5"/>
    <mergeCell ref="G6:AN6"/>
    <mergeCell ref="A7:F7"/>
    <mergeCell ref="A8:F8"/>
    <mergeCell ref="A9:F10"/>
    <mergeCell ref="A13:E15"/>
    <mergeCell ref="X8:AD8"/>
    <mergeCell ref="AE8:AJ8"/>
    <mergeCell ref="X9:AD9"/>
    <mergeCell ref="AE9:AG9"/>
    <mergeCell ref="AH9:AN9"/>
    <mergeCell ref="AU7:AW7"/>
    <mergeCell ref="AU8:AW8"/>
    <mergeCell ref="AX8:AZ8"/>
    <mergeCell ref="BA8:BB8"/>
    <mergeCell ref="A6:F6"/>
    <mergeCell ref="O7:W7"/>
    <mergeCell ref="X7:AN7"/>
    <mergeCell ref="AP7:AT8"/>
    <mergeCell ref="AX7:AZ7"/>
    <mergeCell ref="BA7:BB7"/>
    <mergeCell ref="AK8:AN8"/>
    <mergeCell ref="G7:N7"/>
    <mergeCell ref="G8:S8"/>
    <mergeCell ref="T8:W8"/>
    <mergeCell ref="G9:K9"/>
    <mergeCell ref="L9:P9"/>
    <mergeCell ref="Q9:T9"/>
    <mergeCell ref="U9:W9"/>
    <mergeCell ref="G10:K10"/>
    <mergeCell ref="U10:W10"/>
    <mergeCell ref="Z23:AD23"/>
    <mergeCell ref="AE23:AI23"/>
    <mergeCell ref="A22:O22"/>
    <mergeCell ref="P22:T22"/>
    <mergeCell ref="U22:Y22"/>
    <mergeCell ref="Z22:AD22"/>
    <mergeCell ref="AE22:AI22"/>
    <mergeCell ref="AJ22:AN22"/>
    <mergeCell ref="AJ23:AN23"/>
    <mergeCell ref="L10:P10"/>
    <mergeCell ref="Q10:T10"/>
    <mergeCell ref="X10:AD10"/>
    <mergeCell ref="AE10:AG10"/>
    <mergeCell ref="AH10:AN10"/>
    <mergeCell ref="A11:AN11"/>
    <mergeCell ref="F13:AM15"/>
    <mergeCell ref="R18:X18"/>
    <mergeCell ref="Y18:AB18"/>
    <mergeCell ref="AC18:AF18"/>
    <mergeCell ref="AG18:AM18"/>
    <mergeCell ref="A16:AN16"/>
    <mergeCell ref="B17:K17"/>
    <mergeCell ref="L17:AM17"/>
    <mergeCell ref="B18:F18"/>
    <mergeCell ref="G18:K18"/>
    <mergeCell ref="L18:N18"/>
    <mergeCell ref="O18:Q18"/>
    <mergeCell ref="A20:AN20"/>
    <mergeCell ref="A21:O21"/>
    <mergeCell ref="P21:T21"/>
    <mergeCell ref="U21:Y21"/>
    <mergeCell ref="Z21:AD21"/>
    <mergeCell ref="AE21:AI21"/>
    <mergeCell ref="AJ21:AN21"/>
    <mergeCell ref="P23:T23"/>
    <mergeCell ref="U23:Y23"/>
    <mergeCell ref="A23:O23"/>
    <mergeCell ref="A24:O24"/>
    <mergeCell ref="P24:T24"/>
    <mergeCell ref="U24:Y24"/>
    <mergeCell ref="Z24:AD24"/>
    <mergeCell ref="AE24:AI24"/>
    <mergeCell ref="AJ24:AN24"/>
    <mergeCell ref="A35:AN35"/>
    <mergeCell ref="B36:AI36"/>
    <mergeCell ref="AJ36:AN36"/>
    <mergeCell ref="B37:AI37"/>
    <mergeCell ref="AJ37:AN37"/>
    <mergeCell ref="B38:AI38"/>
    <mergeCell ref="AJ38:AN38"/>
    <mergeCell ref="B39:AI39"/>
    <mergeCell ref="AJ39:AN39"/>
    <mergeCell ref="B40:AI40"/>
    <mergeCell ref="AJ40:AN40"/>
    <mergeCell ref="B41:AI41"/>
    <mergeCell ref="AJ41:AN41"/>
    <mergeCell ref="A42:AN42"/>
    <mergeCell ref="P26:T26"/>
    <mergeCell ref="U26:Y26"/>
    <mergeCell ref="Z26:AD26"/>
    <mergeCell ref="AE26:AI26"/>
    <mergeCell ref="A25:O25"/>
    <mergeCell ref="P25:T25"/>
    <mergeCell ref="U25:Y25"/>
    <mergeCell ref="Z25:AD25"/>
    <mergeCell ref="AE25:AI25"/>
    <mergeCell ref="AJ25:AN25"/>
    <mergeCell ref="AJ26:AN26"/>
    <mergeCell ref="A26:O26"/>
    <mergeCell ref="A27:AN27"/>
    <mergeCell ref="A28:AN28"/>
    <mergeCell ref="A29:AI29"/>
    <mergeCell ref="AJ29:AN29"/>
    <mergeCell ref="B30:AI30"/>
    <mergeCell ref="AJ30:AN30"/>
    <mergeCell ref="S34:AI34"/>
    <mergeCell ref="AJ34:AN34"/>
    <mergeCell ref="B31:AI31"/>
    <mergeCell ref="AJ31:AN31"/>
    <mergeCell ref="B32:AI32"/>
    <mergeCell ref="AJ32:AN32"/>
    <mergeCell ref="A33:AN33"/>
    <mergeCell ref="A34:N34"/>
    <mergeCell ref="O34:R34"/>
    <mergeCell ref="A43:N43"/>
    <mergeCell ref="O43:R43"/>
    <mergeCell ref="S43:AI43"/>
    <mergeCell ref="AJ43:AN43"/>
    <mergeCell ref="A44:AN44"/>
    <mergeCell ref="B45:AI45"/>
    <mergeCell ref="AJ45:AN45"/>
    <mergeCell ref="A61:Q61"/>
    <mergeCell ref="R61:U61"/>
    <mergeCell ref="V61:W61"/>
    <mergeCell ref="X61:AA61"/>
    <mergeCell ref="AB61:AD61"/>
    <mergeCell ref="AE61:AJ61"/>
    <mergeCell ref="AK61:AN61"/>
    <mergeCell ref="A62:AN62"/>
    <mergeCell ref="A63:AN63"/>
    <mergeCell ref="A64:AN64"/>
    <mergeCell ref="A65:AN65"/>
    <mergeCell ref="C67:N67"/>
    <mergeCell ref="O67:Z67"/>
    <mergeCell ref="AA67:AL67"/>
    <mergeCell ref="B46:AI46"/>
    <mergeCell ref="AJ46:AN46"/>
    <mergeCell ref="B47:AI47"/>
    <mergeCell ref="AJ47:AN47"/>
    <mergeCell ref="B48:AI48"/>
    <mergeCell ref="AJ48:AN48"/>
    <mergeCell ref="AJ49:AN49"/>
    <mergeCell ref="O53:R53"/>
    <mergeCell ref="S53:AI53"/>
    <mergeCell ref="B49:AI49"/>
    <mergeCell ref="B50:AI50"/>
    <mergeCell ref="AJ50:AN50"/>
    <mergeCell ref="B51:AI51"/>
    <mergeCell ref="AJ51:AN51"/>
    <mergeCell ref="A52:AN52"/>
    <mergeCell ref="AJ53:AN53"/>
    <mergeCell ref="A53:N53"/>
    <mergeCell ref="A54:AN54"/>
    <mergeCell ref="B55:AI55"/>
    <mergeCell ref="AJ55:AN55"/>
    <mergeCell ref="B56:AI56"/>
    <mergeCell ref="AJ56:AN56"/>
    <mergeCell ref="AJ57:AN57"/>
    <mergeCell ref="S60:AI60"/>
    <mergeCell ref="AJ60:AN60"/>
    <mergeCell ref="B57:AI57"/>
    <mergeCell ref="B58:AI58"/>
    <mergeCell ref="AJ58:AN58"/>
    <mergeCell ref="B59:AI59"/>
    <mergeCell ref="AJ59:AN59"/>
    <mergeCell ref="A60:N60"/>
    <mergeCell ref="O60:R60"/>
    <mergeCell ref="O68:Z69"/>
    <mergeCell ref="AA68:AL69"/>
    <mergeCell ref="O70:Z70"/>
    <mergeCell ref="AA70:AL70"/>
    <mergeCell ref="O71:Z71"/>
    <mergeCell ref="AA71:AL71"/>
    <mergeCell ref="O72:Z72"/>
    <mergeCell ref="AA72:AL7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3.71"/>
    <col customWidth="1" min="6" max="6" width="5.0"/>
    <col customWidth="1" min="7" max="9" width="3.71"/>
    <col customWidth="1" min="10" max="10" width="4.29"/>
    <col customWidth="1" min="11" max="11" width="5.86"/>
    <col customWidth="1" min="12" max="25" width="3.71"/>
    <col customWidth="1" min="26" max="26" width="7.0"/>
    <col customWidth="1" min="27" max="40" width="3.71"/>
    <col customWidth="1" min="41" max="54" width="11.43"/>
  </cols>
  <sheetData>
    <row r="1" ht="15.0" customHeight="1">
      <c r="A1" s="143"/>
      <c r="B1" s="14"/>
      <c r="C1" s="14"/>
      <c r="D1" s="14"/>
      <c r="E1" s="14"/>
      <c r="F1" s="14"/>
      <c r="G1" s="14"/>
      <c r="H1" s="14"/>
      <c r="I1" s="14"/>
      <c r="J1" s="15"/>
      <c r="K1" s="144" t="s">
        <v>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7"/>
      <c r="AH1" s="145" t="s">
        <v>1</v>
      </c>
      <c r="AI1" s="14"/>
      <c r="AJ1" s="14"/>
      <c r="AK1" s="14"/>
      <c r="AL1" s="14"/>
      <c r="AM1" s="14"/>
      <c r="AN1" s="15"/>
      <c r="AO1" s="146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</row>
    <row r="2" ht="15.0" customHeight="1">
      <c r="A2" s="16"/>
      <c r="J2" s="17"/>
      <c r="K2" s="47" t="s">
        <v>114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7"/>
      <c r="AH2" s="16"/>
      <c r="AN2" s="17"/>
      <c r="AO2" s="146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</row>
    <row r="3" ht="15.0" customHeight="1">
      <c r="A3" s="16"/>
      <c r="J3" s="17"/>
      <c r="K3" s="16"/>
      <c r="AG3" s="11"/>
      <c r="AH3" s="16"/>
      <c r="AN3" s="17"/>
      <c r="AO3" s="146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</row>
    <row r="4" ht="15.0" customHeight="1">
      <c r="A4" s="16"/>
      <c r="J4" s="17"/>
      <c r="K4" s="16"/>
      <c r="AG4" s="11"/>
      <c r="AH4" s="16"/>
      <c r="AN4" s="17"/>
      <c r="AO4" s="146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</row>
    <row r="5" ht="15.0" customHeight="1">
      <c r="A5" s="24"/>
      <c r="B5" s="25"/>
      <c r="C5" s="25"/>
      <c r="D5" s="25"/>
      <c r="E5" s="25"/>
      <c r="F5" s="25"/>
      <c r="G5" s="25"/>
      <c r="H5" s="25"/>
      <c r="I5" s="25"/>
      <c r="J5" s="26"/>
      <c r="K5" s="24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148"/>
      <c r="AH5" s="24"/>
      <c r="AI5" s="25"/>
      <c r="AJ5" s="25"/>
      <c r="AK5" s="25"/>
      <c r="AL5" s="25"/>
      <c r="AM5" s="25"/>
      <c r="AN5" s="26"/>
      <c r="AO5" s="146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</row>
    <row r="6" ht="19.5" customHeight="1">
      <c r="A6" s="73" t="s">
        <v>47</v>
      </c>
      <c r="B6" s="6"/>
      <c r="C6" s="6"/>
      <c r="D6" s="6"/>
      <c r="E6" s="6"/>
      <c r="F6" s="7"/>
      <c r="G6" s="73" t="s">
        <v>48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</row>
    <row r="7" ht="24.0" customHeight="1">
      <c r="A7" s="75" t="s">
        <v>5</v>
      </c>
      <c r="B7" s="6"/>
      <c r="C7" s="6"/>
      <c r="D7" s="6"/>
      <c r="E7" s="6"/>
      <c r="F7" s="6"/>
      <c r="G7" s="6"/>
      <c r="H7" s="6"/>
      <c r="I7" s="7"/>
      <c r="J7" s="149"/>
      <c r="K7" s="31"/>
      <c r="L7" s="31"/>
      <c r="M7" s="31"/>
      <c r="N7" s="31"/>
      <c r="O7" s="31"/>
      <c r="P7" s="31"/>
      <c r="Q7" s="34"/>
      <c r="R7" s="50" t="s">
        <v>6</v>
      </c>
      <c r="S7" s="6"/>
      <c r="T7" s="6"/>
      <c r="U7" s="6"/>
      <c r="V7" s="6"/>
      <c r="W7" s="7"/>
      <c r="X7" s="7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7"/>
      <c r="AO7" s="71"/>
      <c r="AP7" s="77"/>
      <c r="AQ7" s="37"/>
      <c r="AR7" s="37"/>
      <c r="AS7" s="37"/>
      <c r="AT7" s="78"/>
      <c r="AU7" s="79"/>
      <c r="AV7" s="31"/>
      <c r="AW7" s="34"/>
      <c r="AX7" s="80"/>
      <c r="AY7" s="31"/>
      <c r="AZ7" s="34"/>
      <c r="BA7" s="81"/>
      <c r="BB7" s="34"/>
    </row>
    <row r="8" ht="21.75" customHeight="1">
      <c r="A8" s="150" t="s">
        <v>12</v>
      </c>
      <c r="B8" s="6"/>
      <c r="C8" s="6"/>
      <c r="D8" s="6"/>
      <c r="E8" s="6"/>
      <c r="F8" s="6"/>
      <c r="G8" s="7"/>
      <c r="H8" s="50" t="s">
        <v>50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7"/>
      <c r="X8" s="75" t="s">
        <v>115</v>
      </c>
      <c r="Y8" s="6"/>
      <c r="Z8" s="7"/>
      <c r="AA8" s="75" t="s">
        <v>116</v>
      </c>
      <c r="AB8" s="6"/>
      <c r="AC8" s="6"/>
      <c r="AD8" s="7"/>
      <c r="AE8" s="75" t="s">
        <v>117</v>
      </c>
      <c r="AF8" s="6"/>
      <c r="AG8" s="6"/>
      <c r="AH8" s="6"/>
      <c r="AI8" s="7"/>
      <c r="AJ8" s="75" t="s">
        <v>118</v>
      </c>
      <c r="AK8" s="6"/>
      <c r="AL8" s="6"/>
      <c r="AM8" s="6"/>
      <c r="AN8" s="7"/>
      <c r="AO8" s="71"/>
      <c r="AP8" s="21"/>
      <c r="AQ8" s="22"/>
      <c r="AR8" s="22"/>
      <c r="AS8" s="22"/>
      <c r="AT8" s="23"/>
      <c r="AU8" s="82"/>
      <c r="AV8" s="31"/>
      <c r="AW8" s="34"/>
      <c r="AX8" s="66"/>
      <c r="BA8" s="66"/>
    </row>
    <row r="9" ht="14.25" customHeight="1">
      <c r="A9" s="151" t="s">
        <v>51</v>
      </c>
      <c r="B9" s="14"/>
      <c r="C9" s="14"/>
      <c r="D9" s="14"/>
      <c r="E9" s="14"/>
      <c r="F9" s="14"/>
      <c r="G9" s="15"/>
      <c r="H9" s="145" t="s">
        <v>119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  <c r="X9" s="152" t="s">
        <v>120</v>
      </c>
      <c r="Y9" s="14"/>
      <c r="Z9" s="15"/>
      <c r="AA9" s="145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5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</row>
    <row r="10" ht="14.25" customHeight="1">
      <c r="A10" s="24"/>
      <c r="B10" s="25"/>
      <c r="C10" s="25"/>
      <c r="D10" s="25"/>
      <c r="E10" s="25"/>
      <c r="F10" s="25"/>
      <c r="G10" s="26"/>
      <c r="H10" s="24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  <c r="X10" s="24"/>
      <c r="Y10" s="25"/>
      <c r="Z10" s="26"/>
      <c r="AA10" s="24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6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</row>
    <row r="11" ht="15.0" customHeight="1">
      <c r="A11" s="153" t="s">
        <v>121</v>
      </c>
      <c r="B11" s="6"/>
      <c r="C11" s="6"/>
      <c r="D11" s="6"/>
      <c r="E11" s="6"/>
      <c r="F11" s="6"/>
      <c r="G11" s="7"/>
      <c r="H11" s="87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7"/>
      <c r="X11" s="86" t="s">
        <v>122</v>
      </c>
      <c r="Y11" s="6"/>
      <c r="Z11" s="6"/>
      <c r="AA11" s="6"/>
      <c r="AB11" s="6"/>
      <c r="AC11" s="7"/>
      <c r="AD11" s="87"/>
      <c r="AE11" s="6"/>
      <c r="AF11" s="6"/>
      <c r="AG11" s="6"/>
      <c r="AH11" s="6"/>
      <c r="AI11" s="6"/>
      <c r="AJ11" s="6"/>
      <c r="AK11" s="6"/>
      <c r="AL11" s="6"/>
      <c r="AM11" s="6"/>
      <c r="AN11" s="7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</row>
    <row r="12" ht="15.0" customHeight="1">
      <c r="A12" s="153" t="s">
        <v>55</v>
      </c>
      <c r="B12" s="6"/>
      <c r="C12" s="6"/>
      <c r="D12" s="6"/>
      <c r="E12" s="6"/>
      <c r="F12" s="6"/>
      <c r="G12" s="7"/>
      <c r="H12" s="87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7"/>
      <c r="X12" s="86" t="s">
        <v>123</v>
      </c>
      <c r="Y12" s="6"/>
      <c r="Z12" s="6"/>
      <c r="AA12" s="6"/>
      <c r="AB12" s="6"/>
      <c r="AC12" s="7"/>
      <c r="AD12" s="145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</row>
    <row r="13" ht="15.0" customHeight="1">
      <c r="A13" s="154" t="s">
        <v>124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4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</row>
    <row r="14" ht="14.25" customHeight="1">
      <c r="A14" s="155" t="s">
        <v>125</v>
      </c>
      <c r="B14" s="14"/>
      <c r="C14" s="14"/>
      <c r="D14" s="14"/>
      <c r="E14" s="14"/>
      <c r="F14" s="14"/>
      <c r="G14" s="14"/>
      <c r="H14" s="15"/>
      <c r="I14" s="156" t="s">
        <v>59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5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</row>
    <row r="15" ht="15.75" customHeight="1">
      <c r="A15" s="16"/>
      <c r="H15" s="17"/>
      <c r="I15" s="16"/>
      <c r="AN15" s="17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</row>
    <row r="16" ht="20.25" customHeight="1">
      <c r="A16" s="24"/>
      <c r="B16" s="25"/>
      <c r="C16" s="25"/>
      <c r="D16" s="25"/>
      <c r="E16" s="25"/>
      <c r="F16" s="25"/>
      <c r="G16" s="25"/>
      <c r="H16" s="26"/>
      <c r="I16" s="24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6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</row>
    <row r="17" ht="23.25" customHeight="1">
      <c r="A17" s="155" t="s">
        <v>126</v>
      </c>
      <c r="B17" s="14"/>
      <c r="C17" s="14"/>
      <c r="D17" s="14"/>
      <c r="E17" s="14"/>
      <c r="F17" s="14"/>
      <c r="G17" s="14"/>
      <c r="H17" s="15"/>
      <c r="I17" s="157" t="s">
        <v>127</v>
      </c>
      <c r="J17" s="6"/>
      <c r="K17" s="7"/>
      <c r="L17" s="157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7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</row>
    <row r="18" ht="27.0" customHeight="1">
      <c r="A18" s="24"/>
      <c r="B18" s="25"/>
      <c r="C18" s="25"/>
      <c r="D18" s="25"/>
      <c r="E18" s="25"/>
      <c r="F18" s="25"/>
      <c r="G18" s="25"/>
      <c r="H18" s="26"/>
      <c r="I18" s="131" t="s">
        <v>128</v>
      </c>
      <c r="J18" s="6"/>
      <c r="K18" s="7"/>
      <c r="L18" s="131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7"/>
      <c r="Z18" s="158" t="s">
        <v>129</v>
      </c>
      <c r="AA18" s="131"/>
      <c r="AB18" s="6"/>
      <c r="AC18" s="6"/>
      <c r="AD18" s="6"/>
      <c r="AE18" s="7"/>
      <c r="AF18" s="157" t="s">
        <v>130</v>
      </c>
      <c r="AG18" s="6"/>
      <c r="AH18" s="6"/>
      <c r="AI18" s="7"/>
      <c r="AJ18" s="157"/>
      <c r="AK18" s="6"/>
      <c r="AL18" s="6"/>
      <c r="AM18" s="6"/>
      <c r="AN18" s="7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</row>
    <row r="19" ht="17.25" customHeight="1">
      <c r="A19" s="28" t="s">
        <v>131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7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</row>
    <row r="20" ht="15.0" customHeight="1">
      <c r="A20" s="45" t="s">
        <v>132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7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</row>
    <row r="21" ht="15.0" customHeight="1">
      <c r="A21" s="45" t="s">
        <v>133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7"/>
      <c r="AK21" s="45" t="s">
        <v>81</v>
      </c>
      <c r="AL21" s="6"/>
      <c r="AM21" s="6"/>
      <c r="AN21" s="7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</row>
    <row r="22" ht="28.5" customHeight="1">
      <c r="A22" s="106">
        <v>1.0</v>
      </c>
      <c r="B22" s="159" t="s">
        <v>134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7"/>
      <c r="AK22" s="160"/>
      <c r="AL22" s="6"/>
      <c r="AM22" s="6"/>
      <c r="AN22" s="7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</row>
    <row r="23" ht="28.5" customHeight="1">
      <c r="A23" s="105">
        <v>2.0</v>
      </c>
      <c r="B23" s="159" t="s">
        <v>135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7"/>
      <c r="AK23" s="160"/>
      <c r="AL23" s="6"/>
      <c r="AM23" s="6"/>
      <c r="AN23" s="7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</row>
    <row r="24" ht="28.5" customHeight="1">
      <c r="A24" s="105">
        <v>3.0</v>
      </c>
      <c r="B24" s="159" t="s">
        <v>136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7"/>
      <c r="AK24" s="160"/>
      <c r="AL24" s="6"/>
      <c r="AM24" s="6"/>
      <c r="AN24" s="7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</row>
    <row r="25" ht="28.5" customHeight="1">
      <c r="A25" s="105">
        <v>4.0</v>
      </c>
      <c r="B25" s="159" t="s">
        <v>137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7"/>
      <c r="AK25" s="160"/>
      <c r="AL25" s="6"/>
      <c r="AM25" s="6"/>
      <c r="AN25" s="7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</row>
    <row r="26" ht="28.5" customHeight="1">
      <c r="A26" s="105">
        <v>5.0</v>
      </c>
      <c r="B26" s="159" t="s">
        <v>138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7"/>
      <c r="AK26" s="160"/>
      <c r="AL26" s="6"/>
      <c r="AM26" s="6"/>
      <c r="AN26" s="7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</row>
    <row r="27" ht="28.5" customHeight="1">
      <c r="A27" s="105">
        <v>6.0</v>
      </c>
      <c r="B27" s="159" t="s">
        <v>139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7"/>
      <c r="AK27" s="160"/>
      <c r="AL27" s="6"/>
      <c r="AM27" s="6"/>
      <c r="AN27" s="7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</row>
    <row r="28" ht="28.5" customHeight="1">
      <c r="A28" s="105">
        <v>7.0</v>
      </c>
      <c r="B28" s="159" t="s">
        <v>140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7"/>
      <c r="AK28" s="160"/>
      <c r="AL28" s="6"/>
      <c r="AM28" s="6"/>
      <c r="AN28" s="7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</row>
    <row r="29" ht="28.5" customHeight="1">
      <c r="A29" s="105">
        <v>8.0</v>
      </c>
      <c r="B29" s="159" t="s">
        <v>141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7"/>
      <c r="AK29" s="160"/>
      <c r="AL29" s="6"/>
      <c r="AM29" s="6"/>
      <c r="AN29" s="7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</row>
    <row r="30" ht="28.5" customHeight="1">
      <c r="A30" s="105">
        <v>9.0</v>
      </c>
      <c r="B30" s="159" t="s">
        <v>142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7"/>
      <c r="AK30" s="160"/>
      <c r="AL30" s="6"/>
      <c r="AM30" s="6"/>
      <c r="AN30" s="7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</row>
    <row r="31" ht="28.5" customHeight="1">
      <c r="A31" s="105">
        <v>10.0</v>
      </c>
      <c r="B31" s="159" t="s">
        <v>143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7"/>
      <c r="AK31" s="160"/>
      <c r="AL31" s="6"/>
      <c r="AM31" s="6"/>
      <c r="AN31" s="7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</row>
    <row r="32" ht="29.25" customHeight="1">
      <c r="A32" s="105">
        <v>11.0</v>
      </c>
      <c r="B32" s="159" t="s">
        <v>144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7"/>
      <c r="AK32" s="160"/>
      <c r="AL32" s="6"/>
      <c r="AM32" s="6"/>
      <c r="AN32" s="7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</row>
    <row r="33" ht="29.25" customHeight="1">
      <c r="A33" s="161">
        <v>12.0</v>
      </c>
      <c r="B33" s="162" t="s">
        <v>145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5"/>
      <c r="AK33" s="163"/>
      <c r="AL33" s="14"/>
      <c r="AM33" s="14"/>
      <c r="AN33" s="15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</row>
    <row r="34" ht="29.25" customHeight="1">
      <c r="A34" s="161">
        <v>13.0</v>
      </c>
      <c r="B34" s="162" t="s">
        <v>146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5"/>
      <c r="AK34" s="163"/>
      <c r="AL34" s="14"/>
      <c r="AM34" s="14"/>
      <c r="AN34" s="15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</row>
    <row r="35" ht="29.25" customHeight="1">
      <c r="A35" s="161">
        <v>14.0</v>
      </c>
      <c r="B35" s="162" t="s">
        <v>147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5"/>
      <c r="AK35" s="163"/>
      <c r="AL35" s="14"/>
      <c r="AM35" s="14"/>
      <c r="AN35" s="15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</row>
    <row r="36" ht="29.25" customHeight="1">
      <c r="A36" s="161">
        <v>15.0</v>
      </c>
      <c r="B36" s="162" t="s">
        <v>148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5"/>
      <c r="AK36" s="163"/>
      <c r="AL36" s="14"/>
      <c r="AM36" s="14"/>
      <c r="AN36" s="15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</row>
    <row r="37" ht="15.0" customHeight="1">
      <c r="A37" s="136" t="s">
        <v>94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7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</row>
    <row r="38" ht="14.25" customHeight="1">
      <c r="A38" s="137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7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</row>
    <row r="39" ht="14.25" customHeight="1">
      <c r="A39" s="160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7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</row>
    <row r="40" ht="14.25" customHeight="1">
      <c r="A40" s="160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7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</row>
    <row r="41" ht="14.25" customHeight="1">
      <c r="A41" s="160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7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</row>
    <row r="42" ht="14.25" customHeight="1">
      <c r="A42" s="160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7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</row>
    <row r="43" ht="14.25" customHeight="1">
      <c r="A43" s="160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7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</row>
    <row r="44" ht="14.25" customHeight="1">
      <c r="A44" s="160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7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</row>
    <row r="45" ht="14.25" customHeight="1">
      <c r="A45" s="160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7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</row>
    <row r="46" ht="4.5" customHeight="1">
      <c r="A46" s="59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142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</row>
    <row r="47" ht="15.0" customHeight="1">
      <c r="A47" s="59"/>
      <c r="B47" s="60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45" t="s">
        <v>113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7"/>
      <c r="AA47" s="45" t="s">
        <v>113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7"/>
      <c r="AM47" s="60"/>
      <c r="AN47" s="142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</row>
    <row r="48" ht="14.25" customHeight="1">
      <c r="A48" s="59"/>
      <c r="B48" s="60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61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5"/>
      <c r="AA48" s="61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5"/>
      <c r="AM48" s="60"/>
      <c r="AN48" s="142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</row>
    <row r="49" ht="14.25" customHeight="1">
      <c r="A49" s="59"/>
      <c r="B49" s="60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24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6"/>
      <c r="AA49" s="24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6"/>
      <c r="AM49" s="60"/>
      <c r="AN49" s="142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</row>
    <row r="50" ht="14.25" customHeight="1">
      <c r="A50" s="59"/>
      <c r="B50" s="60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29" t="s">
        <v>42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7"/>
      <c r="AA50" s="29" t="s">
        <v>42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7"/>
      <c r="AM50" s="60"/>
      <c r="AN50" s="142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</row>
    <row r="51" ht="14.25" customHeight="1">
      <c r="A51" s="59"/>
      <c r="B51" s="60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29" t="s">
        <v>43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7"/>
      <c r="AA51" s="29" t="s">
        <v>43</v>
      </c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7"/>
      <c r="AM51" s="60"/>
      <c r="AN51" s="142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</row>
    <row r="52" ht="14.25" customHeight="1">
      <c r="A52" s="59"/>
      <c r="B52" s="60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29" t="s">
        <v>44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7"/>
      <c r="AA52" s="29" t="s">
        <v>44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7"/>
      <c r="AM52" s="60"/>
      <c r="AN52" s="142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</row>
    <row r="53" ht="4.5" customHeight="1">
      <c r="A53" s="63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5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</row>
    <row r="54" ht="14.25" customHeight="1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</row>
    <row r="55" ht="14.25" customHeight="1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</row>
    <row r="56" ht="14.25" customHeight="1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</row>
    <row r="57" ht="14.25" customHeight="1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</row>
    <row r="58" ht="14.25" customHeight="1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</row>
    <row r="59" ht="14.25" customHeight="1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</row>
    <row r="60" ht="14.25" customHeight="1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</row>
    <row r="61" ht="14.25" customHeight="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</row>
    <row r="62" ht="14.25" customHeight="1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</row>
    <row r="63" ht="14.25" customHeight="1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</row>
    <row r="64" ht="14.25" customHeight="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</row>
    <row r="65" ht="14.25" customHeight="1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</row>
    <row r="66" ht="14.25" customHeight="1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</row>
    <row r="67" ht="14.25" customHeight="1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</row>
    <row r="68" ht="14.25" customHeight="1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</row>
    <row r="69" ht="14.25" customHeight="1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</row>
    <row r="70" ht="14.25" customHeight="1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</row>
    <row r="71" ht="14.25" customHeight="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</row>
    <row r="72" ht="14.25" customHeight="1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</row>
    <row r="73" ht="14.25" customHeight="1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</row>
    <row r="74" ht="14.25" customHeight="1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</row>
    <row r="75" ht="14.25" customHeight="1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</row>
    <row r="76" ht="14.25" customHeight="1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</row>
    <row r="77" ht="14.25" customHeight="1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70"/>
    </row>
    <row r="78" ht="14.25" customHeight="1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</row>
    <row r="79" ht="14.25" customHeight="1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</row>
    <row r="80" ht="14.25" customHeight="1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70"/>
      <c r="AX80" s="70"/>
      <c r="AY80" s="70"/>
      <c r="AZ80" s="70"/>
      <c r="BA80" s="70"/>
      <c r="BB80" s="70"/>
    </row>
    <row r="81" ht="14.25" customHeight="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  <c r="AX81" s="70"/>
      <c r="AY81" s="70"/>
      <c r="AZ81" s="70"/>
      <c r="BA81" s="70"/>
      <c r="BB81" s="70"/>
    </row>
    <row r="82" ht="14.25" customHeight="1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70"/>
      <c r="AX82" s="70"/>
      <c r="AY82" s="70"/>
      <c r="AZ82" s="70"/>
      <c r="BA82" s="70"/>
      <c r="BB82" s="70"/>
    </row>
    <row r="83" ht="14.25" customHeight="1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70"/>
    </row>
    <row r="84" ht="14.25" customHeight="1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  <c r="AX84" s="70"/>
      <c r="AY84" s="70"/>
      <c r="AZ84" s="70"/>
      <c r="BA84" s="70"/>
      <c r="BB84" s="70"/>
    </row>
    <row r="85" ht="14.25" customHeight="1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70"/>
    </row>
    <row r="86" ht="14.25" customHeight="1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70"/>
    </row>
    <row r="87" ht="14.25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70"/>
    </row>
    <row r="88" ht="14.25" customHeight="1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70"/>
      <c r="AX88" s="70"/>
      <c r="AY88" s="70"/>
      <c r="AZ88" s="70"/>
      <c r="BA88" s="70"/>
      <c r="BB88" s="70"/>
    </row>
    <row r="89" ht="14.25" customHeight="1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70"/>
      <c r="AX89" s="70"/>
      <c r="AY89" s="70"/>
      <c r="AZ89" s="70"/>
      <c r="BA89" s="70"/>
      <c r="BB89" s="70"/>
    </row>
    <row r="90" ht="14.25" customHeight="1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70"/>
      <c r="AX90" s="70"/>
      <c r="AY90" s="70"/>
      <c r="AZ90" s="70"/>
      <c r="BA90" s="70"/>
      <c r="BB90" s="70"/>
    </row>
    <row r="91" ht="14.25" customHeight="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  <c r="AW91" s="70"/>
      <c r="AX91" s="70"/>
      <c r="AY91" s="70"/>
      <c r="AZ91" s="70"/>
      <c r="BA91" s="70"/>
      <c r="BB91" s="70"/>
    </row>
    <row r="92" ht="14.25" customHeight="1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0"/>
      <c r="AX92" s="70"/>
      <c r="AY92" s="70"/>
      <c r="AZ92" s="70"/>
      <c r="BA92" s="70"/>
      <c r="BB92" s="70"/>
    </row>
    <row r="93" ht="14.25" customHeight="1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70"/>
      <c r="AX93" s="70"/>
      <c r="AY93" s="70"/>
      <c r="AZ93" s="70"/>
      <c r="BA93" s="70"/>
      <c r="BB93" s="70"/>
    </row>
    <row r="94" ht="14.25" customHeight="1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70"/>
      <c r="AX94" s="70"/>
      <c r="AY94" s="70"/>
      <c r="AZ94" s="70"/>
      <c r="BA94" s="70"/>
      <c r="BB94" s="70"/>
    </row>
    <row r="95" ht="14.25" customHeight="1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70"/>
      <c r="AX95" s="70"/>
      <c r="AY95" s="70"/>
      <c r="AZ95" s="70"/>
      <c r="BA95" s="70"/>
      <c r="BB95" s="70"/>
    </row>
    <row r="96" ht="14.25" customHeight="1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70"/>
      <c r="AX96" s="70"/>
      <c r="AY96" s="70"/>
      <c r="AZ96" s="70"/>
      <c r="BA96" s="70"/>
      <c r="BB96" s="70"/>
    </row>
    <row r="97" ht="14.25" customHeight="1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70"/>
      <c r="AX97" s="70"/>
      <c r="AY97" s="70"/>
      <c r="AZ97" s="70"/>
      <c r="BA97" s="70"/>
      <c r="BB97" s="70"/>
    </row>
    <row r="98" ht="14.25" customHeight="1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70"/>
      <c r="AX98" s="70"/>
      <c r="AY98" s="70"/>
      <c r="AZ98" s="70"/>
      <c r="BA98" s="70"/>
      <c r="BB98" s="70"/>
    </row>
    <row r="99" ht="14.25" customHeight="1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70"/>
      <c r="AX99" s="70"/>
      <c r="AY99" s="70"/>
      <c r="AZ99" s="70"/>
      <c r="BA99" s="70"/>
      <c r="BB99" s="70"/>
    </row>
    <row r="100" ht="14.25" customHeight="1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70"/>
    </row>
    <row r="101" ht="14.25" customHeight="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70"/>
      <c r="AX101" s="70"/>
      <c r="AY101" s="70"/>
      <c r="AZ101" s="70"/>
      <c r="BA101" s="70"/>
      <c r="BB101" s="70"/>
    </row>
    <row r="102" ht="14.25" customHeight="1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70"/>
      <c r="AX102" s="70"/>
      <c r="AY102" s="70"/>
      <c r="AZ102" s="70"/>
      <c r="BA102" s="70"/>
      <c r="BB102" s="70"/>
    </row>
    <row r="103" ht="14.25" customHeight="1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70"/>
      <c r="AX103" s="70"/>
      <c r="AY103" s="70"/>
      <c r="AZ103" s="70"/>
      <c r="BA103" s="70"/>
      <c r="BB103" s="70"/>
    </row>
    <row r="104" ht="14.25" customHeight="1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70"/>
    </row>
    <row r="105" ht="14.25" customHeight="1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70"/>
    </row>
    <row r="106" ht="14.25" customHeight="1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70"/>
      <c r="AX106" s="70"/>
      <c r="AY106" s="70"/>
      <c r="AZ106" s="70"/>
      <c r="BA106" s="70"/>
      <c r="BB106" s="70"/>
    </row>
    <row r="107" ht="14.25" customHeight="1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70"/>
    </row>
    <row r="108" ht="14.25" customHeight="1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70"/>
      <c r="AX108" s="70"/>
      <c r="AY108" s="70"/>
      <c r="AZ108" s="70"/>
      <c r="BA108" s="70"/>
      <c r="BB108" s="70"/>
    </row>
    <row r="109" ht="14.25" customHeight="1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70"/>
      <c r="AX109" s="70"/>
      <c r="AY109" s="70"/>
      <c r="AZ109" s="70"/>
      <c r="BA109" s="70"/>
      <c r="BB109" s="70"/>
    </row>
    <row r="110" ht="14.25" customHeight="1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  <c r="AX110" s="70"/>
      <c r="AY110" s="70"/>
      <c r="AZ110" s="70"/>
      <c r="BA110" s="70"/>
      <c r="BB110" s="70"/>
    </row>
    <row r="111" ht="14.25" customHeight="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0"/>
      <c r="AX111" s="70"/>
      <c r="AY111" s="70"/>
      <c r="AZ111" s="70"/>
      <c r="BA111" s="70"/>
      <c r="BB111" s="70"/>
    </row>
    <row r="112" ht="14.25" customHeight="1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70"/>
      <c r="AX112" s="70"/>
      <c r="AY112" s="70"/>
      <c r="AZ112" s="70"/>
      <c r="BA112" s="70"/>
      <c r="BB112" s="70"/>
    </row>
    <row r="113" ht="14.25" customHeight="1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70"/>
    </row>
    <row r="114" ht="14.25" customHeight="1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70"/>
    </row>
    <row r="115" ht="14.25" customHeight="1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70"/>
      <c r="AX115" s="70"/>
      <c r="AY115" s="70"/>
      <c r="AZ115" s="70"/>
      <c r="BA115" s="70"/>
      <c r="BB115" s="70"/>
    </row>
    <row r="116" ht="14.25" customHeight="1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70"/>
    </row>
    <row r="117" ht="14.25" customHeight="1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70"/>
      <c r="AX117" s="70"/>
      <c r="AY117" s="70"/>
      <c r="AZ117" s="70"/>
      <c r="BA117" s="70"/>
      <c r="BB117" s="70"/>
    </row>
    <row r="118" ht="14.25" customHeight="1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70"/>
      <c r="AX118" s="70"/>
      <c r="AY118" s="70"/>
      <c r="AZ118" s="70"/>
      <c r="BA118" s="70"/>
      <c r="BB118" s="70"/>
    </row>
    <row r="119" ht="14.25" customHeight="1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70"/>
      <c r="AX119" s="70"/>
      <c r="AY119" s="70"/>
      <c r="AZ119" s="70"/>
      <c r="BA119" s="70"/>
      <c r="BB119" s="70"/>
    </row>
    <row r="120" ht="14.25" customHeight="1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0"/>
      <c r="AX120" s="70"/>
      <c r="AY120" s="70"/>
      <c r="AZ120" s="70"/>
      <c r="BA120" s="70"/>
      <c r="BB120" s="70"/>
    </row>
    <row r="121" ht="14.25" customHeight="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0"/>
      <c r="AX121" s="70"/>
      <c r="AY121" s="70"/>
      <c r="AZ121" s="70"/>
      <c r="BA121" s="70"/>
      <c r="BB121" s="70"/>
    </row>
    <row r="122" ht="14.25" customHeight="1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70"/>
      <c r="AX122" s="70"/>
      <c r="AY122" s="70"/>
      <c r="AZ122" s="70"/>
      <c r="BA122" s="70"/>
      <c r="BB122" s="70"/>
    </row>
    <row r="123" ht="14.25" customHeight="1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0"/>
      <c r="AX123" s="70"/>
      <c r="AY123" s="70"/>
      <c r="AZ123" s="70"/>
      <c r="BA123" s="70"/>
      <c r="BB123" s="70"/>
    </row>
    <row r="124" ht="14.25" customHeight="1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0"/>
      <c r="AX124" s="70"/>
      <c r="AY124" s="70"/>
      <c r="AZ124" s="70"/>
      <c r="BA124" s="70"/>
      <c r="BB124" s="70"/>
    </row>
    <row r="125" ht="14.25" customHeight="1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70"/>
    </row>
    <row r="126" ht="14.25" customHeight="1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70"/>
    </row>
    <row r="127" ht="14.25" customHeight="1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70"/>
      <c r="AX127" s="70"/>
      <c r="AY127" s="70"/>
      <c r="AZ127" s="70"/>
      <c r="BA127" s="70"/>
      <c r="BB127" s="70"/>
    </row>
    <row r="128" ht="14.25" customHeight="1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70"/>
      <c r="AX128" s="70"/>
      <c r="AY128" s="70"/>
      <c r="AZ128" s="70"/>
      <c r="BA128" s="70"/>
      <c r="BB128" s="70"/>
    </row>
    <row r="129" ht="14.25" customHeight="1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70"/>
      <c r="AX129" s="70"/>
      <c r="AY129" s="70"/>
      <c r="AZ129" s="70"/>
      <c r="BA129" s="70"/>
      <c r="BB129" s="70"/>
    </row>
    <row r="130" ht="14.25" customHeight="1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70"/>
      <c r="AX130" s="70"/>
      <c r="AY130" s="70"/>
      <c r="AZ130" s="70"/>
      <c r="BA130" s="70"/>
      <c r="BB130" s="70"/>
    </row>
    <row r="131" ht="14.25" customHeight="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/>
      <c r="AX131" s="70"/>
      <c r="AY131" s="70"/>
      <c r="AZ131" s="70"/>
      <c r="BA131" s="70"/>
      <c r="BB131" s="70"/>
    </row>
    <row r="132" ht="14.25" customHeight="1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0"/>
      <c r="AX132" s="70"/>
      <c r="AY132" s="70"/>
      <c r="AZ132" s="70"/>
      <c r="BA132" s="70"/>
      <c r="BB132" s="70"/>
    </row>
    <row r="133" ht="14.25" customHeight="1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0"/>
      <c r="AX133" s="70"/>
      <c r="AY133" s="70"/>
      <c r="AZ133" s="70"/>
      <c r="BA133" s="70"/>
      <c r="BB133" s="70"/>
    </row>
    <row r="134" ht="14.25" customHeight="1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70"/>
      <c r="AX134" s="70"/>
      <c r="AY134" s="70"/>
      <c r="AZ134" s="70"/>
      <c r="BA134" s="70"/>
      <c r="BB134" s="70"/>
    </row>
    <row r="135" ht="14.25" customHeight="1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70"/>
      <c r="AX135" s="70"/>
      <c r="AY135" s="70"/>
      <c r="AZ135" s="70"/>
      <c r="BA135" s="70"/>
      <c r="BB135" s="70"/>
    </row>
    <row r="136" ht="14.25" customHeight="1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70"/>
      <c r="AX136" s="70"/>
      <c r="AY136" s="70"/>
      <c r="AZ136" s="70"/>
      <c r="BA136" s="70"/>
      <c r="BB136" s="70"/>
    </row>
    <row r="137" ht="14.25" customHeight="1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0"/>
      <c r="AX137" s="70"/>
      <c r="AY137" s="70"/>
      <c r="AZ137" s="70"/>
      <c r="BA137" s="70"/>
      <c r="BB137" s="70"/>
    </row>
    <row r="138" ht="14.25" customHeight="1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0"/>
      <c r="AX138" s="70"/>
      <c r="AY138" s="70"/>
      <c r="AZ138" s="70"/>
      <c r="BA138" s="70"/>
      <c r="BB138" s="70"/>
    </row>
    <row r="139" ht="14.25" customHeight="1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70"/>
      <c r="AX139" s="70"/>
      <c r="AY139" s="70"/>
      <c r="AZ139" s="70"/>
      <c r="BA139" s="70"/>
      <c r="BB139" s="70"/>
    </row>
    <row r="140" ht="14.25" customHeight="1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0"/>
      <c r="AX140" s="70"/>
      <c r="AY140" s="70"/>
      <c r="AZ140" s="70"/>
      <c r="BA140" s="70"/>
      <c r="BB140" s="70"/>
    </row>
    <row r="141" ht="14.25" customHeight="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0"/>
      <c r="AX141" s="70"/>
      <c r="AY141" s="70"/>
      <c r="AZ141" s="70"/>
      <c r="BA141" s="70"/>
      <c r="BB141" s="70"/>
    </row>
    <row r="142" ht="14.25" customHeight="1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70"/>
      <c r="AX142" s="70"/>
      <c r="AY142" s="70"/>
      <c r="AZ142" s="70"/>
      <c r="BA142" s="70"/>
      <c r="BB142" s="70"/>
    </row>
    <row r="143" ht="14.25" customHeight="1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70"/>
      <c r="AX143" s="70"/>
      <c r="AY143" s="70"/>
      <c r="AZ143" s="70"/>
      <c r="BA143" s="70"/>
      <c r="BB143" s="70"/>
    </row>
    <row r="144" ht="14.25" customHeight="1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70"/>
      <c r="AX144" s="70"/>
      <c r="AY144" s="70"/>
      <c r="AZ144" s="70"/>
      <c r="BA144" s="70"/>
      <c r="BB144" s="70"/>
    </row>
    <row r="145" ht="14.25" customHeight="1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70"/>
      <c r="AX145" s="70"/>
      <c r="AY145" s="70"/>
      <c r="AZ145" s="70"/>
      <c r="BA145" s="70"/>
      <c r="BB145" s="70"/>
    </row>
    <row r="146" ht="14.25" customHeight="1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  <c r="AX146" s="70"/>
      <c r="AY146" s="70"/>
      <c r="AZ146" s="70"/>
      <c r="BA146" s="70"/>
      <c r="BB146" s="70"/>
    </row>
    <row r="147" ht="14.25" customHeight="1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  <c r="AX147" s="70"/>
      <c r="AY147" s="70"/>
      <c r="AZ147" s="70"/>
      <c r="BA147" s="70"/>
      <c r="BB147" s="70"/>
    </row>
    <row r="148" ht="14.25" customHeight="1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  <c r="AX148" s="70"/>
      <c r="AY148" s="70"/>
      <c r="AZ148" s="70"/>
      <c r="BA148" s="70"/>
      <c r="BB148" s="70"/>
    </row>
    <row r="149" ht="14.25" customHeight="1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  <c r="AX149" s="70"/>
      <c r="AY149" s="70"/>
      <c r="AZ149" s="70"/>
      <c r="BA149" s="70"/>
      <c r="BB149" s="70"/>
    </row>
    <row r="150" ht="14.25" customHeight="1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70"/>
      <c r="AX150" s="70"/>
      <c r="AY150" s="70"/>
      <c r="AZ150" s="70"/>
      <c r="BA150" s="70"/>
      <c r="BB150" s="70"/>
    </row>
    <row r="151" ht="14.25" customHeight="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  <c r="AX151" s="70"/>
      <c r="AY151" s="70"/>
      <c r="AZ151" s="70"/>
      <c r="BA151" s="70"/>
      <c r="BB151" s="70"/>
    </row>
    <row r="152" ht="14.25" customHeight="1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70"/>
      <c r="AX152" s="70"/>
      <c r="AY152" s="70"/>
      <c r="AZ152" s="70"/>
      <c r="BA152" s="70"/>
      <c r="BB152" s="70"/>
    </row>
    <row r="153" ht="14.25" customHeight="1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70"/>
      <c r="AX153" s="70"/>
      <c r="AY153" s="70"/>
      <c r="AZ153" s="70"/>
      <c r="BA153" s="70"/>
      <c r="BB153" s="70"/>
    </row>
    <row r="154" ht="14.25" customHeight="1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  <c r="AW154" s="70"/>
      <c r="AX154" s="70"/>
      <c r="AY154" s="70"/>
      <c r="AZ154" s="70"/>
      <c r="BA154" s="70"/>
      <c r="BB154" s="70"/>
    </row>
    <row r="155" ht="14.25" customHeight="1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70"/>
      <c r="AX155" s="70"/>
      <c r="AY155" s="70"/>
      <c r="AZ155" s="70"/>
      <c r="BA155" s="70"/>
      <c r="BB155" s="70"/>
    </row>
    <row r="156" ht="14.25" customHeight="1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  <c r="AW156" s="70"/>
      <c r="AX156" s="70"/>
      <c r="AY156" s="70"/>
      <c r="AZ156" s="70"/>
      <c r="BA156" s="70"/>
      <c r="BB156" s="70"/>
    </row>
    <row r="157" ht="14.25" customHeight="1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 s="70"/>
      <c r="AX157" s="70"/>
      <c r="AY157" s="70"/>
      <c r="AZ157" s="70"/>
      <c r="BA157" s="70"/>
      <c r="BB157" s="70"/>
    </row>
    <row r="158" ht="14.25" customHeight="1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70"/>
      <c r="AX158" s="70"/>
      <c r="AY158" s="70"/>
      <c r="AZ158" s="70"/>
      <c r="BA158" s="70"/>
      <c r="BB158" s="70"/>
    </row>
    <row r="159" ht="14.25" customHeight="1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0"/>
      <c r="AX159" s="70"/>
      <c r="AY159" s="70"/>
      <c r="AZ159" s="70"/>
      <c r="BA159" s="70"/>
      <c r="BB159" s="70"/>
    </row>
    <row r="160" ht="14.25" customHeight="1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70"/>
      <c r="AX160" s="70"/>
      <c r="AY160" s="70"/>
      <c r="AZ160" s="70"/>
      <c r="BA160" s="70"/>
      <c r="BB160" s="70"/>
    </row>
    <row r="161" ht="14.25" customHeight="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  <c r="AT161" s="70"/>
      <c r="AU161" s="70"/>
      <c r="AV161" s="70"/>
      <c r="AW161" s="70"/>
      <c r="AX161" s="70"/>
      <c r="AY161" s="70"/>
      <c r="AZ161" s="70"/>
      <c r="BA161" s="70"/>
      <c r="BB161" s="70"/>
    </row>
    <row r="162" ht="14.25" customHeight="1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  <c r="AT162" s="70"/>
      <c r="AU162" s="70"/>
      <c r="AV162" s="70"/>
      <c r="AW162" s="70"/>
      <c r="AX162" s="70"/>
      <c r="AY162" s="70"/>
      <c r="AZ162" s="70"/>
      <c r="BA162" s="70"/>
      <c r="BB162" s="70"/>
    </row>
    <row r="163" ht="14.25" customHeight="1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  <c r="AW163" s="70"/>
      <c r="AX163" s="70"/>
      <c r="AY163" s="70"/>
      <c r="AZ163" s="70"/>
      <c r="BA163" s="70"/>
      <c r="BB163" s="70"/>
    </row>
    <row r="164" ht="14.25" customHeight="1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 s="70"/>
      <c r="AX164" s="70"/>
      <c r="AY164" s="70"/>
      <c r="AZ164" s="70"/>
      <c r="BA164" s="70"/>
      <c r="BB164" s="70"/>
    </row>
    <row r="165" ht="14.25" customHeight="1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70"/>
      <c r="AX165" s="70"/>
      <c r="AY165" s="70"/>
      <c r="AZ165" s="70"/>
      <c r="BA165" s="70"/>
      <c r="BB165" s="70"/>
    </row>
    <row r="166" ht="14.25" customHeight="1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70"/>
      <c r="AX166" s="70"/>
      <c r="AY166" s="70"/>
      <c r="AZ166" s="70"/>
      <c r="BA166" s="70"/>
      <c r="BB166" s="70"/>
    </row>
    <row r="167" ht="14.25" customHeight="1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70"/>
      <c r="AX167" s="70"/>
      <c r="AY167" s="70"/>
      <c r="AZ167" s="70"/>
      <c r="BA167" s="70"/>
      <c r="BB167" s="70"/>
    </row>
    <row r="168" ht="14.25" customHeight="1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70"/>
      <c r="AX168" s="70"/>
      <c r="AY168" s="70"/>
      <c r="AZ168" s="70"/>
      <c r="BA168" s="70"/>
      <c r="BB168" s="70"/>
    </row>
    <row r="169" ht="14.25" customHeight="1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0"/>
      <c r="AX169" s="70"/>
      <c r="AY169" s="70"/>
      <c r="AZ169" s="70"/>
      <c r="BA169" s="70"/>
      <c r="BB169" s="70"/>
    </row>
    <row r="170" ht="14.25" customHeight="1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70"/>
      <c r="AX170" s="70"/>
      <c r="AY170" s="70"/>
      <c r="AZ170" s="70"/>
      <c r="BA170" s="70"/>
      <c r="BB170" s="70"/>
    </row>
    <row r="171" ht="14.25" customHeight="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70"/>
      <c r="AX171" s="70"/>
      <c r="AY171" s="70"/>
      <c r="AZ171" s="70"/>
      <c r="BA171" s="70"/>
      <c r="BB171" s="70"/>
    </row>
    <row r="172" ht="14.25" customHeight="1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0"/>
      <c r="AX172" s="70"/>
      <c r="AY172" s="70"/>
      <c r="AZ172" s="70"/>
      <c r="BA172" s="70"/>
      <c r="BB172" s="70"/>
    </row>
    <row r="173" ht="14.25" customHeight="1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70"/>
      <c r="AX173" s="70"/>
      <c r="AY173" s="70"/>
      <c r="AZ173" s="70"/>
      <c r="BA173" s="70"/>
      <c r="BB173" s="70"/>
    </row>
    <row r="174" ht="14.25" customHeight="1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0"/>
      <c r="AX174" s="70"/>
      <c r="AY174" s="70"/>
      <c r="AZ174" s="70"/>
      <c r="BA174" s="70"/>
      <c r="BB174" s="70"/>
    </row>
    <row r="175" ht="14.25" customHeight="1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0"/>
      <c r="AX175" s="70"/>
      <c r="AY175" s="70"/>
      <c r="AZ175" s="70"/>
      <c r="BA175" s="70"/>
      <c r="BB175" s="70"/>
    </row>
    <row r="176" ht="14.25" customHeight="1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0"/>
      <c r="AX176" s="70"/>
      <c r="AY176" s="70"/>
      <c r="AZ176" s="70"/>
      <c r="BA176" s="70"/>
      <c r="BB176" s="70"/>
    </row>
    <row r="177" ht="14.25" customHeight="1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0"/>
      <c r="AX177" s="70"/>
      <c r="AY177" s="70"/>
      <c r="AZ177" s="70"/>
      <c r="BA177" s="70"/>
      <c r="BB177" s="70"/>
    </row>
    <row r="178" ht="14.25" customHeight="1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0"/>
      <c r="AX178" s="70"/>
      <c r="AY178" s="70"/>
      <c r="AZ178" s="70"/>
      <c r="BA178" s="70"/>
      <c r="BB178" s="70"/>
    </row>
    <row r="179" ht="14.25" customHeight="1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0"/>
      <c r="AX179" s="70"/>
      <c r="AY179" s="70"/>
      <c r="AZ179" s="70"/>
      <c r="BA179" s="70"/>
      <c r="BB179" s="70"/>
    </row>
    <row r="180" ht="14.25" customHeight="1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0"/>
      <c r="AX180" s="70"/>
      <c r="AY180" s="70"/>
      <c r="AZ180" s="70"/>
      <c r="BA180" s="70"/>
      <c r="BB180" s="70"/>
    </row>
    <row r="181" ht="14.25" customHeight="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0"/>
      <c r="AX181" s="70"/>
      <c r="AY181" s="70"/>
      <c r="AZ181" s="70"/>
      <c r="BA181" s="70"/>
      <c r="BB181" s="70"/>
    </row>
    <row r="182" ht="14.25" customHeight="1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0"/>
      <c r="AX182" s="70"/>
      <c r="AY182" s="70"/>
      <c r="AZ182" s="70"/>
      <c r="BA182" s="70"/>
      <c r="BB182" s="70"/>
    </row>
    <row r="183" ht="14.25" customHeight="1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0"/>
      <c r="AX183" s="70"/>
      <c r="AY183" s="70"/>
      <c r="AZ183" s="70"/>
      <c r="BA183" s="70"/>
      <c r="BB183" s="70"/>
    </row>
    <row r="184" ht="14.25" customHeight="1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0"/>
      <c r="AX184" s="70"/>
      <c r="AY184" s="70"/>
      <c r="AZ184" s="70"/>
      <c r="BA184" s="70"/>
      <c r="BB184" s="70"/>
    </row>
    <row r="185" ht="14.25" customHeight="1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0"/>
      <c r="AX185" s="70"/>
      <c r="AY185" s="70"/>
      <c r="AZ185" s="70"/>
      <c r="BA185" s="70"/>
      <c r="BB185" s="70"/>
    </row>
    <row r="186" ht="14.25" customHeight="1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0"/>
      <c r="AX186" s="70"/>
      <c r="AY186" s="70"/>
      <c r="AZ186" s="70"/>
      <c r="BA186" s="70"/>
      <c r="BB186" s="70"/>
    </row>
    <row r="187" ht="14.25" customHeight="1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0"/>
      <c r="AX187" s="70"/>
      <c r="AY187" s="70"/>
      <c r="AZ187" s="70"/>
      <c r="BA187" s="70"/>
      <c r="BB187" s="70"/>
    </row>
    <row r="188" ht="14.25" customHeight="1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0"/>
      <c r="AX188" s="70"/>
      <c r="AY188" s="70"/>
      <c r="AZ188" s="70"/>
      <c r="BA188" s="70"/>
      <c r="BB188" s="70"/>
    </row>
    <row r="189" ht="14.25" customHeight="1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0"/>
      <c r="AX189" s="70"/>
      <c r="AY189" s="70"/>
      <c r="AZ189" s="70"/>
      <c r="BA189" s="70"/>
      <c r="BB189" s="70"/>
    </row>
    <row r="190" ht="14.25" customHeight="1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0"/>
      <c r="AX190" s="70"/>
      <c r="AY190" s="70"/>
      <c r="AZ190" s="70"/>
      <c r="BA190" s="70"/>
      <c r="BB190" s="70"/>
    </row>
    <row r="191" ht="14.25" customHeight="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  <c r="AW191" s="70"/>
      <c r="AX191" s="70"/>
      <c r="AY191" s="70"/>
      <c r="AZ191" s="70"/>
      <c r="BA191" s="70"/>
      <c r="BB191" s="70"/>
    </row>
    <row r="192" ht="14.25" customHeight="1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  <c r="AW192" s="70"/>
      <c r="AX192" s="70"/>
      <c r="AY192" s="70"/>
      <c r="AZ192" s="70"/>
      <c r="BA192" s="70"/>
      <c r="BB192" s="70"/>
    </row>
    <row r="193" ht="14.25" customHeight="1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 s="70"/>
      <c r="AX193" s="70"/>
      <c r="AY193" s="70"/>
      <c r="AZ193" s="70"/>
      <c r="BA193" s="70"/>
      <c r="BB193" s="70"/>
    </row>
    <row r="194" ht="14.25" customHeight="1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70"/>
      <c r="AX194" s="70"/>
      <c r="AY194" s="70"/>
      <c r="AZ194" s="70"/>
      <c r="BA194" s="70"/>
      <c r="BB194" s="70"/>
    </row>
    <row r="195" ht="14.25" customHeight="1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70"/>
      <c r="AX195" s="70"/>
      <c r="AY195" s="70"/>
      <c r="AZ195" s="70"/>
      <c r="BA195" s="70"/>
      <c r="BB195" s="70"/>
    </row>
    <row r="196" ht="14.25" customHeight="1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70"/>
      <c r="AX196" s="70"/>
      <c r="AY196" s="70"/>
      <c r="AZ196" s="70"/>
      <c r="BA196" s="70"/>
      <c r="BB196" s="70"/>
    </row>
    <row r="197" ht="14.25" customHeight="1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70"/>
      <c r="AX197" s="70"/>
      <c r="AY197" s="70"/>
      <c r="AZ197" s="70"/>
      <c r="BA197" s="70"/>
      <c r="BB197" s="70"/>
    </row>
    <row r="198" ht="14.25" customHeight="1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  <c r="AW198" s="70"/>
      <c r="AX198" s="70"/>
      <c r="AY198" s="70"/>
      <c r="AZ198" s="70"/>
      <c r="BA198" s="70"/>
      <c r="BB198" s="70"/>
    </row>
    <row r="199" ht="14.25" customHeight="1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 s="70"/>
      <c r="AX199" s="70"/>
      <c r="AY199" s="70"/>
      <c r="AZ199" s="70"/>
      <c r="BA199" s="70"/>
      <c r="BB199" s="70"/>
    </row>
    <row r="200" ht="14.25" customHeight="1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70"/>
      <c r="AX200" s="70"/>
      <c r="AY200" s="70"/>
      <c r="AZ200" s="70"/>
      <c r="BA200" s="70"/>
      <c r="BB200" s="70"/>
    </row>
    <row r="201" ht="14.25" customHeight="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70"/>
      <c r="AX201" s="70"/>
      <c r="AY201" s="70"/>
      <c r="AZ201" s="70"/>
      <c r="BA201" s="70"/>
      <c r="BB201" s="70"/>
    </row>
    <row r="202" ht="14.25" customHeight="1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70"/>
      <c r="AX202" s="70"/>
      <c r="AY202" s="70"/>
      <c r="AZ202" s="70"/>
      <c r="BA202" s="70"/>
      <c r="BB202" s="70"/>
    </row>
    <row r="203" ht="14.25" customHeight="1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70"/>
      <c r="AX203" s="70"/>
      <c r="AY203" s="70"/>
      <c r="AZ203" s="70"/>
      <c r="BA203" s="70"/>
      <c r="BB203" s="70"/>
    </row>
    <row r="204" ht="14.25" customHeight="1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70"/>
      <c r="AX204" s="70"/>
      <c r="AY204" s="70"/>
      <c r="AZ204" s="70"/>
      <c r="BA204" s="70"/>
      <c r="BB204" s="70"/>
    </row>
    <row r="205" ht="14.25" customHeight="1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70"/>
      <c r="AX205" s="70"/>
      <c r="AY205" s="70"/>
      <c r="AZ205" s="70"/>
      <c r="BA205" s="70"/>
      <c r="BB205" s="70"/>
    </row>
    <row r="206" ht="14.25" customHeight="1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70"/>
      <c r="AX206" s="70"/>
      <c r="AY206" s="70"/>
      <c r="AZ206" s="70"/>
      <c r="BA206" s="70"/>
      <c r="BB206" s="70"/>
    </row>
    <row r="207" ht="14.25" customHeight="1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70"/>
      <c r="AX207" s="70"/>
      <c r="AY207" s="70"/>
      <c r="AZ207" s="70"/>
      <c r="BA207" s="70"/>
      <c r="BB207" s="70"/>
    </row>
    <row r="208" ht="14.25" customHeight="1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70"/>
      <c r="AX208" s="70"/>
      <c r="AY208" s="70"/>
      <c r="AZ208" s="70"/>
      <c r="BA208" s="70"/>
      <c r="BB208" s="70"/>
    </row>
    <row r="209" ht="14.25" customHeight="1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70"/>
      <c r="AX209" s="70"/>
      <c r="AY209" s="70"/>
      <c r="AZ209" s="70"/>
      <c r="BA209" s="70"/>
      <c r="BB209" s="70"/>
    </row>
    <row r="210" ht="14.25" customHeight="1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70"/>
      <c r="AX210" s="70"/>
      <c r="AY210" s="70"/>
      <c r="AZ210" s="70"/>
      <c r="BA210" s="70"/>
      <c r="BB210" s="70"/>
    </row>
    <row r="211" ht="14.25" customHeight="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70"/>
      <c r="AX211" s="70"/>
      <c r="AY211" s="70"/>
      <c r="AZ211" s="70"/>
      <c r="BA211" s="70"/>
      <c r="BB211" s="70"/>
    </row>
    <row r="212" ht="14.25" customHeight="1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  <c r="AW212" s="70"/>
      <c r="AX212" s="70"/>
      <c r="AY212" s="70"/>
      <c r="AZ212" s="70"/>
      <c r="BA212" s="70"/>
      <c r="BB212" s="70"/>
    </row>
    <row r="213" ht="14.25" customHeight="1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70"/>
      <c r="AX213" s="70"/>
      <c r="AY213" s="70"/>
      <c r="AZ213" s="70"/>
      <c r="BA213" s="70"/>
      <c r="BB213" s="70"/>
    </row>
    <row r="214" ht="14.25" customHeight="1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0"/>
      <c r="AX214" s="70"/>
      <c r="AY214" s="70"/>
      <c r="AZ214" s="70"/>
      <c r="BA214" s="70"/>
      <c r="BB214" s="70"/>
    </row>
    <row r="215" ht="14.25" customHeight="1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0"/>
      <c r="AX215" s="70"/>
      <c r="AY215" s="70"/>
      <c r="AZ215" s="70"/>
      <c r="BA215" s="70"/>
      <c r="BB215" s="70"/>
    </row>
    <row r="216" ht="14.25" customHeight="1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0"/>
      <c r="AX216" s="70"/>
      <c r="AY216" s="70"/>
      <c r="AZ216" s="70"/>
      <c r="BA216" s="70"/>
      <c r="BB216" s="70"/>
    </row>
    <row r="217" ht="14.25" customHeight="1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70"/>
      <c r="AX217" s="70"/>
      <c r="AY217" s="70"/>
      <c r="AZ217" s="70"/>
      <c r="BA217" s="70"/>
      <c r="BB217" s="70"/>
    </row>
    <row r="218" ht="14.25" customHeight="1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70"/>
      <c r="AX218" s="70"/>
      <c r="AY218" s="70"/>
      <c r="AZ218" s="70"/>
      <c r="BA218" s="70"/>
      <c r="BB218" s="70"/>
    </row>
    <row r="219" ht="14.25" customHeight="1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70"/>
      <c r="AX219" s="70"/>
      <c r="AY219" s="70"/>
      <c r="AZ219" s="70"/>
      <c r="BA219" s="70"/>
      <c r="BB219" s="70"/>
    </row>
    <row r="220" ht="14.25" customHeight="1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 s="70"/>
      <c r="AX220" s="70"/>
      <c r="AY220" s="70"/>
      <c r="AZ220" s="70"/>
      <c r="BA220" s="70"/>
      <c r="BB220" s="70"/>
    </row>
    <row r="221" ht="14.25" customHeight="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 s="70"/>
      <c r="AX221" s="70"/>
      <c r="AY221" s="70"/>
      <c r="AZ221" s="70"/>
      <c r="BA221" s="70"/>
      <c r="BB221" s="70"/>
    </row>
    <row r="222" ht="14.25" customHeight="1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 s="70"/>
      <c r="AX222" s="70"/>
      <c r="AY222" s="70"/>
      <c r="AZ222" s="70"/>
      <c r="BA222" s="70"/>
      <c r="BB222" s="70"/>
    </row>
    <row r="223" ht="14.25" customHeight="1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70"/>
      <c r="AX223" s="70"/>
      <c r="AY223" s="70"/>
      <c r="AZ223" s="70"/>
      <c r="BA223" s="70"/>
      <c r="BB223" s="70"/>
    </row>
    <row r="224" ht="14.25" customHeight="1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0"/>
      <c r="AX224" s="70"/>
      <c r="AY224" s="70"/>
      <c r="AZ224" s="70"/>
      <c r="BA224" s="70"/>
      <c r="BB224" s="70"/>
    </row>
    <row r="225" ht="14.25" customHeight="1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0"/>
      <c r="AX225" s="70"/>
      <c r="AY225" s="70"/>
      <c r="AZ225" s="70"/>
      <c r="BA225" s="70"/>
      <c r="BB225" s="70"/>
    </row>
    <row r="226" ht="14.25" customHeight="1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0"/>
      <c r="AX226" s="70"/>
      <c r="AY226" s="70"/>
      <c r="AZ226" s="70"/>
      <c r="BA226" s="70"/>
      <c r="BB226" s="70"/>
    </row>
    <row r="227" ht="14.25" customHeight="1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0"/>
      <c r="AX227" s="70"/>
      <c r="AY227" s="70"/>
      <c r="AZ227" s="70"/>
      <c r="BA227" s="70"/>
      <c r="BB227" s="70"/>
    </row>
    <row r="228" ht="14.25" customHeight="1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0"/>
      <c r="AX228" s="70"/>
      <c r="AY228" s="70"/>
      <c r="AZ228" s="70"/>
      <c r="BA228" s="70"/>
      <c r="BB228" s="70"/>
    </row>
    <row r="229" ht="14.25" customHeight="1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0"/>
      <c r="AX229" s="70"/>
      <c r="AY229" s="70"/>
      <c r="AZ229" s="70"/>
      <c r="BA229" s="70"/>
      <c r="BB229" s="70"/>
    </row>
    <row r="230" ht="14.25" customHeight="1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  <c r="AX230" s="70"/>
      <c r="AY230" s="70"/>
      <c r="AZ230" s="70"/>
      <c r="BA230" s="70"/>
      <c r="BB230" s="70"/>
    </row>
    <row r="231" ht="14.25" customHeight="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  <c r="AX231" s="70"/>
      <c r="AY231" s="70"/>
      <c r="AZ231" s="70"/>
      <c r="BA231" s="70"/>
      <c r="BB231" s="70"/>
    </row>
    <row r="232" ht="14.25" customHeight="1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0"/>
      <c r="AX232" s="70"/>
      <c r="AY232" s="70"/>
      <c r="AZ232" s="70"/>
      <c r="BA232" s="70"/>
      <c r="BB232" s="70"/>
    </row>
    <row r="233" ht="14.25" customHeight="1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70"/>
      <c r="AX233" s="70"/>
      <c r="AY233" s="70"/>
      <c r="AZ233" s="70"/>
      <c r="BA233" s="70"/>
      <c r="BB233" s="70"/>
    </row>
    <row r="234" ht="14.25" customHeight="1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 s="70"/>
      <c r="AX234" s="70"/>
      <c r="AY234" s="70"/>
      <c r="AZ234" s="70"/>
      <c r="BA234" s="70"/>
      <c r="BB234" s="70"/>
    </row>
    <row r="235" ht="14.25" customHeight="1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  <c r="AS235" s="70"/>
      <c r="AT235" s="70"/>
      <c r="AU235" s="70"/>
      <c r="AV235" s="70"/>
      <c r="AW235" s="70"/>
      <c r="AX235" s="70"/>
      <c r="AY235" s="70"/>
      <c r="AZ235" s="70"/>
      <c r="BA235" s="70"/>
      <c r="BB235" s="70"/>
    </row>
    <row r="236" ht="14.25" customHeight="1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 s="70"/>
      <c r="AX236" s="70"/>
      <c r="AY236" s="70"/>
      <c r="AZ236" s="70"/>
      <c r="BA236" s="70"/>
      <c r="BB236" s="70"/>
    </row>
    <row r="237" ht="14.25" customHeight="1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 s="70"/>
      <c r="AX237" s="70"/>
      <c r="AY237" s="70"/>
      <c r="AZ237" s="70"/>
      <c r="BA237" s="70"/>
      <c r="BB237" s="70"/>
    </row>
    <row r="238" ht="14.25" customHeight="1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 s="70"/>
      <c r="AX238" s="70"/>
      <c r="AY238" s="70"/>
      <c r="AZ238" s="70"/>
      <c r="BA238" s="70"/>
      <c r="BB238" s="70"/>
    </row>
    <row r="239" ht="14.25" customHeight="1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 s="70"/>
      <c r="AX239" s="70"/>
      <c r="AY239" s="70"/>
      <c r="AZ239" s="70"/>
      <c r="BA239" s="70"/>
      <c r="BB239" s="70"/>
    </row>
    <row r="240" ht="14.25" customHeight="1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0"/>
      <c r="AX240" s="70"/>
      <c r="AY240" s="70"/>
      <c r="AZ240" s="70"/>
      <c r="BA240" s="70"/>
      <c r="BB240" s="70"/>
    </row>
    <row r="241" ht="14.25" customHeight="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0"/>
      <c r="AX241" s="70"/>
      <c r="AY241" s="70"/>
      <c r="AZ241" s="70"/>
      <c r="BA241" s="70"/>
      <c r="BB241" s="70"/>
    </row>
    <row r="242" ht="14.25" customHeight="1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0"/>
      <c r="AX242" s="70"/>
      <c r="AY242" s="70"/>
      <c r="AZ242" s="70"/>
      <c r="BA242" s="70"/>
      <c r="BB242" s="70"/>
    </row>
    <row r="243" ht="14.25" customHeight="1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0"/>
      <c r="AX243" s="70"/>
      <c r="AY243" s="70"/>
      <c r="AZ243" s="70"/>
      <c r="BA243" s="70"/>
      <c r="BB243" s="70"/>
    </row>
    <row r="244" ht="14.25" customHeight="1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0"/>
      <c r="AX244" s="70"/>
      <c r="AY244" s="70"/>
      <c r="AZ244" s="70"/>
      <c r="BA244" s="70"/>
      <c r="BB244" s="70"/>
    </row>
    <row r="245" ht="14.25" customHeight="1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70"/>
      <c r="AX245" s="70"/>
      <c r="AY245" s="70"/>
      <c r="AZ245" s="70"/>
      <c r="BA245" s="70"/>
      <c r="BB245" s="70"/>
    </row>
    <row r="246" ht="14.25" customHeight="1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70"/>
      <c r="AX246" s="70"/>
      <c r="AY246" s="70"/>
      <c r="AZ246" s="70"/>
      <c r="BA246" s="70"/>
      <c r="BB246" s="70"/>
    </row>
    <row r="247" ht="14.25" customHeight="1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  <c r="AW247" s="70"/>
      <c r="AX247" s="70"/>
      <c r="AY247" s="70"/>
      <c r="AZ247" s="70"/>
      <c r="BA247" s="70"/>
      <c r="BB247" s="70"/>
    </row>
    <row r="248" ht="14.25" customHeight="1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  <c r="AW248" s="70"/>
      <c r="AX248" s="70"/>
      <c r="AY248" s="70"/>
      <c r="AZ248" s="70"/>
      <c r="BA248" s="70"/>
      <c r="BB248" s="70"/>
    </row>
    <row r="249" ht="14.25" customHeight="1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  <c r="AW249" s="70"/>
      <c r="AX249" s="70"/>
      <c r="AY249" s="70"/>
      <c r="AZ249" s="70"/>
      <c r="BA249" s="70"/>
      <c r="BB249" s="70"/>
    </row>
    <row r="250" ht="14.25" customHeight="1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  <c r="AW250" s="70"/>
      <c r="AX250" s="70"/>
      <c r="AY250" s="70"/>
      <c r="AZ250" s="70"/>
      <c r="BA250" s="70"/>
      <c r="BB250" s="70"/>
    </row>
    <row r="251" ht="14.25" customHeight="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  <c r="AW251" s="70"/>
      <c r="AX251" s="70"/>
      <c r="AY251" s="70"/>
      <c r="AZ251" s="70"/>
      <c r="BA251" s="70"/>
      <c r="BB251" s="70"/>
    </row>
    <row r="252" ht="14.25" customHeight="1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  <c r="AW252" s="70"/>
      <c r="AX252" s="70"/>
      <c r="AY252" s="70"/>
      <c r="AZ252" s="70"/>
      <c r="BA252" s="70"/>
      <c r="BB252" s="70"/>
    </row>
    <row r="253" ht="14.25" customHeight="1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  <c r="AW253" s="70"/>
      <c r="AX253" s="70"/>
      <c r="AY253" s="70"/>
      <c r="AZ253" s="70"/>
      <c r="BA253" s="70"/>
      <c r="BB253" s="70"/>
    </row>
    <row r="254" ht="14.25" customHeight="1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  <c r="AW254" s="70"/>
      <c r="AX254" s="70"/>
      <c r="AY254" s="70"/>
      <c r="AZ254" s="70"/>
      <c r="BA254" s="70"/>
      <c r="BB254" s="70"/>
    </row>
    <row r="255" ht="14.25" customHeight="1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  <c r="AR255" s="70"/>
      <c r="AS255" s="70"/>
      <c r="AT255" s="70"/>
      <c r="AU255" s="70"/>
      <c r="AV255" s="70"/>
      <c r="AW255" s="70"/>
      <c r="AX255" s="70"/>
      <c r="AY255" s="70"/>
      <c r="AZ255" s="70"/>
      <c r="BA255" s="70"/>
      <c r="BB255" s="70"/>
    </row>
    <row r="256" ht="14.25" customHeight="1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  <c r="AW256" s="70"/>
      <c r="AX256" s="70"/>
      <c r="AY256" s="70"/>
      <c r="AZ256" s="70"/>
      <c r="BA256" s="70"/>
      <c r="BB256" s="70"/>
    </row>
    <row r="257" ht="14.25" customHeight="1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 s="70"/>
      <c r="AX257" s="70"/>
      <c r="AY257" s="70"/>
      <c r="AZ257" s="70"/>
      <c r="BA257" s="70"/>
      <c r="BB257" s="70"/>
    </row>
    <row r="258" ht="14.25" customHeight="1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 s="70"/>
      <c r="AX258" s="70"/>
      <c r="AY258" s="70"/>
      <c r="AZ258" s="70"/>
      <c r="BA258" s="70"/>
      <c r="BB258" s="70"/>
    </row>
    <row r="259" ht="14.25" customHeight="1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0"/>
      <c r="AX259" s="70"/>
      <c r="AY259" s="70"/>
      <c r="AZ259" s="70"/>
      <c r="BA259" s="70"/>
      <c r="BB259" s="70"/>
    </row>
    <row r="260" ht="14.25" customHeight="1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0"/>
      <c r="AX260" s="70"/>
      <c r="AY260" s="70"/>
      <c r="AZ260" s="70"/>
      <c r="BA260" s="70"/>
      <c r="BB260" s="70"/>
    </row>
    <row r="261" ht="14.25" customHeight="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70"/>
      <c r="AX261" s="70"/>
      <c r="AY261" s="70"/>
      <c r="AZ261" s="70"/>
      <c r="BA261" s="70"/>
      <c r="BB261" s="70"/>
    </row>
    <row r="262" ht="14.25" customHeight="1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70"/>
      <c r="AX262" s="70"/>
      <c r="AY262" s="70"/>
      <c r="AZ262" s="70"/>
      <c r="BA262" s="70"/>
      <c r="BB262" s="70"/>
    </row>
    <row r="263" ht="14.25" customHeight="1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  <c r="AW263" s="70"/>
      <c r="AX263" s="70"/>
      <c r="AY263" s="70"/>
      <c r="AZ263" s="70"/>
      <c r="BA263" s="70"/>
      <c r="BB263" s="70"/>
    </row>
    <row r="264" ht="14.25" customHeight="1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  <c r="AW264" s="70"/>
      <c r="AX264" s="70"/>
      <c r="AY264" s="70"/>
      <c r="AZ264" s="70"/>
      <c r="BA264" s="70"/>
      <c r="BB264" s="70"/>
    </row>
    <row r="265" ht="14.25" customHeight="1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  <c r="AW265" s="70"/>
      <c r="AX265" s="70"/>
      <c r="AY265" s="70"/>
      <c r="AZ265" s="70"/>
      <c r="BA265" s="70"/>
      <c r="BB265" s="70"/>
    </row>
    <row r="266" ht="14.25" customHeight="1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 s="70"/>
      <c r="AX266" s="70"/>
      <c r="AY266" s="70"/>
      <c r="AZ266" s="70"/>
      <c r="BA266" s="70"/>
      <c r="BB266" s="70"/>
    </row>
    <row r="267" ht="14.25" customHeight="1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 s="70"/>
      <c r="AX267" s="70"/>
      <c r="AY267" s="70"/>
      <c r="AZ267" s="70"/>
      <c r="BA267" s="70"/>
      <c r="BB267" s="70"/>
    </row>
    <row r="268" ht="14.25" customHeight="1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 s="70"/>
      <c r="AX268" s="70"/>
      <c r="AY268" s="70"/>
      <c r="AZ268" s="70"/>
      <c r="BA268" s="70"/>
      <c r="BB268" s="70"/>
    </row>
    <row r="269" ht="14.25" customHeight="1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 s="70"/>
      <c r="AX269" s="70"/>
      <c r="AY269" s="70"/>
      <c r="AZ269" s="70"/>
      <c r="BA269" s="70"/>
      <c r="BB269" s="70"/>
    </row>
    <row r="270" ht="14.25" customHeight="1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 s="70"/>
      <c r="AX270" s="70"/>
      <c r="AY270" s="70"/>
      <c r="AZ270" s="70"/>
      <c r="BA270" s="70"/>
      <c r="BB270" s="70"/>
    </row>
    <row r="271" ht="14.25" customHeight="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  <c r="AW271" s="70"/>
      <c r="AX271" s="70"/>
      <c r="AY271" s="70"/>
      <c r="AZ271" s="70"/>
      <c r="BA271" s="70"/>
      <c r="BB271" s="70"/>
    </row>
    <row r="272" ht="14.25" customHeight="1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 s="70"/>
      <c r="AX272" s="70"/>
      <c r="AY272" s="70"/>
      <c r="AZ272" s="70"/>
      <c r="BA272" s="70"/>
      <c r="BB272" s="70"/>
    </row>
    <row r="273" ht="14.25" customHeight="1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 s="70"/>
      <c r="AX273" s="70"/>
      <c r="AY273" s="70"/>
      <c r="AZ273" s="70"/>
      <c r="BA273" s="70"/>
      <c r="BB273" s="70"/>
    </row>
    <row r="274" ht="14.25" customHeight="1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 s="70"/>
      <c r="AX274" s="70"/>
      <c r="AY274" s="70"/>
      <c r="AZ274" s="70"/>
      <c r="BA274" s="70"/>
      <c r="BB274" s="70"/>
    </row>
    <row r="275" ht="14.25" customHeight="1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70"/>
      <c r="AX275" s="70"/>
      <c r="AY275" s="70"/>
      <c r="AZ275" s="70"/>
      <c r="BA275" s="70"/>
      <c r="BB275" s="70"/>
    </row>
    <row r="276" ht="14.25" customHeight="1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  <c r="AW276" s="70"/>
      <c r="AX276" s="70"/>
      <c r="AY276" s="70"/>
      <c r="AZ276" s="70"/>
      <c r="BA276" s="70"/>
      <c r="BB276" s="70"/>
    </row>
    <row r="277" ht="14.25" customHeight="1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  <c r="AW277" s="70"/>
      <c r="AX277" s="70"/>
      <c r="AY277" s="70"/>
      <c r="AZ277" s="70"/>
      <c r="BA277" s="70"/>
      <c r="BB277" s="70"/>
    </row>
    <row r="278" ht="14.25" customHeight="1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  <c r="AW278" s="70"/>
      <c r="AX278" s="70"/>
      <c r="AY278" s="70"/>
      <c r="AZ278" s="70"/>
      <c r="BA278" s="70"/>
      <c r="BB278" s="70"/>
    </row>
    <row r="279" ht="14.25" customHeight="1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0"/>
      <c r="AX279" s="70"/>
      <c r="AY279" s="70"/>
      <c r="AZ279" s="70"/>
      <c r="BA279" s="70"/>
      <c r="BB279" s="70"/>
    </row>
    <row r="280" ht="14.25" customHeight="1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0"/>
      <c r="AX280" s="70"/>
      <c r="AY280" s="70"/>
      <c r="AZ280" s="70"/>
      <c r="BA280" s="70"/>
      <c r="BB280" s="70"/>
    </row>
    <row r="281" ht="14.25" customHeight="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0"/>
      <c r="AX281" s="70"/>
      <c r="AY281" s="70"/>
      <c r="AZ281" s="70"/>
      <c r="BA281" s="70"/>
      <c r="BB281" s="70"/>
    </row>
    <row r="282" ht="14.25" customHeight="1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0"/>
      <c r="AX282" s="70"/>
      <c r="AY282" s="70"/>
      <c r="AZ282" s="70"/>
      <c r="BA282" s="70"/>
      <c r="BB282" s="70"/>
    </row>
    <row r="283" ht="14.25" customHeight="1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0"/>
      <c r="AX283" s="70"/>
      <c r="AY283" s="70"/>
      <c r="AZ283" s="70"/>
      <c r="BA283" s="70"/>
      <c r="BB283" s="70"/>
    </row>
    <row r="284" ht="14.25" customHeight="1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70"/>
      <c r="AX284" s="70"/>
      <c r="AY284" s="70"/>
      <c r="AZ284" s="70"/>
      <c r="BA284" s="70"/>
      <c r="BB284" s="70"/>
    </row>
    <row r="285" ht="14.25" customHeight="1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70"/>
      <c r="AX285" s="70"/>
      <c r="AY285" s="70"/>
      <c r="AZ285" s="70"/>
      <c r="BA285" s="70"/>
      <c r="BB285" s="70"/>
    </row>
    <row r="286" ht="14.25" customHeight="1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70"/>
      <c r="AX286" s="70"/>
      <c r="AY286" s="70"/>
      <c r="AZ286" s="70"/>
      <c r="BA286" s="70"/>
      <c r="BB286" s="70"/>
    </row>
    <row r="287" ht="14.25" customHeight="1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70"/>
      <c r="AX287" s="70"/>
      <c r="AY287" s="70"/>
      <c r="AZ287" s="70"/>
      <c r="BA287" s="70"/>
      <c r="BB287" s="70"/>
    </row>
    <row r="288" ht="14.25" customHeight="1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70"/>
      <c r="AX288" s="70"/>
      <c r="AY288" s="70"/>
      <c r="AZ288" s="70"/>
      <c r="BA288" s="70"/>
      <c r="BB288" s="70"/>
    </row>
    <row r="289" ht="14.25" customHeight="1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70"/>
      <c r="AX289" s="70"/>
      <c r="AY289" s="70"/>
      <c r="AZ289" s="70"/>
      <c r="BA289" s="70"/>
      <c r="BB289" s="70"/>
    </row>
    <row r="290" ht="14.25" customHeight="1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 s="70"/>
      <c r="AX290" s="70"/>
      <c r="AY290" s="70"/>
      <c r="AZ290" s="70"/>
      <c r="BA290" s="70"/>
      <c r="BB290" s="70"/>
    </row>
    <row r="291" ht="14.25" customHeight="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 s="70"/>
      <c r="AX291" s="70"/>
      <c r="AY291" s="70"/>
      <c r="AZ291" s="70"/>
      <c r="BA291" s="70"/>
      <c r="BB291" s="70"/>
    </row>
    <row r="292" ht="14.25" customHeight="1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 s="70"/>
      <c r="AX292" s="70"/>
      <c r="AY292" s="70"/>
      <c r="AZ292" s="70"/>
      <c r="BA292" s="70"/>
      <c r="BB292" s="70"/>
    </row>
    <row r="293" ht="14.25" customHeight="1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 s="70"/>
      <c r="AX293" s="70"/>
      <c r="AY293" s="70"/>
      <c r="AZ293" s="70"/>
      <c r="BA293" s="70"/>
      <c r="BB293" s="70"/>
    </row>
    <row r="294" ht="14.25" customHeight="1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 s="70"/>
      <c r="AX294" s="70"/>
      <c r="AY294" s="70"/>
      <c r="AZ294" s="70"/>
      <c r="BA294" s="70"/>
      <c r="BB294" s="70"/>
    </row>
    <row r="295" ht="14.25" customHeight="1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70"/>
      <c r="AX295" s="70"/>
      <c r="AY295" s="70"/>
      <c r="AZ295" s="70"/>
      <c r="BA295" s="70"/>
      <c r="BB295" s="70"/>
    </row>
    <row r="296" ht="14.25" customHeight="1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70"/>
      <c r="AX296" s="70"/>
      <c r="AY296" s="70"/>
      <c r="AZ296" s="70"/>
      <c r="BA296" s="70"/>
      <c r="BB296" s="70"/>
    </row>
    <row r="297" ht="14.25" customHeight="1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 s="70"/>
      <c r="AX297" s="70"/>
      <c r="AY297" s="70"/>
      <c r="AZ297" s="70"/>
      <c r="BA297" s="70"/>
      <c r="BB297" s="70"/>
    </row>
    <row r="298" ht="14.25" customHeight="1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 s="70"/>
      <c r="AX298" s="70"/>
      <c r="AY298" s="70"/>
      <c r="AZ298" s="70"/>
      <c r="BA298" s="70"/>
      <c r="BB298" s="70"/>
    </row>
    <row r="299" ht="14.25" customHeight="1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 s="70"/>
      <c r="AX299" s="70"/>
      <c r="AY299" s="70"/>
      <c r="AZ299" s="70"/>
      <c r="BA299" s="70"/>
      <c r="BB299" s="70"/>
    </row>
    <row r="300" ht="14.25" customHeight="1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70"/>
      <c r="AX300" s="70"/>
      <c r="AY300" s="70"/>
      <c r="AZ300" s="70"/>
      <c r="BA300" s="70"/>
      <c r="BB300" s="70"/>
    </row>
    <row r="301" ht="14.25" customHeight="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 s="70"/>
      <c r="AX301" s="70"/>
      <c r="AY301" s="70"/>
      <c r="AZ301" s="70"/>
      <c r="BA301" s="70"/>
      <c r="BB301" s="70"/>
    </row>
    <row r="302" ht="14.25" customHeight="1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 s="70"/>
      <c r="AX302" s="70"/>
      <c r="AY302" s="70"/>
      <c r="AZ302" s="70"/>
      <c r="BA302" s="70"/>
      <c r="BB302" s="70"/>
    </row>
    <row r="303" ht="14.25" customHeight="1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  <c r="AW303" s="70"/>
      <c r="AX303" s="70"/>
      <c r="AY303" s="70"/>
      <c r="AZ303" s="70"/>
      <c r="BA303" s="70"/>
      <c r="BB303" s="70"/>
    </row>
    <row r="304" ht="14.25" customHeight="1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  <c r="AW304" s="70"/>
      <c r="AX304" s="70"/>
      <c r="AY304" s="70"/>
      <c r="AZ304" s="70"/>
      <c r="BA304" s="70"/>
      <c r="BB304" s="70"/>
    </row>
    <row r="305" ht="14.25" customHeight="1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0"/>
      <c r="AX305" s="70"/>
      <c r="AY305" s="70"/>
      <c r="AZ305" s="70"/>
      <c r="BA305" s="70"/>
      <c r="BB305" s="70"/>
    </row>
    <row r="306" ht="14.25" customHeight="1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0"/>
      <c r="AX306" s="70"/>
      <c r="AY306" s="70"/>
      <c r="AZ306" s="70"/>
      <c r="BA306" s="70"/>
      <c r="BB306" s="70"/>
    </row>
    <row r="307" ht="14.25" customHeight="1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0"/>
      <c r="AX307" s="70"/>
      <c r="AY307" s="70"/>
      <c r="AZ307" s="70"/>
      <c r="BA307" s="70"/>
      <c r="BB307" s="70"/>
    </row>
    <row r="308" ht="14.25" customHeight="1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0"/>
      <c r="AX308" s="70"/>
      <c r="AY308" s="70"/>
      <c r="AZ308" s="70"/>
      <c r="BA308" s="70"/>
      <c r="BB308" s="70"/>
    </row>
    <row r="309" ht="14.25" customHeight="1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0"/>
      <c r="AX309" s="70"/>
      <c r="AY309" s="70"/>
      <c r="AZ309" s="70"/>
      <c r="BA309" s="70"/>
      <c r="BB309" s="70"/>
    </row>
    <row r="310" ht="14.25" customHeight="1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0"/>
      <c r="AX310" s="70"/>
      <c r="AY310" s="70"/>
      <c r="AZ310" s="70"/>
      <c r="BA310" s="70"/>
      <c r="BB310" s="70"/>
    </row>
    <row r="311" ht="14.25" customHeight="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70"/>
      <c r="AX311" s="70"/>
      <c r="AY311" s="70"/>
      <c r="AZ311" s="70"/>
      <c r="BA311" s="70"/>
      <c r="BB311" s="70"/>
    </row>
    <row r="312" ht="14.25" customHeight="1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0"/>
      <c r="AX312" s="70"/>
      <c r="AY312" s="70"/>
      <c r="AZ312" s="70"/>
      <c r="BA312" s="70"/>
      <c r="BB312" s="70"/>
    </row>
    <row r="313" ht="14.25" customHeight="1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0"/>
      <c r="AX313" s="70"/>
      <c r="AY313" s="70"/>
      <c r="AZ313" s="70"/>
      <c r="BA313" s="70"/>
      <c r="BB313" s="70"/>
    </row>
    <row r="314" ht="14.25" customHeight="1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0"/>
      <c r="AX314" s="70"/>
      <c r="AY314" s="70"/>
      <c r="AZ314" s="70"/>
      <c r="BA314" s="70"/>
      <c r="BB314" s="70"/>
    </row>
    <row r="315" ht="14.25" customHeight="1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0"/>
      <c r="AX315" s="70"/>
      <c r="AY315" s="70"/>
      <c r="AZ315" s="70"/>
      <c r="BA315" s="70"/>
      <c r="BB315" s="70"/>
    </row>
    <row r="316" ht="14.25" customHeight="1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0"/>
      <c r="AX316" s="70"/>
      <c r="AY316" s="70"/>
      <c r="AZ316" s="70"/>
      <c r="BA316" s="70"/>
      <c r="BB316" s="70"/>
    </row>
    <row r="317" ht="14.25" customHeight="1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70"/>
      <c r="AX317" s="70"/>
      <c r="AY317" s="70"/>
      <c r="AZ317" s="70"/>
      <c r="BA317" s="70"/>
      <c r="BB317" s="70"/>
    </row>
    <row r="318" ht="14.25" customHeight="1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0"/>
      <c r="AX318" s="70"/>
      <c r="AY318" s="70"/>
      <c r="AZ318" s="70"/>
      <c r="BA318" s="70"/>
      <c r="BB318" s="70"/>
    </row>
    <row r="319" ht="14.25" customHeight="1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70"/>
      <c r="AX319" s="70"/>
      <c r="AY319" s="70"/>
      <c r="AZ319" s="70"/>
      <c r="BA319" s="70"/>
      <c r="BB319" s="70"/>
    </row>
    <row r="320" ht="14.25" customHeight="1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 s="70"/>
      <c r="AX320" s="70"/>
      <c r="AY320" s="70"/>
      <c r="AZ320" s="70"/>
      <c r="BA320" s="70"/>
      <c r="BB320" s="70"/>
    </row>
    <row r="321" ht="14.25" customHeight="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70"/>
      <c r="AX321" s="70"/>
      <c r="AY321" s="70"/>
      <c r="AZ321" s="70"/>
      <c r="BA321" s="70"/>
      <c r="BB321" s="70"/>
    </row>
    <row r="322" ht="14.25" customHeight="1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 s="70"/>
      <c r="AX322" s="70"/>
      <c r="AY322" s="70"/>
      <c r="AZ322" s="70"/>
      <c r="BA322" s="70"/>
      <c r="BB322" s="70"/>
    </row>
    <row r="323" ht="14.25" customHeight="1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 s="70"/>
      <c r="AX323" s="70"/>
      <c r="AY323" s="70"/>
      <c r="AZ323" s="70"/>
      <c r="BA323" s="70"/>
      <c r="BB323" s="70"/>
    </row>
    <row r="324" ht="14.25" customHeight="1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 s="70"/>
      <c r="AX324" s="70"/>
      <c r="AY324" s="70"/>
      <c r="AZ324" s="70"/>
      <c r="BA324" s="70"/>
      <c r="BB324" s="70"/>
    </row>
    <row r="325" ht="14.25" customHeight="1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 s="70"/>
      <c r="AX325" s="70"/>
      <c r="AY325" s="70"/>
      <c r="AZ325" s="70"/>
      <c r="BA325" s="70"/>
      <c r="BB325" s="70"/>
    </row>
    <row r="326" ht="14.25" customHeight="1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 s="70"/>
      <c r="AX326" s="70"/>
      <c r="AY326" s="70"/>
      <c r="AZ326" s="70"/>
      <c r="BA326" s="70"/>
      <c r="BB326" s="70"/>
    </row>
    <row r="327" ht="14.25" customHeight="1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 s="70"/>
      <c r="AX327" s="70"/>
      <c r="AY327" s="70"/>
      <c r="AZ327" s="70"/>
      <c r="BA327" s="70"/>
      <c r="BB327" s="70"/>
    </row>
    <row r="328" ht="14.25" customHeight="1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 s="70"/>
      <c r="AX328" s="70"/>
      <c r="AY328" s="70"/>
      <c r="AZ328" s="70"/>
      <c r="BA328" s="70"/>
      <c r="BB328" s="70"/>
    </row>
    <row r="329" ht="14.25" customHeight="1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 s="70"/>
      <c r="AX329" s="70"/>
      <c r="AY329" s="70"/>
      <c r="AZ329" s="70"/>
      <c r="BA329" s="70"/>
      <c r="BB329" s="70"/>
    </row>
    <row r="330" ht="14.25" customHeight="1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 s="70"/>
      <c r="AX330" s="70"/>
      <c r="AY330" s="70"/>
      <c r="AZ330" s="70"/>
      <c r="BA330" s="70"/>
      <c r="BB330" s="70"/>
    </row>
    <row r="331" ht="14.25" customHeight="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  <c r="AW331" s="70"/>
      <c r="AX331" s="70"/>
      <c r="AY331" s="70"/>
      <c r="AZ331" s="70"/>
      <c r="BA331" s="70"/>
      <c r="BB331" s="70"/>
    </row>
    <row r="332" ht="14.25" customHeight="1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0"/>
      <c r="AX332" s="70"/>
      <c r="AY332" s="70"/>
      <c r="AZ332" s="70"/>
      <c r="BA332" s="70"/>
      <c r="BB332" s="70"/>
    </row>
    <row r="333" ht="14.25" customHeight="1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  <c r="AW333" s="70"/>
      <c r="AX333" s="70"/>
      <c r="AY333" s="70"/>
      <c r="AZ333" s="70"/>
      <c r="BA333" s="70"/>
      <c r="BB333" s="70"/>
    </row>
    <row r="334" ht="14.25" customHeight="1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  <c r="AW334" s="70"/>
      <c r="AX334" s="70"/>
      <c r="AY334" s="70"/>
      <c r="AZ334" s="70"/>
      <c r="BA334" s="70"/>
      <c r="BB334" s="70"/>
    </row>
    <row r="335" ht="14.25" customHeight="1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  <c r="AW335" s="70"/>
      <c r="AX335" s="70"/>
      <c r="AY335" s="70"/>
      <c r="AZ335" s="70"/>
      <c r="BA335" s="70"/>
      <c r="BB335" s="70"/>
    </row>
    <row r="336" ht="14.25" customHeight="1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  <c r="AW336" s="70"/>
      <c r="AX336" s="70"/>
      <c r="AY336" s="70"/>
      <c r="AZ336" s="70"/>
      <c r="BA336" s="70"/>
      <c r="BB336" s="70"/>
    </row>
    <row r="337" ht="14.25" customHeight="1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0"/>
      <c r="AX337" s="70"/>
      <c r="AY337" s="70"/>
      <c r="AZ337" s="70"/>
      <c r="BA337" s="70"/>
      <c r="BB337" s="70"/>
    </row>
    <row r="338" ht="14.25" customHeight="1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0"/>
      <c r="AX338" s="70"/>
      <c r="AY338" s="70"/>
      <c r="AZ338" s="70"/>
      <c r="BA338" s="70"/>
      <c r="BB338" s="70"/>
    </row>
    <row r="339" ht="14.25" customHeight="1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0"/>
      <c r="AX339" s="70"/>
      <c r="AY339" s="70"/>
      <c r="AZ339" s="70"/>
      <c r="BA339" s="70"/>
      <c r="BB339" s="70"/>
    </row>
    <row r="340" ht="14.25" customHeight="1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  <c r="AW340" s="70"/>
      <c r="AX340" s="70"/>
      <c r="AY340" s="70"/>
      <c r="AZ340" s="70"/>
      <c r="BA340" s="70"/>
      <c r="BB340" s="70"/>
    </row>
    <row r="341" ht="14.25" customHeight="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70"/>
      <c r="AX341" s="70"/>
      <c r="AY341" s="70"/>
      <c r="AZ341" s="70"/>
      <c r="BA341" s="70"/>
      <c r="BB341" s="70"/>
    </row>
    <row r="342" ht="14.25" customHeight="1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70"/>
      <c r="AX342" s="70"/>
      <c r="AY342" s="70"/>
      <c r="AZ342" s="70"/>
      <c r="BA342" s="70"/>
      <c r="BB342" s="70"/>
    </row>
    <row r="343" ht="14.25" customHeight="1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70"/>
      <c r="AX343" s="70"/>
      <c r="AY343" s="70"/>
      <c r="AZ343" s="70"/>
      <c r="BA343" s="70"/>
      <c r="BB343" s="70"/>
    </row>
    <row r="344" ht="14.25" customHeight="1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  <c r="AW344" s="70"/>
      <c r="AX344" s="70"/>
      <c r="AY344" s="70"/>
      <c r="AZ344" s="70"/>
      <c r="BA344" s="70"/>
      <c r="BB344" s="70"/>
    </row>
    <row r="345" ht="14.25" customHeight="1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 s="70"/>
      <c r="AX345" s="70"/>
      <c r="AY345" s="70"/>
      <c r="AZ345" s="70"/>
      <c r="BA345" s="70"/>
      <c r="BB345" s="70"/>
    </row>
    <row r="346" ht="14.25" customHeight="1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70"/>
      <c r="AX346" s="70"/>
      <c r="AY346" s="70"/>
      <c r="AZ346" s="70"/>
      <c r="BA346" s="70"/>
      <c r="BB346" s="70"/>
    </row>
    <row r="347" ht="14.25" customHeight="1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70"/>
      <c r="AX347" s="70"/>
      <c r="AY347" s="70"/>
      <c r="AZ347" s="70"/>
      <c r="BA347" s="70"/>
      <c r="BB347" s="70"/>
    </row>
    <row r="348" ht="14.25" customHeight="1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70"/>
      <c r="AX348" s="70"/>
      <c r="AY348" s="70"/>
      <c r="AZ348" s="70"/>
      <c r="BA348" s="70"/>
      <c r="BB348" s="70"/>
    </row>
    <row r="349" ht="14.25" customHeight="1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70"/>
      <c r="AX349" s="70"/>
      <c r="AY349" s="70"/>
      <c r="AZ349" s="70"/>
      <c r="BA349" s="70"/>
      <c r="BB349" s="70"/>
    </row>
    <row r="350" ht="14.25" customHeight="1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70"/>
      <c r="AX350" s="70"/>
      <c r="AY350" s="70"/>
      <c r="AZ350" s="70"/>
      <c r="BA350" s="70"/>
      <c r="BB350" s="70"/>
    </row>
    <row r="351" ht="14.25" customHeight="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70"/>
      <c r="AX351" s="70"/>
      <c r="AY351" s="70"/>
      <c r="AZ351" s="70"/>
      <c r="BA351" s="70"/>
      <c r="BB351" s="70"/>
    </row>
    <row r="352" ht="14.25" customHeight="1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70"/>
      <c r="AX352" s="70"/>
      <c r="AY352" s="70"/>
      <c r="AZ352" s="70"/>
      <c r="BA352" s="70"/>
      <c r="BB352" s="70"/>
    </row>
    <row r="353" ht="14.25" customHeight="1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70"/>
      <c r="AX353" s="70"/>
      <c r="AY353" s="70"/>
      <c r="AZ353" s="70"/>
      <c r="BA353" s="70"/>
      <c r="BB353" s="70"/>
    </row>
    <row r="354" ht="14.25" customHeight="1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70"/>
      <c r="AX354" s="70"/>
      <c r="AY354" s="70"/>
      <c r="AZ354" s="70"/>
      <c r="BA354" s="70"/>
      <c r="BB354" s="70"/>
    </row>
    <row r="355" ht="14.25" customHeight="1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70"/>
      <c r="AX355" s="70"/>
      <c r="AY355" s="70"/>
      <c r="AZ355" s="70"/>
      <c r="BA355" s="70"/>
      <c r="BB355" s="70"/>
    </row>
    <row r="356" ht="14.25" customHeight="1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  <c r="AW356" s="70"/>
      <c r="AX356" s="70"/>
      <c r="AY356" s="70"/>
      <c r="AZ356" s="70"/>
      <c r="BA356" s="70"/>
      <c r="BB356" s="70"/>
    </row>
    <row r="357" ht="14.25" customHeight="1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70"/>
      <c r="AX357" s="70"/>
      <c r="AY357" s="70"/>
      <c r="AZ357" s="70"/>
      <c r="BA357" s="70"/>
      <c r="BB357" s="70"/>
    </row>
    <row r="358" ht="14.25" customHeight="1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  <c r="AW358" s="70"/>
      <c r="AX358" s="70"/>
      <c r="AY358" s="70"/>
      <c r="AZ358" s="70"/>
      <c r="BA358" s="70"/>
      <c r="BB358" s="70"/>
    </row>
    <row r="359" ht="14.25" customHeight="1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  <c r="AW359" s="70"/>
      <c r="AX359" s="70"/>
      <c r="AY359" s="70"/>
      <c r="AZ359" s="70"/>
      <c r="BA359" s="70"/>
      <c r="BB359" s="70"/>
    </row>
    <row r="360" ht="14.25" customHeight="1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  <c r="AW360" s="70"/>
      <c r="AX360" s="70"/>
      <c r="AY360" s="70"/>
      <c r="AZ360" s="70"/>
      <c r="BA360" s="70"/>
      <c r="BB360" s="70"/>
    </row>
    <row r="361" ht="14.25" customHeight="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 s="70"/>
      <c r="AX361" s="70"/>
      <c r="AY361" s="70"/>
      <c r="AZ361" s="70"/>
      <c r="BA361" s="70"/>
      <c r="BB361" s="70"/>
    </row>
    <row r="362" ht="14.25" customHeight="1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 s="70"/>
      <c r="AX362" s="70"/>
      <c r="AY362" s="70"/>
      <c r="AZ362" s="70"/>
      <c r="BA362" s="70"/>
      <c r="BB362" s="70"/>
    </row>
    <row r="363" ht="14.25" customHeight="1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 s="70"/>
      <c r="AX363" s="70"/>
      <c r="AY363" s="70"/>
      <c r="AZ363" s="70"/>
      <c r="BA363" s="70"/>
      <c r="BB363" s="70"/>
    </row>
    <row r="364" ht="14.25" customHeight="1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 s="70"/>
      <c r="AX364" s="70"/>
      <c r="AY364" s="70"/>
      <c r="AZ364" s="70"/>
      <c r="BA364" s="70"/>
      <c r="BB364" s="70"/>
    </row>
    <row r="365" ht="14.25" customHeight="1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 s="70"/>
      <c r="AX365" s="70"/>
      <c r="AY365" s="70"/>
      <c r="AZ365" s="70"/>
      <c r="BA365" s="70"/>
      <c r="BB365" s="70"/>
    </row>
    <row r="366" ht="14.25" customHeight="1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70"/>
      <c r="AX366" s="70"/>
      <c r="AY366" s="70"/>
      <c r="AZ366" s="70"/>
      <c r="BA366" s="70"/>
      <c r="BB366" s="70"/>
    </row>
    <row r="367" ht="14.25" customHeight="1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0"/>
      <c r="AX367" s="70"/>
      <c r="AY367" s="70"/>
      <c r="AZ367" s="70"/>
      <c r="BA367" s="70"/>
      <c r="BB367" s="70"/>
    </row>
    <row r="368" ht="14.25" customHeight="1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0"/>
      <c r="AX368" s="70"/>
      <c r="AY368" s="70"/>
      <c r="AZ368" s="70"/>
      <c r="BA368" s="70"/>
      <c r="BB368" s="70"/>
    </row>
    <row r="369" ht="14.25" customHeight="1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0"/>
      <c r="AX369" s="70"/>
      <c r="AY369" s="70"/>
      <c r="AZ369" s="70"/>
      <c r="BA369" s="70"/>
      <c r="BB369" s="70"/>
    </row>
    <row r="370" ht="14.25" customHeight="1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0"/>
      <c r="AX370" s="70"/>
      <c r="AY370" s="70"/>
      <c r="AZ370" s="70"/>
      <c r="BA370" s="70"/>
      <c r="BB370" s="70"/>
    </row>
    <row r="371" ht="14.25" customHeight="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0"/>
      <c r="AX371" s="70"/>
      <c r="AY371" s="70"/>
      <c r="AZ371" s="70"/>
      <c r="BA371" s="70"/>
      <c r="BB371" s="70"/>
    </row>
    <row r="372" ht="14.25" customHeight="1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0"/>
      <c r="AX372" s="70"/>
      <c r="AY372" s="70"/>
      <c r="AZ372" s="70"/>
      <c r="BA372" s="70"/>
      <c r="BB372" s="70"/>
    </row>
    <row r="373" ht="14.25" customHeight="1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0"/>
      <c r="AX373" s="70"/>
      <c r="AY373" s="70"/>
      <c r="AZ373" s="70"/>
      <c r="BA373" s="70"/>
      <c r="BB373" s="70"/>
    </row>
    <row r="374" ht="14.25" customHeight="1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0"/>
      <c r="AX374" s="70"/>
      <c r="AY374" s="70"/>
      <c r="AZ374" s="70"/>
      <c r="BA374" s="70"/>
      <c r="BB374" s="70"/>
    </row>
    <row r="375" ht="14.25" customHeight="1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0"/>
      <c r="AX375" s="70"/>
      <c r="AY375" s="70"/>
      <c r="AZ375" s="70"/>
      <c r="BA375" s="70"/>
      <c r="BB375" s="70"/>
    </row>
    <row r="376" ht="14.25" customHeight="1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0"/>
      <c r="AX376" s="70"/>
      <c r="AY376" s="70"/>
      <c r="AZ376" s="70"/>
      <c r="BA376" s="70"/>
      <c r="BB376" s="70"/>
    </row>
    <row r="377" ht="14.25" customHeight="1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0"/>
      <c r="AX377" s="70"/>
      <c r="AY377" s="70"/>
      <c r="AZ377" s="70"/>
      <c r="BA377" s="70"/>
      <c r="BB377" s="70"/>
    </row>
    <row r="378" ht="14.25" customHeight="1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0"/>
      <c r="AX378" s="70"/>
      <c r="AY378" s="70"/>
      <c r="AZ378" s="70"/>
      <c r="BA378" s="70"/>
      <c r="BB378" s="70"/>
    </row>
    <row r="379" ht="14.25" customHeight="1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0"/>
      <c r="AX379" s="70"/>
      <c r="AY379" s="70"/>
      <c r="AZ379" s="70"/>
      <c r="BA379" s="70"/>
      <c r="BB379" s="70"/>
    </row>
    <row r="380" ht="14.25" customHeight="1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70"/>
      <c r="AX380" s="70"/>
      <c r="AY380" s="70"/>
      <c r="AZ380" s="70"/>
      <c r="BA380" s="70"/>
      <c r="BB380" s="70"/>
    </row>
    <row r="381" ht="14.25" customHeight="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70"/>
      <c r="AX381" s="70"/>
      <c r="AY381" s="70"/>
      <c r="AZ381" s="70"/>
      <c r="BA381" s="70"/>
      <c r="BB381" s="70"/>
    </row>
    <row r="382" ht="14.25" customHeight="1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0"/>
      <c r="AX382" s="70"/>
      <c r="AY382" s="70"/>
      <c r="AZ382" s="70"/>
      <c r="BA382" s="70"/>
      <c r="BB382" s="70"/>
    </row>
    <row r="383" ht="14.25" customHeight="1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0"/>
      <c r="AX383" s="70"/>
      <c r="AY383" s="70"/>
      <c r="AZ383" s="70"/>
      <c r="BA383" s="70"/>
      <c r="BB383" s="70"/>
    </row>
    <row r="384" ht="14.25" customHeight="1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0"/>
      <c r="AX384" s="70"/>
      <c r="AY384" s="70"/>
      <c r="AZ384" s="70"/>
      <c r="BA384" s="70"/>
      <c r="BB384" s="70"/>
    </row>
    <row r="385" ht="14.25" customHeight="1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0"/>
      <c r="AX385" s="70"/>
      <c r="AY385" s="70"/>
      <c r="AZ385" s="70"/>
      <c r="BA385" s="70"/>
      <c r="BB385" s="70"/>
    </row>
    <row r="386" ht="14.25" customHeight="1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0"/>
      <c r="AX386" s="70"/>
      <c r="AY386" s="70"/>
      <c r="AZ386" s="70"/>
      <c r="BA386" s="70"/>
      <c r="BB386" s="70"/>
    </row>
    <row r="387" ht="14.25" customHeight="1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70"/>
      <c r="AX387" s="70"/>
      <c r="AY387" s="70"/>
      <c r="AZ387" s="70"/>
      <c r="BA387" s="70"/>
      <c r="BB387" s="70"/>
    </row>
    <row r="388" ht="14.25" customHeight="1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70"/>
      <c r="AX388" s="70"/>
      <c r="AY388" s="70"/>
      <c r="AZ388" s="70"/>
      <c r="BA388" s="70"/>
      <c r="BB388" s="70"/>
    </row>
    <row r="389" ht="14.25" customHeight="1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70"/>
      <c r="AX389" s="70"/>
      <c r="AY389" s="70"/>
      <c r="AZ389" s="70"/>
      <c r="BA389" s="70"/>
      <c r="BB389" s="70"/>
    </row>
    <row r="390" ht="14.25" customHeight="1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70"/>
      <c r="AX390" s="70"/>
      <c r="AY390" s="70"/>
      <c r="AZ390" s="70"/>
      <c r="BA390" s="70"/>
      <c r="BB390" s="70"/>
    </row>
    <row r="391" ht="14.25" customHeight="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70"/>
      <c r="AX391" s="70"/>
      <c r="AY391" s="70"/>
      <c r="AZ391" s="70"/>
      <c r="BA391" s="70"/>
      <c r="BB391" s="70"/>
    </row>
    <row r="392" ht="14.25" customHeight="1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70"/>
      <c r="AX392" s="70"/>
      <c r="AY392" s="70"/>
      <c r="AZ392" s="70"/>
      <c r="BA392" s="70"/>
      <c r="BB392" s="70"/>
    </row>
    <row r="393" ht="14.25" customHeight="1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70"/>
      <c r="AX393" s="70"/>
      <c r="AY393" s="70"/>
      <c r="AZ393" s="70"/>
      <c r="BA393" s="70"/>
      <c r="BB393" s="70"/>
    </row>
    <row r="394" ht="14.25" customHeight="1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70"/>
      <c r="AX394" s="70"/>
      <c r="AY394" s="70"/>
      <c r="AZ394" s="70"/>
      <c r="BA394" s="70"/>
      <c r="BB394" s="70"/>
    </row>
    <row r="395" ht="14.25" customHeight="1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0"/>
      <c r="AX395" s="70"/>
      <c r="AY395" s="70"/>
      <c r="AZ395" s="70"/>
      <c r="BA395" s="70"/>
      <c r="BB395" s="70"/>
    </row>
    <row r="396" ht="14.25" customHeight="1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70"/>
      <c r="AX396" s="70"/>
      <c r="AY396" s="70"/>
      <c r="AZ396" s="70"/>
      <c r="BA396" s="70"/>
      <c r="BB396" s="70"/>
    </row>
    <row r="397" ht="14.25" customHeight="1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 s="70"/>
      <c r="AX397" s="70"/>
      <c r="AY397" s="70"/>
      <c r="AZ397" s="70"/>
      <c r="BA397" s="70"/>
      <c r="BB397" s="70"/>
    </row>
    <row r="398" ht="14.25" customHeight="1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  <c r="AW398" s="70"/>
      <c r="AX398" s="70"/>
      <c r="AY398" s="70"/>
      <c r="AZ398" s="70"/>
      <c r="BA398" s="70"/>
      <c r="BB398" s="70"/>
    </row>
    <row r="399" ht="14.25" customHeight="1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70"/>
      <c r="AW399" s="70"/>
      <c r="AX399" s="70"/>
      <c r="AY399" s="70"/>
      <c r="AZ399" s="70"/>
      <c r="BA399" s="70"/>
      <c r="BB399" s="70"/>
    </row>
    <row r="400" ht="14.25" customHeight="1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 s="70"/>
      <c r="AX400" s="70"/>
      <c r="AY400" s="70"/>
      <c r="AZ400" s="70"/>
      <c r="BA400" s="70"/>
      <c r="BB400" s="70"/>
    </row>
    <row r="401" ht="14.25" customHeight="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 s="70"/>
      <c r="AX401" s="70"/>
      <c r="AY401" s="70"/>
      <c r="AZ401" s="70"/>
      <c r="BA401" s="70"/>
      <c r="BB401" s="70"/>
    </row>
    <row r="402" ht="14.25" customHeight="1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  <c r="AR402" s="70"/>
      <c r="AS402" s="70"/>
      <c r="AT402" s="70"/>
      <c r="AU402" s="70"/>
      <c r="AV402" s="70"/>
      <c r="AW402" s="70"/>
      <c r="AX402" s="70"/>
      <c r="AY402" s="70"/>
      <c r="AZ402" s="70"/>
      <c r="BA402" s="70"/>
      <c r="BB402" s="70"/>
    </row>
    <row r="403" ht="14.25" customHeight="1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  <c r="AR403" s="70"/>
      <c r="AS403" s="70"/>
      <c r="AT403" s="70"/>
      <c r="AU403" s="70"/>
      <c r="AV403" s="70"/>
      <c r="AW403" s="70"/>
      <c r="AX403" s="70"/>
      <c r="AY403" s="70"/>
      <c r="AZ403" s="70"/>
      <c r="BA403" s="70"/>
      <c r="BB403" s="70"/>
    </row>
    <row r="404" ht="14.25" customHeight="1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  <c r="AS404" s="70"/>
      <c r="AT404" s="70"/>
      <c r="AU404" s="70"/>
      <c r="AV404" s="70"/>
      <c r="AW404" s="70"/>
      <c r="AX404" s="70"/>
      <c r="AY404" s="70"/>
      <c r="AZ404" s="70"/>
      <c r="BA404" s="70"/>
      <c r="BB404" s="70"/>
    </row>
    <row r="405" ht="14.25" customHeight="1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/>
      <c r="AS405" s="70"/>
      <c r="AT405" s="70"/>
      <c r="AU405" s="70"/>
      <c r="AV405" s="70"/>
      <c r="AW405" s="70"/>
      <c r="AX405" s="70"/>
      <c r="AY405" s="70"/>
      <c r="AZ405" s="70"/>
      <c r="BA405" s="70"/>
      <c r="BB405" s="70"/>
    </row>
    <row r="406" ht="14.25" customHeight="1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  <c r="AR406" s="70"/>
      <c r="AS406" s="70"/>
      <c r="AT406" s="70"/>
      <c r="AU406" s="70"/>
      <c r="AV406" s="70"/>
      <c r="AW406" s="70"/>
      <c r="AX406" s="70"/>
      <c r="AY406" s="70"/>
      <c r="AZ406" s="70"/>
      <c r="BA406" s="70"/>
      <c r="BB406" s="70"/>
    </row>
    <row r="407" ht="14.25" customHeight="1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  <c r="AR407" s="70"/>
      <c r="AS407" s="70"/>
      <c r="AT407" s="70"/>
      <c r="AU407" s="70"/>
      <c r="AV407" s="70"/>
      <c r="AW407" s="70"/>
      <c r="AX407" s="70"/>
      <c r="AY407" s="70"/>
      <c r="AZ407" s="70"/>
      <c r="BA407" s="70"/>
      <c r="BB407" s="70"/>
    </row>
    <row r="408" ht="14.25" customHeight="1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  <c r="AW408" s="70"/>
      <c r="AX408" s="70"/>
      <c r="AY408" s="70"/>
      <c r="AZ408" s="70"/>
      <c r="BA408" s="70"/>
      <c r="BB408" s="70"/>
    </row>
    <row r="409" ht="14.25" customHeight="1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  <c r="AW409" s="70"/>
      <c r="AX409" s="70"/>
      <c r="AY409" s="70"/>
      <c r="AZ409" s="70"/>
      <c r="BA409" s="70"/>
      <c r="BB409" s="70"/>
    </row>
    <row r="410" ht="14.25" customHeight="1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0"/>
      <c r="AX410" s="70"/>
      <c r="AY410" s="70"/>
      <c r="AZ410" s="70"/>
      <c r="BA410" s="70"/>
      <c r="BB410" s="70"/>
    </row>
    <row r="411" ht="14.25" customHeight="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  <c r="AW411" s="70"/>
      <c r="AX411" s="70"/>
      <c r="AY411" s="70"/>
      <c r="AZ411" s="70"/>
      <c r="BA411" s="70"/>
      <c r="BB411" s="70"/>
    </row>
    <row r="412" ht="14.25" customHeight="1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  <c r="AW412" s="70"/>
      <c r="AX412" s="70"/>
      <c r="AY412" s="70"/>
      <c r="AZ412" s="70"/>
      <c r="BA412" s="70"/>
      <c r="BB412" s="70"/>
    </row>
    <row r="413" ht="14.25" customHeight="1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  <c r="AW413" s="70"/>
      <c r="AX413" s="70"/>
      <c r="AY413" s="70"/>
      <c r="AZ413" s="70"/>
      <c r="BA413" s="70"/>
      <c r="BB413" s="70"/>
    </row>
    <row r="414" ht="14.25" customHeight="1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  <c r="AW414" s="70"/>
      <c r="AX414" s="70"/>
      <c r="AY414" s="70"/>
      <c r="AZ414" s="70"/>
      <c r="BA414" s="70"/>
      <c r="BB414" s="70"/>
    </row>
    <row r="415" ht="14.25" customHeight="1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  <c r="AW415" s="70"/>
      <c r="AX415" s="70"/>
      <c r="AY415" s="70"/>
      <c r="AZ415" s="70"/>
      <c r="BA415" s="70"/>
      <c r="BB415" s="70"/>
    </row>
    <row r="416" ht="14.25" customHeight="1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 s="70"/>
      <c r="AX416" s="70"/>
      <c r="AY416" s="70"/>
      <c r="AZ416" s="70"/>
      <c r="BA416" s="70"/>
      <c r="BB416" s="70"/>
    </row>
    <row r="417" ht="14.25" customHeight="1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 s="70"/>
      <c r="AX417" s="70"/>
      <c r="AY417" s="70"/>
      <c r="AZ417" s="70"/>
      <c r="BA417" s="70"/>
      <c r="BB417" s="70"/>
    </row>
    <row r="418" ht="14.25" customHeight="1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 s="70"/>
      <c r="AX418" s="70"/>
      <c r="AY418" s="70"/>
      <c r="AZ418" s="70"/>
      <c r="BA418" s="70"/>
      <c r="BB418" s="70"/>
    </row>
    <row r="419" ht="14.25" customHeight="1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 s="70"/>
      <c r="AX419" s="70"/>
      <c r="AY419" s="70"/>
      <c r="AZ419" s="70"/>
      <c r="BA419" s="70"/>
      <c r="BB419" s="70"/>
    </row>
    <row r="420" ht="14.25" customHeight="1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 s="70"/>
      <c r="AX420" s="70"/>
      <c r="AY420" s="70"/>
      <c r="AZ420" s="70"/>
      <c r="BA420" s="70"/>
      <c r="BB420" s="70"/>
    </row>
    <row r="421" ht="14.25" customHeight="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 s="70"/>
      <c r="AX421" s="70"/>
      <c r="AY421" s="70"/>
      <c r="AZ421" s="70"/>
      <c r="BA421" s="70"/>
      <c r="BB421" s="70"/>
    </row>
    <row r="422" ht="14.25" customHeight="1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 s="70"/>
      <c r="AX422" s="70"/>
      <c r="AY422" s="70"/>
      <c r="AZ422" s="70"/>
      <c r="BA422" s="70"/>
      <c r="BB422" s="70"/>
    </row>
    <row r="423" ht="14.25" customHeight="1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 s="70"/>
      <c r="AX423" s="70"/>
      <c r="AY423" s="70"/>
      <c r="AZ423" s="70"/>
      <c r="BA423" s="70"/>
      <c r="BB423" s="70"/>
    </row>
    <row r="424" ht="14.25" customHeight="1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 s="70"/>
      <c r="AX424" s="70"/>
      <c r="AY424" s="70"/>
      <c r="AZ424" s="70"/>
      <c r="BA424" s="70"/>
      <c r="BB424" s="70"/>
    </row>
    <row r="425" ht="14.25" customHeight="1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 s="70"/>
      <c r="AX425" s="70"/>
      <c r="AY425" s="70"/>
      <c r="AZ425" s="70"/>
      <c r="BA425" s="70"/>
      <c r="BB425" s="70"/>
    </row>
    <row r="426" ht="14.25" customHeight="1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 s="70"/>
      <c r="AX426" s="70"/>
      <c r="AY426" s="70"/>
      <c r="AZ426" s="70"/>
      <c r="BA426" s="70"/>
      <c r="BB426" s="70"/>
    </row>
    <row r="427" ht="14.25" customHeight="1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 s="70"/>
      <c r="AX427" s="70"/>
      <c r="AY427" s="70"/>
      <c r="AZ427" s="70"/>
      <c r="BA427" s="70"/>
      <c r="BB427" s="70"/>
    </row>
    <row r="428" ht="14.25" customHeight="1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 s="70"/>
      <c r="AX428" s="70"/>
      <c r="AY428" s="70"/>
      <c r="AZ428" s="70"/>
      <c r="BA428" s="70"/>
      <c r="BB428" s="70"/>
    </row>
    <row r="429" ht="14.25" customHeight="1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 s="70"/>
      <c r="AX429" s="70"/>
      <c r="AY429" s="70"/>
      <c r="AZ429" s="70"/>
      <c r="BA429" s="70"/>
      <c r="BB429" s="70"/>
    </row>
    <row r="430" ht="14.25" customHeight="1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70"/>
      <c r="AX430" s="70"/>
      <c r="AY430" s="70"/>
      <c r="AZ430" s="70"/>
      <c r="BA430" s="70"/>
      <c r="BB430" s="70"/>
    </row>
    <row r="431" ht="14.25" customHeight="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 s="70"/>
      <c r="AX431" s="70"/>
      <c r="AY431" s="70"/>
      <c r="AZ431" s="70"/>
      <c r="BA431" s="70"/>
      <c r="BB431" s="70"/>
    </row>
    <row r="432" ht="14.25" customHeight="1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 s="70"/>
      <c r="AX432" s="70"/>
      <c r="AY432" s="70"/>
      <c r="AZ432" s="70"/>
      <c r="BA432" s="70"/>
      <c r="BB432" s="70"/>
    </row>
    <row r="433" ht="14.25" customHeight="1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 s="70"/>
      <c r="AX433" s="70"/>
      <c r="AY433" s="70"/>
      <c r="AZ433" s="70"/>
      <c r="BA433" s="70"/>
      <c r="BB433" s="70"/>
    </row>
    <row r="434" ht="14.25" customHeight="1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 s="70"/>
      <c r="AX434" s="70"/>
      <c r="AY434" s="70"/>
      <c r="AZ434" s="70"/>
      <c r="BA434" s="70"/>
      <c r="BB434" s="70"/>
    </row>
    <row r="435" ht="14.25" customHeight="1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 s="70"/>
      <c r="AX435" s="70"/>
      <c r="AY435" s="70"/>
      <c r="AZ435" s="70"/>
      <c r="BA435" s="70"/>
      <c r="BB435" s="70"/>
    </row>
    <row r="436" ht="14.25" customHeight="1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 s="70"/>
      <c r="AX436" s="70"/>
      <c r="AY436" s="70"/>
      <c r="AZ436" s="70"/>
      <c r="BA436" s="70"/>
      <c r="BB436" s="70"/>
    </row>
    <row r="437" ht="14.25" customHeight="1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 s="70"/>
      <c r="AX437" s="70"/>
      <c r="AY437" s="70"/>
      <c r="AZ437" s="70"/>
      <c r="BA437" s="70"/>
      <c r="BB437" s="70"/>
    </row>
    <row r="438" ht="14.25" customHeight="1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70"/>
      <c r="AX438" s="70"/>
      <c r="AY438" s="70"/>
      <c r="AZ438" s="70"/>
      <c r="BA438" s="70"/>
      <c r="BB438" s="70"/>
    </row>
    <row r="439" ht="14.25" customHeight="1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0"/>
      <c r="AX439" s="70"/>
      <c r="AY439" s="70"/>
      <c r="AZ439" s="70"/>
      <c r="BA439" s="70"/>
      <c r="BB439" s="70"/>
    </row>
    <row r="440" ht="14.25" customHeight="1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0"/>
      <c r="AX440" s="70"/>
      <c r="AY440" s="70"/>
      <c r="AZ440" s="70"/>
      <c r="BA440" s="70"/>
      <c r="BB440" s="70"/>
    </row>
    <row r="441" ht="14.25" customHeight="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70"/>
      <c r="AX441" s="70"/>
      <c r="AY441" s="70"/>
      <c r="AZ441" s="70"/>
      <c r="BA441" s="70"/>
      <c r="BB441" s="70"/>
    </row>
    <row r="442" ht="14.25" customHeight="1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 s="70"/>
      <c r="AX442" s="70"/>
      <c r="AY442" s="70"/>
      <c r="AZ442" s="70"/>
      <c r="BA442" s="70"/>
      <c r="BB442" s="70"/>
    </row>
    <row r="443" ht="14.25" customHeight="1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70"/>
      <c r="AX443" s="70"/>
      <c r="AY443" s="70"/>
      <c r="AZ443" s="70"/>
      <c r="BA443" s="70"/>
      <c r="BB443" s="70"/>
    </row>
    <row r="444" ht="14.25" customHeight="1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70"/>
      <c r="AX444" s="70"/>
      <c r="AY444" s="70"/>
      <c r="AZ444" s="70"/>
      <c r="BA444" s="70"/>
      <c r="BB444" s="70"/>
    </row>
    <row r="445" ht="14.25" customHeight="1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70"/>
      <c r="AX445" s="70"/>
      <c r="AY445" s="70"/>
      <c r="AZ445" s="70"/>
      <c r="BA445" s="70"/>
      <c r="BB445" s="70"/>
    </row>
    <row r="446" ht="14.25" customHeight="1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70"/>
      <c r="AX446" s="70"/>
      <c r="AY446" s="70"/>
      <c r="AZ446" s="70"/>
      <c r="BA446" s="70"/>
      <c r="BB446" s="70"/>
    </row>
    <row r="447" ht="14.25" customHeight="1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70"/>
      <c r="AX447" s="70"/>
      <c r="AY447" s="70"/>
      <c r="AZ447" s="70"/>
      <c r="BA447" s="70"/>
      <c r="BB447" s="70"/>
    </row>
    <row r="448" ht="14.25" customHeight="1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70"/>
      <c r="AX448" s="70"/>
      <c r="AY448" s="70"/>
      <c r="AZ448" s="70"/>
      <c r="BA448" s="70"/>
      <c r="BB448" s="70"/>
    </row>
    <row r="449" ht="14.25" customHeight="1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70"/>
      <c r="AX449" s="70"/>
      <c r="AY449" s="70"/>
      <c r="AZ449" s="70"/>
      <c r="BA449" s="70"/>
      <c r="BB449" s="70"/>
    </row>
    <row r="450" ht="14.25" customHeight="1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70"/>
      <c r="AX450" s="70"/>
      <c r="AY450" s="70"/>
      <c r="AZ450" s="70"/>
      <c r="BA450" s="70"/>
      <c r="BB450" s="70"/>
    </row>
    <row r="451" ht="14.25" customHeight="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 s="70"/>
      <c r="AX451" s="70"/>
      <c r="AY451" s="70"/>
      <c r="AZ451" s="70"/>
      <c r="BA451" s="70"/>
      <c r="BB451" s="70"/>
    </row>
    <row r="452" ht="14.25" customHeight="1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 s="70"/>
      <c r="AX452" s="70"/>
      <c r="AY452" s="70"/>
      <c r="AZ452" s="70"/>
      <c r="BA452" s="70"/>
      <c r="BB452" s="70"/>
    </row>
    <row r="453" ht="14.25" customHeight="1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 s="70"/>
      <c r="AX453" s="70"/>
      <c r="AY453" s="70"/>
      <c r="AZ453" s="70"/>
      <c r="BA453" s="70"/>
      <c r="BB453" s="70"/>
    </row>
    <row r="454" ht="14.25" customHeight="1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  <c r="AW454" s="70"/>
      <c r="AX454" s="70"/>
      <c r="AY454" s="70"/>
      <c r="AZ454" s="70"/>
      <c r="BA454" s="70"/>
      <c r="BB454" s="70"/>
    </row>
    <row r="455" ht="14.25" customHeight="1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  <c r="AW455" s="70"/>
      <c r="AX455" s="70"/>
      <c r="AY455" s="70"/>
      <c r="AZ455" s="70"/>
      <c r="BA455" s="70"/>
      <c r="BB455" s="70"/>
    </row>
    <row r="456" ht="14.25" customHeight="1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  <c r="AW456" s="70"/>
      <c r="AX456" s="70"/>
      <c r="AY456" s="70"/>
      <c r="AZ456" s="70"/>
      <c r="BA456" s="70"/>
      <c r="BB456" s="70"/>
    </row>
    <row r="457" ht="14.25" customHeight="1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 s="70"/>
      <c r="AX457" s="70"/>
      <c r="AY457" s="70"/>
      <c r="AZ457" s="70"/>
      <c r="BA457" s="70"/>
      <c r="BB457" s="70"/>
    </row>
    <row r="458" ht="14.25" customHeight="1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 s="70"/>
      <c r="AX458" s="70"/>
      <c r="AY458" s="70"/>
      <c r="AZ458" s="70"/>
      <c r="BA458" s="70"/>
      <c r="BB458" s="70"/>
    </row>
    <row r="459" ht="14.25" customHeight="1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70"/>
      <c r="AX459" s="70"/>
      <c r="AY459" s="70"/>
      <c r="AZ459" s="70"/>
      <c r="BA459" s="70"/>
      <c r="BB459" s="70"/>
    </row>
    <row r="460" ht="14.25" customHeight="1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0"/>
      <c r="AX460" s="70"/>
      <c r="AY460" s="70"/>
      <c r="AZ460" s="70"/>
      <c r="BA460" s="70"/>
      <c r="BB460" s="70"/>
    </row>
    <row r="461" ht="14.25" customHeight="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0"/>
      <c r="AX461" s="70"/>
      <c r="AY461" s="70"/>
      <c r="AZ461" s="70"/>
      <c r="BA461" s="70"/>
      <c r="BB461" s="70"/>
    </row>
    <row r="462" ht="14.25" customHeight="1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0"/>
      <c r="AX462" s="70"/>
      <c r="AY462" s="70"/>
      <c r="AZ462" s="70"/>
      <c r="BA462" s="70"/>
      <c r="BB462" s="70"/>
    </row>
    <row r="463" ht="14.25" customHeight="1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70"/>
      <c r="AX463" s="70"/>
      <c r="AY463" s="70"/>
      <c r="AZ463" s="70"/>
      <c r="BA463" s="70"/>
      <c r="BB463" s="70"/>
    </row>
    <row r="464" ht="14.25" customHeight="1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70"/>
      <c r="AX464" s="70"/>
      <c r="AY464" s="70"/>
      <c r="AZ464" s="70"/>
      <c r="BA464" s="70"/>
      <c r="BB464" s="70"/>
    </row>
    <row r="465" ht="14.25" customHeight="1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70"/>
      <c r="AX465" s="70"/>
      <c r="AY465" s="70"/>
      <c r="AZ465" s="70"/>
      <c r="BA465" s="70"/>
      <c r="BB465" s="70"/>
    </row>
    <row r="466" ht="14.25" customHeight="1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70"/>
      <c r="AX466" s="70"/>
      <c r="AY466" s="70"/>
      <c r="AZ466" s="70"/>
      <c r="BA466" s="70"/>
      <c r="BB466" s="70"/>
    </row>
    <row r="467" ht="14.25" customHeight="1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70"/>
      <c r="AX467" s="70"/>
      <c r="AY467" s="70"/>
      <c r="AZ467" s="70"/>
      <c r="BA467" s="70"/>
      <c r="BB467" s="70"/>
    </row>
    <row r="468" ht="14.25" customHeight="1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70"/>
      <c r="AX468" s="70"/>
      <c r="AY468" s="70"/>
      <c r="AZ468" s="70"/>
      <c r="BA468" s="70"/>
      <c r="BB468" s="70"/>
    </row>
    <row r="469" ht="14.25" customHeight="1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 s="70"/>
      <c r="AX469" s="70"/>
      <c r="AY469" s="70"/>
      <c r="AZ469" s="70"/>
      <c r="BA469" s="70"/>
      <c r="BB469" s="70"/>
    </row>
    <row r="470" ht="14.25" customHeight="1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 s="70"/>
      <c r="AX470" s="70"/>
      <c r="AY470" s="70"/>
      <c r="AZ470" s="70"/>
      <c r="BA470" s="70"/>
      <c r="BB470" s="70"/>
    </row>
    <row r="471" ht="14.25" customHeight="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 s="70"/>
      <c r="AX471" s="70"/>
      <c r="AY471" s="70"/>
      <c r="AZ471" s="70"/>
      <c r="BA471" s="70"/>
      <c r="BB471" s="70"/>
    </row>
    <row r="472" ht="14.25" customHeight="1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 s="70"/>
      <c r="AX472" s="70"/>
      <c r="AY472" s="70"/>
      <c r="AZ472" s="70"/>
      <c r="BA472" s="70"/>
      <c r="BB472" s="70"/>
    </row>
    <row r="473" ht="14.25" customHeight="1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 s="70"/>
      <c r="AX473" s="70"/>
      <c r="AY473" s="70"/>
      <c r="AZ473" s="70"/>
      <c r="BA473" s="70"/>
      <c r="BB473" s="70"/>
    </row>
    <row r="474" ht="14.25" customHeight="1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0"/>
      <c r="AX474" s="70"/>
      <c r="AY474" s="70"/>
      <c r="AZ474" s="70"/>
      <c r="BA474" s="70"/>
      <c r="BB474" s="70"/>
    </row>
    <row r="475" ht="14.25" customHeight="1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0"/>
      <c r="AX475" s="70"/>
      <c r="AY475" s="70"/>
      <c r="AZ475" s="70"/>
      <c r="BA475" s="70"/>
      <c r="BB475" s="70"/>
    </row>
    <row r="476" ht="14.25" customHeight="1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70"/>
      <c r="AX476" s="70"/>
      <c r="AY476" s="70"/>
      <c r="AZ476" s="70"/>
      <c r="BA476" s="70"/>
      <c r="BB476" s="70"/>
    </row>
    <row r="477" ht="14.25" customHeight="1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 s="70"/>
      <c r="AX477" s="70"/>
      <c r="AY477" s="70"/>
      <c r="AZ477" s="70"/>
      <c r="BA477" s="70"/>
      <c r="BB477" s="70"/>
    </row>
    <row r="478" ht="14.25" customHeight="1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 s="70"/>
      <c r="AX478" s="70"/>
      <c r="AY478" s="70"/>
      <c r="AZ478" s="70"/>
      <c r="BA478" s="70"/>
      <c r="BB478" s="70"/>
    </row>
    <row r="479" ht="14.25" customHeight="1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 s="70"/>
      <c r="AX479" s="70"/>
      <c r="AY479" s="70"/>
      <c r="AZ479" s="70"/>
      <c r="BA479" s="70"/>
      <c r="BB479" s="70"/>
    </row>
    <row r="480" ht="14.25" customHeight="1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 s="70"/>
      <c r="AX480" s="70"/>
      <c r="AY480" s="70"/>
      <c r="AZ480" s="70"/>
      <c r="BA480" s="70"/>
      <c r="BB480" s="70"/>
    </row>
    <row r="481" ht="14.25" customHeight="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70"/>
      <c r="AX481" s="70"/>
      <c r="AY481" s="70"/>
      <c r="AZ481" s="70"/>
      <c r="BA481" s="70"/>
      <c r="BB481" s="70"/>
    </row>
    <row r="482" ht="14.25" customHeight="1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0"/>
      <c r="AX482" s="70"/>
      <c r="AY482" s="70"/>
      <c r="AZ482" s="70"/>
      <c r="BA482" s="70"/>
      <c r="BB482" s="70"/>
    </row>
    <row r="483" ht="14.25" customHeight="1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0"/>
      <c r="AX483" s="70"/>
      <c r="AY483" s="70"/>
      <c r="AZ483" s="70"/>
      <c r="BA483" s="70"/>
      <c r="BB483" s="70"/>
    </row>
    <row r="484" ht="14.25" customHeight="1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70"/>
      <c r="AX484" s="70"/>
      <c r="AY484" s="70"/>
      <c r="AZ484" s="70"/>
      <c r="BA484" s="70"/>
      <c r="BB484" s="70"/>
    </row>
    <row r="485" ht="14.25" customHeight="1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 s="70"/>
      <c r="AX485" s="70"/>
      <c r="AY485" s="70"/>
      <c r="AZ485" s="70"/>
      <c r="BA485" s="70"/>
      <c r="BB485" s="70"/>
    </row>
    <row r="486" ht="14.25" customHeight="1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0"/>
      <c r="AX486" s="70"/>
      <c r="AY486" s="70"/>
      <c r="AZ486" s="70"/>
      <c r="BA486" s="70"/>
      <c r="BB486" s="70"/>
    </row>
    <row r="487" ht="14.25" customHeight="1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70"/>
      <c r="AX487" s="70"/>
      <c r="AY487" s="70"/>
      <c r="AZ487" s="70"/>
      <c r="BA487" s="70"/>
      <c r="BB487" s="70"/>
    </row>
    <row r="488" ht="14.25" customHeight="1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70"/>
      <c r="AX488" s="70"/>
      <c r="AY488" s="70"/>
      <c r="AZ488" s="70"/>
      <c r="BA488" s="70"/>
      <c r="BB488" s="70"/>
    </row>
    <row r="489" ht="14.25" customHeight="1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70"/>
      <c r="AX489" s="70"/>
      <c r="AY489" s="70"/>
      <c r="AZ489" s="70"/>
      <c r="BA489" s="70"/>
      <c r="BB489" s="70"/>
    </row>
    <row r="490" ht="14.25" customHeight="1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 s="70"/>
      <c r="AX490" s="70"/>
      <c r="AY490" s="70"/>
      <c r="AZ490" s="70"/>
      <c r="BA490" s="70"/>
      <c r="BB490" s="70"/>
    </row>
    <row r="491" ht="14.25" customHeight="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70"/>
      <c r="AX491" s="70"/>
      <c r="AY491" s="70"/>
      <c r="AZ491" s="70"/>
      <c r="BA491" s="70"/>
      <c r="BB491" s="70"/>
    </row>
    <row r="492" ht="14.25" customHeight="1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 s="70"/>
      <c r="AX492" s="70"/>
      <c r="AY492" s="70"/>
      <c r="AZ492" s="70"/>
      <c r="BA492" s="70"/>
      <c r="BB492" s="70"/>
    </row>
    <row r="493" ht="14.25" customHeight="1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70"/>
      <c r="AX493" s="70"/>
      <c r="AY493" s="70"/>
      <c r="AZ493" s="70"/>
      <c r="BA493" s="70"/>
      <c r="BB493" s="70"/>
    </row>
    <row r="494" ht="14.25" customHeight="1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 s="70"/>
      <c r="AX494" s="70"/>
      <c r="AY494" s="70"/>
      <c r="AZ494" s="70"/>
      <c r="BA494" s="70"/>
      <c r="BB494" s="70"/>
    </row>
    <row r="495" ht="14.25" customHeight="1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 s="70"/>
      <c r="AX495" s="70"/>
      <c r="AY495" s="70"/>
      <c r="AZ495" s="70"/>
      <c r="BA495" s="70"/>
      <c r="BB495" s="70"/>
    </row>
    <row r="496" ht="14.25" customHeight="1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0"/>
      <c r="AX496" s="70"/>
      <c r="AY496" s="70"/>
      <c r="AZ496" s="70"/>
      <c r="BA496" s="70"/>
      <c r="BB496" s="70"/>
    </row>
    <row r="497" ht="14.25" customHeight="1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70"/>
      <c r="AX497" s="70"/>
      <c r="AY497" s="70"/>
      <c r="AZ497" s="70"/>
      <c r="BA497" s="70"/>
      <c r="BB497" s="70"/>
    </row>
    <row r="498" ht="14.25" customHeight="1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0"/>
      <c r="AX498" s="70"/>
      <c r="AY498" s="70"/>
      <c r="AZ498" s="70"/>
      <c r="BA498" s="70"/>
      <c r="BB498" s="70"/>
    </row>
    <row r="499" ht="14.25" customHeight="1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  <c r="AW499" s="70"/>
      <c r="AX499" s="70"/>
      <c r="AY499" s="70"/>
      <c r="AZ499" s="70"/>
      <c r="BA499" s="70"/>
      <c r="BB499" s="70"/>
    </row>
    <row r="500" ht="14.25" customHeight="1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0"/>
      <c r="AX500" s="70"/>
      <c r="AY500" s="70"/>
      <c r="AZ500" s="70"/>
      <c r="BA500" s="70"/>
      <c r="BB500" s="70"/>
    </row>
    <row r="501" ht="14.25" customHeight="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0"/>
      <c r="AX501" s="70"/>
      <c r="AY501" s="70"/>
      <c r="AZ501" s="70"/>
      <c r="BA501" s="70"/>
      <c r="BB501" s="70"/>
    </row>
    <row r="502" ht="14.25" customHeight="1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0"/>
      <c r="AX502" s="70"/>
      <c r="AY502" s="70"/>
      <c r="AZ502" s="70"/>
      <c r="BA502" s="70"/>
      <c r="BB502" s="70"/>
    </row>
    <row r="503" ht="14.25" customHeight="1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0"/>
      <c r="AX503" s="70"/>
      <c r="AY503" s="70"/>
      <c r="AZ503" s="70"/>
      <c r="BA503" s="70"/>
      <c r="BB503" s="70"/>
    </row>
    <row r="504" ht="14.25" customHeight="1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0"/>
      <c r="AX504" s="70"/>
      <c r="AY504" s="70"/>
      <c r="AZ504" s="70"/>
      <c r="BA504" s="70"/>
      <c r="BB504" s="70"/>
    </row>
    <row r="505" ht="14.25" customHeight="1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0"/>
      <c r="AX505" s="70"/>
      <c r="AY505" s="70"/>
      <c r="AZ505" s="70"/>
      <c r="BA505" s="70"/>
      <c r="BB505" s="70"/>
    </row>
    <row r="506" ht="14.25" customHeight="1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0"/>
      <c r="AX506" s="70"/>
      <c r="AY506" s="70"/>
      <c r="AZ506" s="70"/>
      <c r="BA506" s="70"/>
      <c r="BB506" s="70"/>
    </row>
    <row r="507" ht="14.25" customHeight="1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0"/>
      <c r="AX507" s="70"/>
      <c r="AY507" s="70"/>
      <c r="AZ507" s="70"/>
      <c r="BA507" s="70"/>
      <c r="BB507" s="70"/>
    </row>
    <row r="508" ht="14.25" customHeight="1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0"/>
      <c r="AX508" s="70"/>
      <c r="AY508" s="70"/>
      <c r="AZ508" s="70"/>
      <c r="BA508" s="70"/>
      <c r="BB508" s="70"/>
    </row>
    <row r="509" ht="14.25" customHeight="1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0"/>
      <c r="AX509" s="70"/>
      <c r="AY509" s="70"/>
      <c r="AZ509" s="70"/>
      <c r="BA509" s="70"/>
      <c r="BB509" s="70"/>
    </row>
    <row r="510" ht="14.25" customHeight="1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0"/>
      <c r="AX510" s="70"/>
      <c r="AY510" s="70"/>
      <c r="AZ510" s="70"/>
      <c r="BA510" s="70"/>
      <c r="BB510" s="70"/>
    </row>
    <row r="511" ht="14.25" customHeight="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0"/>
      <c r="AX511" s="70"/>
      <c r="AY511" s="70"/>
      <c r="AZ511" s="70"/>
      <c r="BA511" s="70"/>
      <c r="BB511" s="70"/>
    </row>
    <row r="512" ht="14.25" customHeight="1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0"/>
      <c r="AX512" s="70"/>
      <c r="AY512" s="70"/>
      <c r="AZ512" s="70"/>
      <c r="BA512" s="70"/>
      <c r="BB512" s="70"/>
    </row>
    <row r="513" ht="14.25" customHeight="1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0"/>
      <c r="AX513" s="70"/>
      <c r="AY513" s="70"/>
      <c r="AZ513" s="70"/>
      <c r="BA513" s="70"/>
      <c r="BB513" s="70"/>
    </row>
    <row r="514" ht="14.25" customHeight="1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0"/>
      <c r="AX514" s="70"/>
      <c r="AY514" s="70"/>
      <c r="AZ514" s="70"/>
      <c r="BA514" s="70"/>
      <c r="BB514" s="70"/>
    </row>
    <row r="515" ht="14.25" customHeight="1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70"/>
      <c r="AX515" s="70"/>
      <c r="AY515" s="70"/>
      <c r="AZ515" s="70"/>
      <c r="BA515" s="70"/>
      <c r="BB515" s="70"/>
    </row>
    <row r="516" ht="14.25" customHeight="1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70"/>
      <c r="AX516" s="70"/>
      <c r="AY516" s="70"/>
      <c r="AZ516" s="70"/>
      <c r="BA516" s="70"/>
      <c r="BB516" s="70"/>
    </row>
    <row r="517" ht="14.25" customHeight="1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  <c r="AW517" s="70"/>
      <c r="AX517" s="70"/>
      <c r="AY517" s="70"/>
      <c r="AZ517" s="70"/>
      <c r="BA517" s="70"/>
      <c r="BB517" s="70"/>
    </row>
    <row r="518" ht="14.25" customHeight="1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70"/>
      <c r="AX518" s="70"/>
      <c r="AY518" s="70"/>
      <c r="AZ518" s="70"/>
      <c r="BA518" s="70"/>
      <c r="BB518" s="70"/>
    </row>
    <row r="519" ht="14.25" customHeight="1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 s="70"/>
      <c r="AX519" s="70"/>
      <c r="AY519" s="70"/>
      <c r="AZ519" s="70"/>
      <c r="BA519" s="70"/>
      <c r="BB519" s="70"/>
    </row>
    <row r="520" ht="14.25" customHeight="1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  <c r="AW520" s="70"/>
      <c r="AX520" s="70"/>
      <c r="AY520" s="70"/>
      <c r="AZ520" s="70"/>
      <c r="BA520" s="70"/>
      <c r="BB520" s="70"/>
    </row>
    <row r="521" ht="14.25" customHeight="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 s="70"/>
      <c r="AX521" s="70"/>
      <c r="AY521" s="70"/>
      <c r="AZ521" s="70"/>
      <c r="BA521" s="70"/>
      <c r="BB521" s="70"/>
    </row>
    <row r="522" ht="14.25" customHeight="1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  <c r="AW522" s="70"/>
      <c r="AX522" s="70"/>
      <c r="AY522" s="70"/>
      <c r="AZ522" s="70"/>
      <c r="BA522" s="70"/>
      <c r="BB522" s="70"/>
    </row>
    <row r="523" ht="14.25" customHeight="1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  <c r="AW523" s="70"/>
      <c r="AX523" s="70"/>
      <c r="AY523" s="70"/>
      <c r="AZ523" s="70"/>
      <c r="BA523" s="70"/>
      <c r="BB523" s="70"/>
    </row>
    <row r="524" ht="14.25" customHeight="1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  <c r="AW524" s="70"/>
      <c r="AX524" s="70"/>
      <c r="AY524" s="70"/>
      <c r="AZ524" s="70"/>
      <c r="BA524" s="70"/>
      <c r="BB524" s="70"/>
    </row>
    <row r="525" ht="14.25" customHeight="1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  <c r="AW525" s="70"/>
      <c r="AX525" s="70"/>
      <c r="AY525" s="70"/>
      <c r="AZ525" s="70"/>
      <c r="BA525" s="70"/>
      <c r="BB525" s="70"/>
    </row>
    <row r="526" ht="14.25" customHeight="1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  <c r="AW526" s="70"/>
      <c r="AX526" s="70"/>
      <c r="AY526" s="70"/>
      <c r="AZ526" s="70"/>
      <c r="BA526" s="70"/>
      <c r="BB526" s="70"/>
    </row>
    <row r="527" ht="14.25" customHeight="1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 s="70"/>
      <c r="AX527" s="70"/>
      <c r="AY527" s="70"/>
      <c r="AZ527" s="70"/>
      <c r="BA527" s="70"/>
      <c r="BB527" s="70"/>
    </row>
    <row r="528" ht="14.25" customHeight="1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 s="70"/>
      <c r="AX528" s="70"/>
      <c r="AY528" s="70"/>
      <c r="AZ528" s="70"/>
      <c r="BA528" s="70"/>
      <c r="BB528" s="70"/>
    </row>
    <row r="529" ht="14.25" customHeight="1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  <c r="AW529" s="70"/>
      <c r="AX529" s="70"/>
      <c r="AY529" s="70"/>
      <c r="AZ529" s="70"/>
      <c r="BA529" s="70"/>
      <c r="BB529" s="70"/>
    </row>
    <row r="530" ht="14.25" customHeight="1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  <c r="AW530" s="70"/>
      <c r="AX530" s="70"/>
      <c r="AY530" s="70"/>
      <c r="AZ530" s="70"/>
      <c r="BA530" s="70"/>
      <c r="BB530" s="70"/>
    </row>
    <row r="531" ht="14.25" customHeight="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  <c r="AW531" s="70"/>
      <c r="AX531" s="70"/>
      <c r="AY531" s="70"/>
      <c r="AZ531" s="70"/>
      <c r="BA531" s="70"/>
      <c r="BB531" s="70"/>
    </row>
    <row r="532" ht="14.25" customHeight="1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  <c r="AW532" s="70"/>
      <c r="AX532" s="70"/>
      <c r="AY532" s="70"/>
      <c r="AZ532" s="70"/>
      <c r="BA532" s="70"/>
      <c r="BB532" s="70"/>
    </row>
    <row r="533" ht="14.25" customHeight="1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  <c r="AW533" s="70"/>
      <c r="AX533" s="70"/>
      <c r="AY533" s="70"/>
      <c r="AZ533" s="70"/>
      <c r="BA533" s="70"/>
      <c r="BB533" s="70"/>
    </row>
    <row r="534" ht="14.25" customHeight="1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 s="70"/>
      <c r="AX534" s="70"/>
      <c r="AY534" s="70"/>
      <c r="AZ534" s="70"/>
      <c r="BA534" s="70"/>
      <c r="BB534" s="70"/>
    </row>
    <row r="535" ht="14.25" customHeight="1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70"/>
      <c r="AX535" s="70"/>
      <c r="AY535" s="70"/>
      <c r="AZ535" s="70"/>
      <c r="BA535" s="70"/>
      <c r="BB535" s="70"/>
    </row>
    <row r="536" ht="14.25" customHeight="1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70"/>
      <c r="AX536" s="70"/>
      <c r="AY536" s="70"/>
      <c r="AZ536" s="70"/>
      <c r="BA536" s="70"/>
      <c r="BB536" s="70"/>
    </row>
    <row r="537" ht="14.25" customHeight="1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70"/>
      <c r="AX537" s="70"/>
      <c r="AY537" s="70"/>
      <c r="AZ537" s="70"/>
      <c r="BA537" s="70"/>
      <c r="BB537" s="70"/>
    </row>
    <row r="538" ht="14.25" customHeight="1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70"/>
      <c r="AX538" s="70"/>
      <c r="AY538" s="70"/>
      <c r="AZ538" s="70"/>
      <c r="BA538" s="70"/>
      <c r="BB538" s="70"/>
    </row>
    <row r="539" ht="14.25" customHeight="1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 s="70"/>
      <c r="AX539" s="70"/>
      <c r="AY539" s="70"/>
      <c r="AZ539" s="70"/>
      <c r="BA539" s="70"/>
      <c r="BB539" s="70"/>
    </row>
    <row r="540" ht="14.25" customHeight="1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 s="70"/>
      <c r="AX540" s="70"/>
      <c r="AY540" s="70"/>
      <c r="AZ540" s="70"/>
      <c r="BA540" s="70"/>
      <c r="BB540" s="70"/>
    </row>
    <row r="541" ht="14.25" customHeight="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 s="70"/>
      <c r="AX541" s="70"/>
      <c r="AY541" s="70"/>
      <c r="AZ541" s="70"/>
      <c r="BA541" s="70"/>
      <c r="BB541" s="70"/>
    </row>
    <row r="542" ht="14.25" customHeight="1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0"/>
      <c r="AX542" s="70"/>
      <c r="AY542" s="70"/>
      <c r="AZ542" s="70"/>
      <c r="BA542" s="70"/>
      <c r="BB542" s="70"/>
    </row>
    <row r="543" ht="14.25" customHeight="1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70"/>
      <c r="AX543" s="70"/>
      <c r="AY543" s="70"/>
      <c r="AZ543" s="70"/>
      <c r="BA543" s="70"/>
      <c r="BB543" s="70"/>
    </row>
    <row r="544" ht="14.25" customHeight="1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0"/>
      <c r="AX544" s="70"/>
      <c r="AY544" s="70"/>
      <c r="AZ544" s="70"/>
      <c r="BA544" s="70"/>
      <c r="BB544" s="70"/>
    </row>
    <row r="545" ht="14.25" customHeight="1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70"/>
      <c r="AX545" s="70"/>
      <c r="AY545" s="70"/>
      <c r="AZ545" s="70"/>
      <c r="BA545" s="70"/>
      <c r="BB545" s="70"/>
    </row>
    <row r="546" ht="14.25" customHeight="1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70"/>
      <c r="AX546" s="70"/>
      <c r="AY546" s="70"/>
      <c r="AZ546" s="70"/>
      <c r="BA546" s="70"/>
      <c r="BB546" s="70"/>
    </row>
    <row r="547" ht="14.25" customHeight="1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 s="70"/>
      <c r="AX547" s="70"/>
      <c r="AY547" s="70"/>
      <c r="AZ547" s="70"/>
      <c r="BA547" s="70"/>
      <c r="BB547" s="70"/>
    </row>
    <row r="548" ht="14.25" customHeight="1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 s="70"/>
      <c r="AX548" s="70"/>
      <c r="AY548" s="70"/>
      <c r="AZ548" s="70"/>
      <c r="BA548" s="70"/>
      <c r="BB548" s="70"/>
    </row>
    <row r="549" ht="14.25" customHeight="1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70"/>
      <c r="AX549" s="70"/>
      <c r="AY549" s="70"/>
      <c r="AZ549" s="70"/>
      <c r="BA549" s="70"/>
      <c r="BB549" s="70"/>
    </row>
    <row r="550" ht="14.25" customHeight="1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 s="70"/>
      <c r="AX550" s="70"/>
      <c r="AY550" s="70"/>
      <c r="AZ550" s="70"/>
      <c r="BA550" s="70"/>
      <c r="BB550" s="70"/>
    </row>
    <row r="551" ht="14.25" customHeight="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0"/>
      <c r="AX551" s="70"/>
      <c r="AY551" s="70"/>
      <c r="AZ551" s="70"/>
      <c r="BA551" s="70"/>
      <c r="BB551" s="70"/>
    </row>
    <row r="552" ht="14.25" customHeight="1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 s="70"/>
      <c r="AX552" s="70"/>
      <c r="AY552" s="70"/>
      <c r="AZ552" s="70"/>
      <c r="BA552" s="70"/>
      <c r="BB552" s="70"/>
    </row>
    <row r="553" ht="14.25" customHeight="1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70"/>
      <c r="AX553" s="70"/>
      <c r="AY553" s="70"/>
      <c r="AZ553" s="70"/>
      <c r="BA553" s="70"/>
      <c r="BB553" s="70"/>
    </row>
    <row r="554" ht="14.25" customHeight="1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 s="70"/>
      <c r="AX554" s="70"/>
      <c r="AY554" s="70"/>
      <c r="AZ554" s="70"/>
      <c r="BA554" s="70"/>
      <c r="BB554" s="70"/>
    </row>
    <row r="555" ht="14.25" customHeight="1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 s="70"/>
      <c r="AX555" s="70"/>
      <c r="AY555" s="70"/>
      <c r="AZ555" s="70"/>
      <c r="BA555" s="70"/>
      <c r="BB555" s="70"/>
    </row>
    <row r="556" ht="14.25" customHeight="1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 s="70"/>
      <c r="AX556" s="70"/>
      <c r="AY556" s="70"/>
      <c r="AZ556" s="70"/>
      <c r="BA556" s="70"/>
      <c r="BB556" s="70"/>
    </row>
    <row r="557" ht="14.25" customHeight="1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 s="70"/>
      <c r="AX557" s="70"/>
      <c r="AY557" s="70"/>
      <c r="AZ557" s="70"/>
      <c r="BA557" s="70"/>
      <c r="BB557" s="70"/>
    </row>
    <row r="558" ht="14.25" customHeight="1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 s="70"/>
      <c r="AX558" s="70"/>
      <c r="AY558" s="70"/>
      <c r="AZ558" s="70"/>
      <c r="BA558" s="70"/>
      <c r="BB558" s="70"/>
    </row>
    <row r="559" ht="14.25" customHeight="1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 s="70"/>
      <c r="AX559" s="70"/>
      <c r="AY559" s="70"/>
      <c r="AZ559" s="70"/>
      <c r="BA559" s="70"/>
      <c r="BB559" s="70"/>
    </row>
    <row r="560" ht="14.25" customHeight="1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 s="70"/>
      <c r="AX560" s="70"/>
      <c r="AY560" s="70"/>
      <c r="AZ560" s="70"/>
      <c r="BA560" s="70"/>
      <c r="BB560" s="70"/>
    </row>
    <row r="561" ht="14.25" customHeight="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 s="70"/>
      <c r="AX561" s="70"/>
      <c r="AY561" s="70"/>
      <c r="AZ561" s="70"/>
      <c r="BA561" s="70"/>
      <c r="BB561" s="70"/>
    </row>
    <row r="562" ht="14.25" customHeight="1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 s="70"/>
      <c r="AX562" s="70"/>
      <c r="AY562" s="70"/>
      <c r="AZ562" s="70"/>
      <c r="BA562" s="70"/>
      <c r="BB562" s="70"/>
    </row>
    <row r="563" ht="14.25" customHeight="1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 s="70"/>
      <c r="AX563" s="70"/>
      <c r="AY563" s="70"/>
      <c r="AZ563" s="70"/>
      <c r="BA563" s="70"/>
      <c r="BB563" s="70"/>
    </row>
    <row r="564" ht="14.25" customHeight="1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 s="70"/>
      <c r="AX564" s="70"/>
      <c r="AY564" s="70"/>
      <c r="AZ564" s="70"/>
      <c r="BA564" s="70"/>
      <c r="BB564" s="70"/>
    </row>
    <row r="565" ht="14.25" customHeight="1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70"/>
      <c r="AX565" s="70"/>
      <c r="AY565" s="70"/>
      <c r="AZ565" s="70"/>
      <c r="BA565" s="70"/>
      <c r="BB565" s="70"/>
    </row>
    <row r="566" ht="14.25" customHeight="1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70"/>
      <c r="AX566" s="70"/>
      <c r="AY566" s="70"/>
      <c r="AZ566" s="70"/>
      <c r="BA566" s="70"/>
      <c r="BB566" s="70"/>
    </row>
    <row r="567" ht="14.25" customHeight="1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70"/>
      <c r="AX567" s="70"/>
      <c r="AY567" s="70"/>
      <c r="AZ567" s="70"/>
      <c r="BA567" s="70"/>
      <c r="BB567" s="70"/>
    </row>
    <row r="568" ht="14.25" customHeight="1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70"/>
      <c r="AX568" s="70"/>
      <c r="AY568" s="70"/>
      <c r="AZ568" s="70"/>
      <c r="BA568" s="70"/>
      <c r="BB568" s="70"/>
    </row>
    <row r="569" ht="14.25" customHeight="1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70"/>
      <c r="AX569" s="70"/>
      <c r="AY569" s="70"/>
      <c r="AZ569" s="70"/>
      <c r="BA569" s="70"/>
      <c r="BB569" s="70"/>
    </row>
    <row r="570" ht="14.25" customHeight="1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0"/>
      <c r="AX570" s="70"/>
      <c r="AY570" s="70"/>
      <c r="AZ570" s="70"/>
      <c r="BA570" s="70"/>
      <c r="BB570" s="70"/>
    </row>
    <row r="571" ht="14.25" customHeight="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0"/>
      <c r="AX571" s="70"/>
      <c r="AY571" s="70"/>
      <c r="AZ571" s="70"/>
      <c r="BA571" s="70"/>
      <c r="BB571" s="70"/>
    </row>
    <row r="572" ht="14.25" customHeight="1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0"/>
      <c r="AX572" s="70"/>
      <c r="AY572" s="70"/>
      <c r="AZ572" s="70"/>
      <c r="BA572" s="70"/>
      <c r="BB572" s="70"/>
    </row>
    <row r="573" ht="14.25" customHeight="1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0"/>
      <c r="AX573" s="70"/>
      <c r="AY573" s="70"/>
      <c r="AZ573" s="70"/>
      <c r="BA573" s="70"/>
      <c r="BB573" s="70"/>
    </row>
    <row r="574" ht="14.25" customHeight="1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0"/>
      <c r="AX574" s="70"/>
      <c r="AY574" s="70"/>
      <c r="AZ574" s="70"/>
      <c r="BA574" s="70"/>
      <c r="BB574" s="70"/>
    </row>
    <row r="575" ht="14.25" customHeight="1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0"/>
      <c r="AX575" s="70"/>
      <c r="AY575" s="70"/>
      <c r="AZ575" s="70"/>
      <c r="BA575" s="70"/>
      <c r="BB575" s="70"/>
    </row>
    <row r="576" ht="14.25" customHeight="1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0"/>
      <c r="AX576" s="70"/>
      <c r="AY576" s="70"/>
      <c r="AZ576" s="70"/>
      <c r="BA576" s="70"/>
      <c r="BB576" s="70"/>
    </row>
    <row r="577" ht="14.25" customHeight="1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70"/>
      <c r="AX577" s="70"/>
      <c r="AY577" s="70"/>
      <c r="AZ577" s="70"/>
      <c r="BA577" s="70"/>
      <c r="BB577" s="70"/>
    </row>
    <row r="578" ht="14.25" customHeight="1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70"/>
      <c r="AX578" s="70"/>
      <c r="AY578" s="70"/>
      <c r="AZ578" s="70"/>
      <c r="BA578" s="70"/>
      <c r="BB578" s="70"/>
    </row>
    <row r="579" ht="14.25" customHeight="1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0"/>
      <c r="AX579" s="70"/>
      <c r="AY579" s="70"/>
      <c r="AZ579" s="70"/>
      <c r="BA579" s="70"/>
      <c r="BB579" s="70"/>
    </row>
    <row r="580" ht="14.25" customHeight="1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0"/>
      <c r="AX580" s="70"/>
      <c r="AY580" s="70"/>
      <c r="AZ580" s="70"/>
      <c r="BA580" s="70"/>
      <c r="BB580" s="70"/>
    </row>
    <row r="581" ht="14.25" customHeight="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0"/>
      <c r="AX581" s="70"/>
      <c r="AY581" s="70"/>
      <c r="AZ581" s="70"/>
      <c r="BA581" s="70"/>
      <c r="BB581" s="70"/>
    </row>
    <row r="582" ht="14.25" customHeight="1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0"/>
      <c r="AX582" s="70"/>
      <c r="AY582" s="70"/>
      <c r="AZ582" s="70"/>
      <c r="BA582" s="70"/>
      <c r="BB582" s="70"/>
    </row>
    <row r="583" ht="14.25" customHeight="1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0"/>
      <c r="AX583" s="70"/>
      <c r="AY583" s="70"/>
      <c r="AZ583" s="70"/>
      <c r="BA583" s="70"/>
      <c r="BB583" s="70"/>
    </row>
    <row r="584" ht="14.25" customHeight="1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0"/>
      <c r="AX584" s="70"/>
      <c r="AY584" s="70"/>
      <c r="AZ584" s="70"/>
      <c r="BA584" s="70"/>
      <c r="BB584" s="70"/>
    </row>
    <row r="585" ht="14.25" customHeight="1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0"/>
      <c r="AX585" s="70"/>
      <c r="AY585" s="70"/>
      <c r="AZ585" s="70"/>
      <c r="BA585" s="70"/>
      <c r="BB585" s="70"/>
    </row>
    <row r="586" ht="14.25" customHeight="1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0"/>
      <c r="AX586" s="70"/>
      <c r="AY586" s="70"/>
      <c r="AZ586" s="70"/>
      <c r="BA586" s="70"/>
      <c r="BB586" s="70"/>
    </row>
    <row r="587" ht="14.25" customHeight="1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0"/>
      <c r="AX587" s="70"/>
      <c r="AY587" s="70"/>
      <c r="AZ587" s="70"/>
      <c r="BA587" s="70"/>
      <c r="BB587" s="70"/>
    </row>
    <row r="588" ht="14.25" customHeight="1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70"/>
      <c r="AX588" s="70"/>
      <c r="AY588" s="70"/>
      <c r="AZ588" s="70"/>
      <c r="BA588" s="70"/>
      <c r="BB588" s="70"/>
    </row>
    <row r="589" ht="14.25" customHeight="1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70"/>
      <c r="AX589" s="70"/>
      <c r="AY589" s="70"/>
      <c r="AZ589" s="70"/>
      <c r="BA589" s="70"/>
      <c r="BB589" s="70"/>
    </row>
    <row r="590" ht="14.25" customHeight="1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70"/>
      <c r="AX590" s="70"/>
      <c r="AY590" s="70"/>
      <c r="AZ590" s="70"/>
      <c r="BA590" s="70"/>
      <c r="BB590" s="70"/>
    </row>
    <row r="591" ht="14.25" customHeight="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70"/>
      <c r="AX591" s="70"/>
      <c r="AY591" s="70"/>
      <c r="AZ591" s="70"/>
      <c r="BA591" s="70"/>
      <c r="BB591" s="70"/>
    </row>
    <row r="592" ht="14.25" customHeight="1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70"/>
      <c r="AX592" s="70"/>
      <c r="AY592" s="70"/>
      <c r="AZ592" s="70"/>
      <c r="BA592" s="70"/>
      <c r="BB592" s="70"/>
    </row>
    <row r="593" ht="14.25" customHeight="1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70"/>
      <c r="AX593" s="70"/>
      <c r="AY593" s="70"/>
      <c r="AZ593" s="70"/>
      <c r="BA593" s="70"/>
      <c r="BB593" s="70"/>
    </row>
    <row r="594" ht="14.25" customHeight="1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70"/>
      <c r="AX594" s="70"/>
      <c r="AY594" s="70"/>
      <c r="AZ594" s="70"/>
      <c r="BA594" s="70"/>
      <c r="BB594" s="70"/>
    </row>
    <row r="595" ht="14.25" customHeight="1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70"/>
      <c r="AX595" s="70"/>
      <c r="AY595" s="70"/>
      <c r="AZ595" s="70"/>
      <c r="BA595" s="70"/>
      <c r="BB595" s="70"/>
    </row>
    <row r="596" ht="14.25" customHeight="1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70"/>
      <c r="AX596" s="70"/>
      <c r="AY596" s="70"/>
      <c r="AZ596" s="70"/>
      <c r="BA596" s="70"/>
      <c r="BB596" s="70"/>
    </row>
    <row r="597" ht="14.25" customHeight="1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 s="70"/>
      <c r="AX597" s="70"/>
      <c r="AY597" s="70"/>
      <c r="AZ597" s="70"/>
      <c r="BA597" s="70"/>
      <c r="BB597" s="70"/>
    </row>
    <row r="598" ht="14.25" customHeight="1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70"/>
      <c r="AX598" s="70"/>
      <c r="AY598" s="70"/>
      <c r="AZ598" s="70"/>
      <c r="BA598" s="70"/>
      <c r="BB598" s="70"/>
    </row>
    <row r="599" ht="14.25" customHeight="1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 s="70"/>
      <c r="AX599" s="70"/>
      <c r="AY599" s="70"/>
      <c r="AZ599" s="70"/>
      <c r="BA599" s="70"/>
      <c r="BB599" s="70"/>
    </row>
    <row r="600" ht="14.25" customHeight="1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 s="70"/>
      <c r="AX600" s="70"/>
      <c r="AY600" s="70"/>
      <c r="AZ600" s="70"/>
      <c r="BA600" s="70"/>
      <c r="BB600" s="70"/>
    </row>
    <row r="601" ht="14.25" customHeight="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 s="70"/>
      <c r="AX601" s="70"/>
      <c r="AY601" s="70"/>
      <c r="AZ601" s="70"/>
      <c r="BA601" s="70"/>
      <c r="BB601" s="70"/>
    </row>
    <row r="602" ht="14.25" customHeight="1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  <c r="AW602" s="70"/>
      <c r="AX602" s="70"/>
      <c r="AY602" s="70"/>
      <c r="AZ602" s="70"/>
      <c r="BA602" s="70"/>
      <c r="BB602" s="70"/>
    </row>
    <row r="603" ht="14.25" customHeight="1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  <c r="AW603" s="70"/>
      <c r="AX603" s="70"/>
      <c r="AY603" s="70"/>
      <c r="AZ603" s="70"/>
      <c r="BA603" s="70"/>
      <c r="BB603" s="70"/>
    </row>
    <row r="604" ht="14.25" customHeight="1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  <c r="AW604" s="70"/>
      <c r="AX604" s="70"/>
      <c r="AY604" s="70"/>
      <c r="AZ604" s="70"/>
      <c r="BA604" s="70"/>
      <c r="BB604" s="70"/>
    </row>
    <row r="605" ht="14.25" customHeight="1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  <c r="AW605" s="70"/>
      <c r="AX605" s="70"/>
      <c r="AY605" s="70"/>
      <c r="AZ605" s="70"/>
      <c r="BA605" s="70"/>
      <c r="BB605" s="70"/>
    </row>
    <row r="606" ht="14.25" customHeight="1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  <c r="AH606" s="70"/>
      <c r="AI606" s="70"/>
      <c r="AJ606" s="70"/>
      <c r="AK606" s="70"/>
      <c r="AL606" s="70"/>
      <c r="AM606" s="70"/>
      <c r="AN606" s="70"/>
      <c r="AO606" s="70"/>
      <c r="AP606" s="70"/>
      <c r="AQ606" s="70"/>
      <c r="AR606" s="70"/>
      <c r="AS606" s="70"/>
      <c r="AT606" s="70"/>
      <c r="AU606" s="70"/>
      <c r="AV606" s="70"/>
      <c r="AW606" s="70"/>
      <c r="AX606" s="70"/>
      <c r="AY606" s="70"/>
      <c r="AZ606" s="70"/>
      <c r="BA606" s="70"/>
      <c r="BB606" s="70"/>
    </row>
    <row r="607" ht="14.25" customHeight="1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  <c r="AF607" s="70"/>
      <c r="AG607" s="70"/>
      <c r="AH607" s="70"/>
      <c r="AI607" s="70"/>
      <c r="AJ607" s="70"/>
      <c r="AK607" s="70"/>
      <c r="AL607" s="70"/>
      <c r="AM607" s="70"/>
      <c r="AN607" s="70"/>
      <c r="AO607" s="70"/>
      <c r="AP607" s="70"/>
      <c r="AQ607" s="70"/>
      <c r="AR607" s="70"/>
      <c r="AS607" s="70"/>
      <c r="AT607" s="70"/>
      <c r="AU607" s="70"/>
      <c r="AV607" s="70"/>
      <c r="AW607" s="70"/>
      <c r="AX607" s="70"/>
      <c r="AY607" s="70"/>
      <c r="AZ607" s="70"/>
      <c r="BA607" s="70"/>
      <c r="BB607" s="70"/>
    </row>
    <row r="608" ht="14.25" customHeight="1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  <c r="AD608" s="70"/>
      <c r="AE608" s="70"/>
      <c r="AF608" s="70"/>
      <c r="AG608" s="70"/>
      <c r="AH608" s="70"/>
      <c r="AI608" s="70"/>
      <c r="AJ608" s="70"/>
      <c r="AK608" s="70"/>
      <c r="AL608" s="70"/>
      <c r="AM608" s="70"/>
      <c r="AN608" s="70"/>
      <c r="AO608" s="70"/>
      <c r="AP608" s="70"/>
      <c r="AQ608" s="70"/>
      <c r="AR608" s="70"/>
      <c r="AS608" s="70"/>
      <c r="AT608" s="70"/>
      <c r="AU608" s="70"/>
      <c r="AV608" s="70"/>
      <c r="AW608" s="70"/>
      <c r="AX608" s="70"/>
      <c r="AY608" s="70"/>
      <c r="AZ608" s="70"/>
      <c r="BA608" s="70"/>
      <c r="BB608" s="70"/>
    </row>
    <row r="609" ht="14.25" customHeight="1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70"/>
      <c r="AF609" s="70"/>
      <c r="AG609" s="70"/>
      <c r="AH609" s="70"/>
      <c r="AI609" s="70"/>
      <c r="AJ609" s="70"/>
      <c r="AK609" s="70"/>
      <c r="AL609" s="70"/>
      <c r="AM609" s="70"/>
      <c r="AN609" s="70"/>
      <c r="AO609" s="70"/>
      <c r="AP609" s="70"/>
      <c r="AQ609" s="70"/>
      <c r="AR609" s="70"/>
      <c r="AS609" s="70"/>
      <c r="AT609" s="70"/>
      <c r="AU609" s="70"/>
      <c r="AV609" s="70"/>
      <c r="AW609" s="70"/>
      <c r="AX609" s="70"/>
      <c r="AY609" s="70"/>
      <c r="AZ609" s="70"/>
      <c r="BA609" s="70"/>
      <c r="BB609" s="70"/>
    </row>
    <row r="610" ht="14.25" customHeight="1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  <c r="AD610" s="70"/>
      <c r="AE610" s="70"/>
      <c r="AF610" s="70"/>
      <c r="AG610" s="70"/>
      <c r="AH610" s="70"/>
      <c r="AI610" s="70"/>
      <c r="AJ610" s="70"/>
      <c r="AK610" s="70"/>
      <c r="AL610" s="70"/>
      <c r="AM610" s="70"/>
      <c r="AN610" s="70"/>
      <c r="AO610" s="70"/>
      <c r="AP610" s="70"/>
      <c r="AQ610" s="70"/>
      <c r="AR610" s="70"/>
      <c r="AS610" s="70"/>
      <c r="AT610" s="70"/>
      <c r="AU610" s="70"/>
      <c r="AV610" s="70"/>
      <c r="AW610" s="70"/>
      <c r="AX610" s="70"/>
      <c r="AY610" s="70"/>
      <c r="AZ610" s="70"/>
      <c r="BA610" s="70"/>
      <c r="BB610" s="70"/>
    </row>
    <row r="611" ht="14.25" customHeight="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70"/>
      <c r="AF611" s="70"/>
      <c r="AG611" s="70"/>
      <c r="AH611" s="70"/>
      <c r="AI611" s="70"/>
      <c r="AJ611" s="70"/>
      <c r="AK611" s="70"/>
      <c r="AL611" s="70"/>
      <c r="AM611" s="70"/>
      <c r="AN611" s="70"/>
      <c r="AO611" s="70"/>
      <c r="AP611" s="70"/>
      <c r="AQ611" s="70"/>
      <c r="AR611" s="70"/>
      <c r="AS611" s="70"/>
      <c r="AT611" s="70"/>
      <c r="AU611" s="70"/>
      <c r="AV611" s="70"/>
      <c r="AW611" s="70"/>
      <c r="AX611" s="70"/>
      <c r="AY611" s="70"/>
      <c r="AZ611" s="70"/>
      <c r="BA611" s="70"/>
      <c r="BB611" s="70"/>
    </row>
    <row r="612" ht="14.25" customHeight="1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  <c r="AD612" s="70"/>
      <c r="AE612" s="70"/>
      <c r="AF612" s="70"/>
      <c r="AG612" s="70"/>
      <c r="AH612" s="70"/>
      <c r="AI612" s="70"/>
      <c r="AJ612" s="70"/>
      <c r="AK612" s="70"/>
      <c r="AL612" s="70"/>
      <c r="AM612" s="70"/>
      <c r="AN612" s="70"/>
      <c r="AO612" s="70"/>
      <c r="AP612" s="70"/>
      <c r="AQ612" s="70"/>
      <c r="AR612" s="70"/>
      <c r="AS612" s="70"/>
      <c r="AT612" s="70"/>
      <c r="AU612" s="70"/>
      <c r="AV612" s="70"/>
      <c r="AW612" s="70"/>
      <c r="AX612" s="70"/>
      <c r="AY612" s="70"/>
      <c r="AZ612" s="70"/>
      <c r="BA612" s="70"/>
      <c r="BB612" s="70"/>
    </row>
    <row r="613" ht="14.25" customHeight="1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  <c r="AD613" s="70"/>
      <c r="AE613" s="70"/>
      <c r="AF613" s="70"/>
      <c r="AG613" s="70"/>
      <c r="AH613" s="70"/>
      <c r="AI613" s="70"/>
      <c r="AJ613" s="70"/>
      <c r="AK613" s="70"/>
      <c r="AL613" s="70"/>
      <c r="AM613" s="70"/>
      <c r="AN613" s="70"/>
      <c r="AO613" s="70"/>
      <c r="AP613" s="70"/>
      <c r="AQ613" s="70"/>
      <c r="AR613" s="70"/>
      <c r="AS613" s="70"/>
      <c r="AT613" s="70"/>
      <c r="AU613" s="70"/>
      <c r="AV613" s="70"/>
      <c r="AW613" s="70"/>
      <c r="AX613" s="70"/>
      <c r="AY613" s="70"/>
      <c r="AZ613" s="70"/>
      <c r="BA613" s="70"/>
      <c r="BB613" s="70"/>
    </row>
    <row r="614" ht="14.25" customHeight="1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  <c r="AD614" s="70"/>
      <c r="AE614" s="70"/>
      <c r="AF614" s="70"/>
      <c r="AG614" s="70"/>
      <c r="AH614" s="70"/>
      <c r="AI614" s="70"/>
      <c r="AJ614" s="70"/>
      <c r="AK614" s="70"/>
      <c r="AL614" s="70"/>
      <c r="AM614" s="70"/>
      <c r="AN614" s="70"/>
      <c r="AO614" s="70"/>
      <c r="AP614" s="70"/>
      <c r="AQ614" s="70"/>
      <c r="AR614" s="70"/>
      <c r="AS614" s="70"/>
      <c r="AT614" s="70"/>
      <c r="AU614" s="70"/>
      <c r="AV614" s="70"/>
      <c r="AW614" s="70"/>
      <c r="AX614" s="70"/>
      <c r="AY614" s="70"/>
      <c r="AZ614" s="70"/>
      <c r="BA614" s="70"/>
      <c r="BB614" s="70"/>
    </row>
    <row r="615" ht="14.25" customHeight="1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  <c r="AD615" s="70"/>
      <c r="AE615" s="70"/>
      <c r="AF615" s="70"/>
      <c r="AG615" s="70"/>
      <c r="AH615" s="70"/>
      <c r="AI615" s="70"/>
      <c r="AJ615" s="70"/>
      <c r="AK615" s="70"/>
      <c r="AL615" s="70"/>
      <c r="AM615" s="70"/>
      <c r="AN615" s="70"/>
      <c r="AO615" s="70"/>
      <c r="AP615" s="70"/>
      <c r="AQ615" s="70"/>
      <c r="AR615" s="70"/>
      <c r="AS615" s="70"/>
      <c r="AT615" s="70"/>
      <c r="AU615" s="70"/>
      <c r="AV615" s="70"/>
      <c r="AW615" s="70"/>
      <c r="AX615" s="70"/>
      <c r="AY615" s="70"/>
      <c r="AZ615" s="70"/>
      <c r="BA615" s="70"/>
      <c r="BB615" s="70"/>
    </row>
    <row r="616" ht="14.25" customHeight="1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  <c r="AD616" s="70"/>
      <c r="AE616" s="70"/>
      <c r="AF616" s="70"/>
      <c r="AG616" s="70"/>
      <c r="AH616" s="70"/>
      <c r="AI616" s="70"/>
      <c r="AJ616" s="70"/>
      <c r="AK616" s="70"/>
      <c r="AL616" s="70"/>
      <c r="AM616" s="70"/>
      <c r="AN616" s="70"/>
      <c r="AO616" s="70"/>
      <c r="AP616" s="70"/>
      <c r="AQ616" s="70"/>
      <c r="AR616" s="70"/>
      <c r="AS616" s="70"/>
      <c r="AT616" s="70"/>
      <c r="AU616" s="70"/>
      <c r="AV616" s="70"/>
      <c r="AW616" s="70"/>
      <c r="AX616" s="70"/>
      <c r="AY616" s="70"/>
      <c r="AZ616" s="70"/>
      <c r="BA616" s="70"/>
      <c r="BB616" s="70"/>
    </row>
    <row r="617" ht="14.25" customHeight="1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  <c r="AD617" s="70"/>
      <c r="AE617" s="70"/>
      <c r="AF617" s="70"/>
      <c r="AG617" s="70"/>
      <c r="AH617" s="70"/>
      <c r="AI617" s="70"/>
      <c r="AJ617" s="70"/>
      <c r="AK617" s="70"/>
      <c r="AL617" s="70"/>
      <c r="AM617" s="70"/>
      <c r="AN617" s="70"/>
      <c r="AO617" s="70"/>
      <c r="AP617" s="70"/>
      <c r="AQ617" s="70"/>
      <c r="AR617" s="70"/>
      <c r="AS617" s="70"/>
      <c r="AT617" s="70"/>
      <c r="AU617" s="70"/>
      <c r="AV617" s="70"/>
      <c r="AW617" s="70"/>
      <c r="AX617" s="70"/>
      <c r="AY617" s="70"/>
      <c r="AZ617" s="70"/>
      <c r="BA617" s="70"/>
      <c r="BB617" s="70"/>
    </row>
    <row r="618" ht="14.25" customHeight="1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  <c r="AD618" s="70"/>
      <c r="AE618" s="70"/>
      <c r="AF618" s="70"/>
      <c r="AG618" s="70"/>
      <c r="AH618" s="70"/>
      <c r="AI618" s="70"/>
      <c r="AJ618" s="70"/>
      <c r="AK618" s="70"/>
      <c r="AL618" s="70"/>
      <c r="AM618" s="70"/>
      <c r="AN618" s="70"/>
      <c r="AO618" s="70"/>
      <c r="AP618" s="70"/>
      <c r="AQ618" s="70"/>
      <c r="AR618" s="70"/>
      <c r="AS618" s="70"/>
      <c r="AT618" s="70"/>
      <c r="AU618" s="70"/>
      <c r="AV618" s="70"/>
      <c r="AW618" s="70"/>
      <c r="AX618" s="70"/>
      <c r="AY618" s="70"/>
      <c r="AZ618" s="70"/>
      <c r="BA618" s="70"/>
      <c r="BB618" s="70"/>
    </row>
    <row r="619" ht="14.25" customHeight="1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  <c r="AD619" s="70"/>
      <c r="AE619" s="70"/>
      <c r="AF619" s="70"/>
      <c r="AG619" s="70"/>
      <c r="AH619" s="70"/>
      <c r="AI619" s="70"/>
      <c r="AJ619" s="70"/>
      <c r="AK619" s="70"/>
      <c r="AL619" s="70"/>
      <c r="AM619" s="70"/>
      <c r="AN619" s="70"/>
      <c r="AO619" s="70"/>
      <c r="AP619" s="70"/>
      <c r="AQ619" s="70"/>
      <c r="AR619" s="70"/>
      <c r="AS619" s="70"/>
      <c r="AT619" s="70"/>
      <c r="AU619" s="70"/>
      <c r="AV619" s="70"/>
      <c r="AW619" s="70"/>
      <c r="AX619" s="70"/>
      <c r="AY619" s="70"/>
      <c r="AZ619" s="70"/>
      <c r="BA619" s="70"/>
      <c r="BB619" s="70"/>
    </row>
    <row r="620" ht="14.25" customHeight="1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  <c r="AD620" s="70"/>
      <c r="AE620" s="70"/>
      <c r="AF620" s="70"/>
      <c r="AG620" s="70"/>
      <c r="AH620" s="70"/>
      <c r="AI620" s="70"/>
      <c r="AJ620" s="70"/>
      <c r="AK620" s="70"/>
      <c r="AL620" s="70"/>
      <c r="AM620" s="70"/>
      <c r="AN620" s="70"/>
      <c r="AO620" s="70"/>
      <c r="AP620" s="70"/>
      <c r="AQ620" s="70"/>
      <c r="AR620" s="70"/>
      <c r="AS620" s="70"/>
      <c r="AT620" s="70"/>
      <c r="AU620" s="70"/>
      <c r="AV620" s="70"/>
      <c r="AW620" s="70"/>
      <c r="AX620" s="70"/>
      <c r="AY620" s="70"/>
      <c r="AZ620" s="70"/>
      <c r="BA620" s="70"/>
      <c r="BB620" s="70"/>
    </row>
    <row r="621" ht="14.25" customHeight="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  <c r="AD621" s="70"/>
      <c r="AE621" s="70"/>
      <c r="AF621" s="70"/>
      <c r="AG621" s="70"/>
      <c r="AH621" s="70"/>
      <c r="AI621" s="70"/>
      <c r="AJ621" s="70"/>
      <c r="AK621" s="70"/>
      <c r="AL621" s="70"/>
      <c r="AM621" s="70"/>
      <c r="AN621" s="70"/>
      <c r="AO621" s="70"/>
      <c r="AP621" s="70"/>
      <c r="AQ621" s="70"/>
      <c r="AR621" s="70"/>
      <c r="AS621" s="70"/>
      <c r="AT621" s="70"/>
      <c r="AU621" s="70"/>
      <c r="AV621" s="70"/>
      <c r="AW621" s="70"/>
      <c r="AX621" s="70"/>
      <c r="AY621" s="70"/>
      <c r="AZ621" s="70"/>
      <c r="BA621" s="70"/>
      <c r="BB621" s="70"/>
    </row>
    <row r="622" ht="14.25" customHeight="1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  <c r="AD622" s="70"/>
      <c r="AE622" s="70"/>
      <c r="AF622" s="70"/>
      <c r="AG622" s="70"/>
      <c r="AH622" s="70"/>
      <c r="AI622" s="70"/>
      <c r="AJ622" s="70"/>
      <c r="AK622" s="70"/>
      <c r="AL622" s="70"/>
      <c r="AM622" s="70"/>
      <c r="AN622" s="70"/>
      <c r="AO622" s="70"/>
      <c r="AP622" s="70"/>
      <c r="AQ622" s="70"/>
      <c r="AR622" s="70"/>
      <c r="AS622" s="70"/>
      <c r="AT622" s="70"/>
      <c r="AU622" s="70"/>
      <c r="AV622" s="70"/>
      <c r="AW622" s="70"/>
      <c r="AX622" s="70"/>
      <c r="AY622" s="70"/>
      <c r="AZ622" s="70"/>
      <c r="BA622" s="70"/>
      <c r="BB622" s="70"/>
    </row>
    <row r="623" ht="14.25" customHeight="1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  <c r="AD623" s="70"/>
      <c r="AE623" s="70"/>
      <c r="AF623" s="70"/>
      <c r="AG623" s="70"/>
      <c r="AH623" s="70"/>
      <c r="AI623" s="70"/>
      <c r="AJ623" s="70"/>
      <c r="AK623" s="70"/>
      <c r="AL623" s="70"/>
      <c r="AM623" s="70"/>
      <c r="AN623" s="70"/>
      <c r="AO623" s="70"/>
      <c r="AP623" s="70"/>
      <c r="AQ623" s="70"/>
      <c r="AR623" s="70"/>
      <c r="AS623" s="70"/>
      <c r="AT623" s="70"/>
      <c r="AU623" s="70"/>
      <c r="AV623" s="70"/>
      <c r="AW623" s="70"/>
      <c r="AX623" s="70"/>
      <c r="AY623" s="70"/>
      <c r="AZ623" s="70"/>
      <c r="BA623" s="70"/>
      <c r="BB623" s="70"/>
    </row>
    <row r="624" ht="14.25" customHeight="1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  <c r="AD624" s="70"/>
      <c r="AE624" s="70"/>
      <c r="AF624" s="70"/>
      <c r="AG624" s="70"/>
      <c r="AH624" s="70"/>
      <c r="AI624" s="70"/>
      <c r="AJ624" s="70"/>
      <c r="AK624" s="70"/>
      <c r="AL624" s="70"/>
      <c r="AM624" s="70"/>
      <c r="AN624" s="70"/>
      <c r="AO624" s="70"/>
      <c r="AP624" s="70"/>
      <c r="AQ624" s="70"/>
      <c r="AR624" s="70"/>
      <c r="AS624" s="70"/>
      <c r="AT624" s="70"/>
      <c r="AU624" s="70"/>
      <c r="AV624" s="70"/>
      <c r="AW624" s="70"/>
      <c r="AX624" s="70"/>
      <c r="AY624" s="70"/>
      <c r="AZ624" s="70"/>
      <c r="BA624" s="70"/>
      <c r="BB624" s="70"/>
    </row>
    <row r="625" ht="14.25" customHeight="1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  <c r="AD625" s="70"/>
      <c r="AE625" s="70"/>
      <c r="AF625" s="70"/>
      <c r="AG625" s="70"/>
      <c r="AH625" s="70"/>
      <c r="AI625" s="70"/>
      <c r="AJ625" s="70"/>
      <c r="AK625" s="70"/>
      <c r="AL625" s="70"/>
      <c r="AM625" s="70"/>
      <c r="AN625" s="70"/>
      <c r="AO625" s="70"/>
      <c r="AP625" s="70"/>
      <c r="AQ625" s="70"/>
      <c r="AR625" s="70"/>
      <c r="AS625" s="70"/>
      <c r="AT625" s="70"/>
      <c r="AU625" s="70"/>
      <c r="AV625" s="70"/>
      <c r="AW625" s="70"/>
      <c r="AX625" s="70"/>
      <c r="AY625" s="70"/>
      <c r="AZ625" s="70"/>
      <c r="BA625" s="70"/>
      <c r="BB625" s="70"/>
    </row>
    <row r="626" ht="14.25" customHeight="1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  <c r="AD626" s="70"/>
      <c r="AE626" s="70"/>
      <c r="AF626" s="70"/>
      <c r="AG626" s="70"/>
      <c r="AH626" s="70"/>
      <c r="AI626" s="70"/>
      <c r="AJ626" s="70"/>
      <c r="AK626" s="70"/>
      <c r="AL626" s="70"/>
      <c r="AM626" s="70"/>
      <c r="AN626" s="70"/>
      <c r="AO626" s="70"/>
      <c r="AP626" s="70"/>
      <c r="AQ626" s="70"/>
      <c r="AR626" s="70"/>
      <c r="AS626" s="70"/>
      <c r="AT626" s="70"/>
      <c r="AU626" s="70"/>
      <c r="AV626" s="70"/>
      <c r="AW626" s="70"/>
      <c r="AX626" s="70"/>
      <c r="AY626" s="70"/>
      <c r="AZ626" s="70"/>
      <c r="BA626" s="70"/>
      <c r="BB626" s="70"/>
    </row>
    <row r="627" ht="14.25" customHeight="1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  <c r="AD627" s="70"/>
      <c r="AE627" s="70"/>
      <c r="AF627" s="70"/>
      <c r="AG627" s="70"/>
      <c r="AH627" s="70"/>
      <c r="AI627" s="70"/>
      <c r="AJ627" s="70"/>
      <c r="AK627" s="70"/>
      <c r="AL627" s="70"/>
      <c r="AM627" s="70"/>
      <c r="AN627" s="70"/>
      <c r="AO627" s="70"/>
      <c r="AP627" s="70"/>
      <c r="AQ627" s="70"/>
      <c r="AR627" s="70"/>
      <c r="AS627" s="70"/>
      <c r="AT627" s="70"/>
      <c r="AU627" s="70"/>
      <c r="AV627" s="70"/>
      <c r="AW627" s="70"/>
      <c r="AX627" s="70"/>
      <c r="AY627" s="70"/>
      <c r="AZ627" s="70"/>
      <c r="BA627" s="70"/>
      <c r="BB627" s="70"/>
    </row>
    <row r="628" ht="14.25" customHeight="1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  <c r="AD628" s="70"/>
      <c r="AE628" s="70"/>
      <c r="AF628" s="70"/>
      <c r="AG628" s="70"/>
      <c r="AH628" s="70"/>
      <c r="AI628" s="70"/>
      <c r="AJ628" s="70"/>
      <c r="AK628" s="70"/>
      <c r="AL628" s="70"/>
      <c r="AM628" s="70"/>
      <c r="AN628" s="70"/>
      <c r="AO628" s="70"/>
      <c r="AP628" s="70"/>
      <c r="AQ628" s="70"/>
      <c r="AR628" s="70"/>
      <c r="AS628" s="70"/>
      <c r="AT628" s="70"/>
      <c r="AU628" s="70"/>
      <c r="AV628" s="70"/>
      <c r="AW628" s="70"/>
      <c r="AX628" s="70"/>
      <c r="AY628" s="70"/>
      <c r="AZ628" s="70"/>
      <c r="BA628" s="70"/>
      <c r="BB628" s="70"/>
    </row>
    <row r="629" ht="14.25" customHeight="1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  <c r="AD629" s="70"/>
      <c r="AE629" s="70"/>
      <c r="AF629" s="70"/>
      <c r="AG629" s="70"/>
      <c r="AH629" s="70"/>
      <c r="AI629" s="70"/>
      <c r="AJ629" s="70"/>
      <c r="AK629" s="70"/>
      <c r="AL629" s="70"/>
      <c r="AM629" s="70"/>
      <c r="AN629" s="70"/>
      <c r="AO629" s="70"/>
      <c r="AP629" s="70"/>
      <c r="AQ629" s="70"/>
      <c r="AR629" s="70"/>
      <c r="AS629" s="70"/>
      <c r="AT629" s="70"/>
      <c r="AU629" s="70"/>
      <c r="AV629" s="70"/>
      <c r="AW629" s="70"/>
      <c r="AX629" s="70"/>
      <c r="AY629" s="70"/>
      <c r="AZ629" s="70"/>
      <c r="BA629" s="70"/>
      <c r="BB629" s="70"/>
    </row>
    <row r="630" ht="14.25" customHeight="1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  <c r="AD630" s="70"/>
      <c r="AE630" s="70"/>
      <c r="AF630" s="70"/>
      <c r="AG630" s="70"/>
      <c r="AH630" s="70"/>
      <c r="AI630" s="70"/>
      <c r="AJ630" s="70"/>
      <c r="AK630" s="70"/>
      <c r="AL630" s="70"/>
      <c r="AM630" s="70"/>
      <c r="AN630" s="70"/>
      <c r="AO630" s="70"/>
      <c r="AP630" s="70"/>
      <c r="AQ630" s="70"/>
      <c r="AR630" s="70"/>
      <c r="AS630" s="70"/>
      <c r="AT630" s="70"/>
      <c r="AU630" s="70"/>
      <c r="AV630" s="70"/>
      <c r="AW630" s="70"/>
      <c r="AX630" s="70"/>
      <c r="AY630" s="70"/>
      <c r="AZ630" s="70"/>
      <c r="BA630" s="70"/>
      <c r="BB630" s="70"/>
    </row>
    <row r="631" ht="14.25" customHeight="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  <c r="AD631" s="70"/>
      <c r="AE631" s="70"/>
      <c r="AF631" s="70"/>
      <c r="AG631" s="70"/>
      <c r="AH631" s="70"/>
      <c r="AI631" s="70"/>
      <c r="AJ631" s="70"/>
      <c r="AK631" s="70"/>
      <c r="AL631" s="70"/>
      <c r="AM631" s="70"/>
      <c r="AN631" s="70"/>
      <c r="AO631" s="70"/>
      <c r="AP631" s="70"/>
      <c r="AQ631" s="70"/>
      <c r="AR631" s="70"/>
      <c r="AS631" s="70"/>
      <c r="AT631" s="70"/>
      <c r="AU631" s="70"/>
      <c r="AV631" s="70"/>
      <c r="AW631" s="70"/>
      <c r="AX631" s="70"/>
      <c r="AY631" s="70"/>
      <c r="AZ631" s="70"/>
      <c r="BA631" s="70"/>
      <c r="BB631" s="70"/>
    </row>
    <row r="632" ht="14.25" customHeight="1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  <c r="AD632" s="70"/>
      <c r="AE632" s="70"/>
      <c r="AF632" s="70"/>
      <c r="AG632" s="70"/>
      <c r="AH632" s="70"/>
      <c r="AI632" s="70"/>
      <c r="AJ632" s="70"/>
      <c r="AK632" s="70"/>
      <c r="AL632" s="70"/>
      <c r="AM632" s="70"/>
      <c r="AN632" s="70"/>
      <c r="AO632" s="70"/>
      <c r="AP632" s="70"/>
      <c r="AQ632" s="70"/>
      <c r="AR632" s="70"/>
      <c r="AS632" s="70"/>
      <c r="AT632" s="70"/>
      <c r="AU632" s="70"/>
      <c r="AV632" s="70"/>
      <c r="AW632" s="70"/>
      <c r="AX632" s="70"/>
      <c r="AY632" s="70"/>
      <c r="AZ632" s="70"/>
      <c r="BA632" s="70"/>
      <c r="BB632" s="70"/>
    </row>
    <row r="633" ht="14.25" customHeight="1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  <c r="AD633" s="70"/>
      <c r="AE633" s="70"/>
      <c r="AF633" s="70"/>
      <c r="AG633" s="70"/>
      <c r="AH633" s="70"/>
      <c r="AI633" s="70"/>
      <c r="AJ633" s="70"/>
      <c r="AK633" s="70"/>
      <c r="AL633" s="70"/>
      <c r="AM633" s="70"/>
      <c r="AN633" s="70"/>
      <c r="AO633" s="70"/>
      <c r="AP633" s="70"/>
      <c r="AQ633" s="70"/>
      <c r="AR633" s="70"/>
      <c r="AS633" s="70"/>
      <c r="AT633" s="70"/>
      <c r="AU633" s="70"/>
      <c r="AV633" s="70"/>
      <c r="AW633" s="70"/>
      <c r="AX633" s="70"/>
      <c r="AY633" s="70"/>
      <c r="AZ633" s="70"/>
      <c r="BA633" s="70"/>
      <c r="BB633" s="70"/>
    </row>
    <row r="634" ht="14.25" customHeight="1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  <c r="AD634" s="70"/>
      <c r="AE634" s="70"/>
      <c r="AF634" s="70"/>
      <c r="AG634" s="70"/>
      <c r="AH634" s="70"/>
      <c r="AI634" s="70"/>
      <c r="AJ634" s="70"/>
      <c r="AK634" s="70"/>
      <c r="AL634" s="70"/>
      <c r="AM634" s="70"/>
      <c r="AN634" s="70"/>
      <c r="AO634" s="70"/>
      <c r="AP634" s="70"/>
      <c r="AQ634" s="70"/>
      <c r="AR634" s="70"/>
      <c r="AS634" s="70"/>
      <c r="AT634" s="70"/>
      <c r="AU634" s="70"/>
      <c r="AV634" s="70"/>
      <c r="AW634" s="70"/>
      <c r="AX634" s="70"/>
      <c r="AY634" s="70"/>
      <c r="AZ634" s="70"/>
      <c r="BA634" s="70"/>
      <c r="BB634" s="70"/>
    </row>
    <row r="635" ht="14.25" customHeight="1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  <c r="AD635" s="70"/>
      <c r="AE635" s="70"/>
      <c r="AF635" s="70"/>
      <c r="AG635" s="70"/>
      <c r="AH635" s="70"/>
      <c r="AI635" s="70"/>
      <c r="AJ635" s="70"/>
      <c r="AK635" s="70"/>
      <c r="AL635" s="70"/>
      <c r="AM635" s="70"/>
      <c r="AN635" s="70"/>
      <c r="AO635" s="70"/>
      <c r="AP635" s="70"/>
      <c r="AQ635" s="70"/>
      <c r="AR635" s="70"/>
      <c r="AS635" s="70"/>
      <c r="AT635" s="70"/>
      <c r="AU635" s="70"/>
      <c r="AV635" s="70"/>
      <c r="AW635" s="70"/>
      <c r="AX635" s="70"/>
      <c r="AY635" s="70"/>
      <c r="AZ635" s="70"/>
      <c r="BA635" s="70"/>
      <c r="BB635" s="70"/>
    </row>
    <row r="636" ht="14.25" customHeight="1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  <c r="AD636" s="70"/>
      <c r="AE636" s="70"/>
      <c r="AF636" s="70"/>
      <c r="AG636" s="70"/>
      <c r="AH636" s="70"/>
      <c r="AI636" s="70"/>
      <c r="AJ636" s="70"/>
      <c r="AK636" s="70"/>
      <c r="AL636" s="70"/>
      <c r="AM636" s="70"/>
      <c r="AN636" s="70"/>
      <c r="AO636" s="70"/>
      <c r="AP636" s="70"/>
      <c r="AQ636" s="70"/>
      <c r="AR636" s="70"/>
      <c r="AS636" s="70"/>
      <c r="AT636" s="70"/>
      <c r="AU636" s="70"/>
      <c r="AV636" s="70"/>
      <c r="AW636" s="70"/>
      <c r="AX636" s="70"/>
      <c r="AY636" s="70"/>
      <c r="AZ636" s="70"/>
      <c r="BA636" s="70"/>
      <c r="BB636" s="70"/>
    </row>
    <row r="637" ht="14.25" customHeight="1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  <c r="AD637" s="70"/>
      <c r="AE637" s="70"/>
      <c r="AF637" s="70"/>
      <c r="AG637" s="70"/>
      <c r="AH637" s="70"/>
      <c r="AI637" s="70"/>
      <c r="AJ637" s="70"/>
      <c r="AK637" s="70"/>
      <c r="AL637" s="70"/>
      <c r="AM637" s="70"/>
      <c r="AN637" s="70"/>
      <c r="AO637" s="70"/>
      <c r="AP637" s="70"/>
      <c r="AQ637" s="70"/>
      <c r="AR637" s="70"/>
      <c r="AS637" s="70"/>
      <c r="AT637" s="70"/>
      <c r="AU637" s="70"/>
      <c r="AV637" s="70"/>
      <c r="AW637" s="70"/>
      <c r="AX637" s="70"/>
      <c r="AY637" s="70"/>
      <c r="AZ637" s="70"/>
      <c r="BA637" s="70"/>
      <c r="BB637" s="70"/>
    </row>
    <row r="638" ht="14.25" customHeight="1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  <c r="AD638" s="70"/>
      <c r="AE638" s="70"/>
      <c r="AF638" s="70"/>
      <c r="AG638" s="70"/>
      <c r="AH638" s="70"/>
      <c r="AI638" s="70"/>
      <c r="AJ638" s="70"/>
      <c r="AK638" s="70"/>
      <c r="AL638" s="70"/>
      <c r="AM638" s="70"/>
      <c r="AN638" s="70"/>
      <c r="AO638" s="70"/>
      <c r="AP638" s="70"/>
      <c r="AQ638" s="70"/>
      <c r="AR638" s="70"/>
      <c r="AS638" s="70"/>
      <c r="AT638" s="70"/>
      <c r="AU638" s="70"/>
      <c r="AV638" s="70"/>
      <c r="AW638" s="70"/>
      <c r="AX638" s="70"/>
      <c r="AY638" s="70"/>
      <c r="AZ638" s="70"/>
      <c r="BA638" s="70"/>
      <c r="BB638" s="70"/>
    </row>
    <row r="639" ht="14.25" customHeight="1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  <c r="AD639" s="70"/>
      <c r="AE639" s="70"/>
      <c r="AF639" s="70"/>
      <c r="AG639" s="70"/>
      <c r="AH639" s="70"/>
      <c r="AI639" s="70"/>
      <c r="AJ639" s="70"/>
      <c r="AK639" s="70"/>
      <c r="AL639" s="70"/>
      <c r="AM639" s="70"/>
      <c r="AN639" s="70"/>
      <c r="AO639" s="70"/>
      <c r="AP639" s="70"/>
      <c r="AQ639" s="70"/>
      <c r="AR639" s="70"/>
      <c r="AS639" s="70"/>
      <c r="AT639" s="70"/>
      <c r="AU639" s="70"/>
      <c r="AV639" s="70"/>
      <c r="AW639" s="70"/>
      <c r="AX639" s="70"/>
      <c r="AY639" s="70"/>
      <c r="AZ639" s="70"/>
      <c r="BA639" s="70"/>
      <c r="BB639" s="70"/>
    </row>
    <row r="640" ht="14.25" customHeight="1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  <c r="AD640" s="70"/>
      <c r="AE640" s="70"/>
      <c r="AF640" s="70"/>
      <c r="AG640" s="70"/>
      <c r="AH640" s="70"/>
      <c r="AI640" s="70"/>
      <c r="AJ640" s="70"/>
      <c r="AK640" s="70"/>
      <c r="AL640" s="70"/>
      <c r="AM640" s="70"/>
      <c r="AN640" s="70"/>
      <c r="AO640" s="70"/>
      <c r="AP640" s="70"/>
      <c r="AQ640" s="70"/>
      <c r="AR640" s="70"/>
      <c r="AS640" s="70"/>
      <c r="AT640" s="70"/>
      <c r="AU640" s="70"/>
      <c r="AV640" s="70"/>
      <c r="AW640" s="70"/>
      <c r="AX640" s="70"/>
      <c r="AY640" s="70"/>
      <c r="AZ640" s="70"/>
      <c r="BA640" s="70"/>
      <c r="BB640" s="70"/>
    </row>
    <row r="641" ht="14.25" customHeight="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  <c r="AD641" s="70"/>
      <c r="AE641" s="70"/>
      <c r="AF641" s="70"/>
      <c r="AG641" s="70"/>
      <c r="AH641" s="70"/>
      <c r="AI641" s="70"/>
      <c r="AJ641" s="70"/>
      <c r="AK641" s="70"/>
      <c r="AL641" s="70"/>
      <c r="AM641" s="70"/>
      <c r="AN641" s="70"/>
      <c r="AO641" s="70"/>
      <c r="AP641" s="70"/>
      <c r="AQ641" s="70"/>
      <c r="AR641" s="70"/>
      <c r="AS641" s="70"/>
      <c r="AT641" s="70"/>
      <c r="AU641" s="70"/>
      <c r="AV641" s="70"/>
      <c r="AW641" s="70"/>
      <c r="AX641" s="70"/>
      <c r="AY641" s="70"/>
      <c r="AZ641" s="70"/>
      <c r="BA641" s="70"/>
      <c r="BB641" s="70"/>
    </row>
    <row r="642" ht="14.25" customHeight="1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  <c r="AD642" s="70"/>
      <c r="AE642" s="70"/>
      <c r="AF642" s="70"/>
      <c r="AG642" s="70"/>
      <c r="AH642" s="70"/>
      <c r="AI642" s="70"/>
      <c r="AJ642" s="70"/>
      <c r="AK642" s="70"/>
      <c r="AL642" s="70"/>
      <c r="AM642" s="70"/>
      <c r="AN642" s="70"/>
      <c r="AO642" s="70"/>
      <c r="AP642" s="70"/>
      <c r="AQ642" s="70"/>
      <c r="AR642" s="70"/>
      <c r="AS642" s="70"/>
      <c r="AT642" s="70"/>
      <c r="AU642" s="70"/>
      <c r="AV642" s="70"/>
      <c r="AW642" s="70"/>
      <c r="AX642" s="70"/>
      <c r="AY642" s="70"/>
      <c r="AZ642" s="70"/>
      <c r="BA642" s="70"/>
      <c r="BB642" s="70"/>
    </row>
    <row r="643" ht="14.25" customHeight="1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  <c r="AD643" s="70"/>
      <c r="AE643" s="70"/>
      <c r="AF643" s="70"/>
      <c r="AG643" s="70"/>
      <c r="AH643" s="70"/>
      <c r="AI643" s="70"/>
      <c r="AJ643" s="70"/>
      <c r="AK643" s="70"/>
      <c r="AL643" s="70"/>
      <c r="AM643" s="70"/>
      <c r="AN643" s="70"/>
      <c r="AO643" s="70"/>
      <c r="AP643" s="70"/>
      <c r="AQ643" s="70"/>
      <c r="AR643" s="70"/>
      <c r="AS643" s="70"/>
      <c r="AT643" s="70"/>
      <c r="AU643" s="70"/>
      <c r="AV643" s="70"/>
      <c r="AW643" s="70"/>
      <c r="AX643" s="70"/>
      <c r="AY643" s="70"/>
      <c r="AZ643" s="70"/>
      <c r="BA643" s="70"/>
      <c r="BB643" s="70"/>
    </row>
    <row r="644" ht="14.25" customHeight="1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  <c r="AD644" s="70"/>
      <c r="AE644" s="70"/>
      <c r="AF644" s="70"/>
      <c r="AG644" s="70"/>
      <c r="AH644" s="70"/>
      <c r="AI644" s="70"/>
      <c r="AJ644" s="70"/>
      <c r="AK644" s="70"/>
      <c r="AL644" s="70"/>
      <c r="AM644" s="70"/>
      <c r="AN644" s="70"/>
      <c r="AO644" s="70"/>
      <c r="AP644" s="70"/>
      <c r="AQ644" s="70"/>
      <c r="AR644" s="70"/>
      <c r="AS644" s="70"/>
      <c r="AT644" s="70"/>
      <c r="AU644" s="70"/>
      <c r="AV644" s="70"/>
      <c r="AW644" s="70"/>
      <c r="AX644" s="70"/>
      <c r="AY644" s="70"/>
      <c r="AZ644" s="70"/>
      <c r="BA644" s="70"/>
      <c r="BB644" s="70"/>
    </row>
    <row r="645" ht="14.25" customHeight="1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  <c r="AD645" s="70"/>
      <c r="AE645" s="70"/>
      <c r="AF645" s="70"/>
      <c r="AG645" s="70"/>
      <c r="AH645" s="70"/>
      <c r="AI645" s="70"/>
      <c r="AJ645" s="70"/>
      <c r="AK645" s="70"/>
      <c r="AL645" s="70"/>
      <c r="AM645" s="70"/>
      <c r="AN645" s="70"/>
      <c r="AO645" s="70"/>
      <c r="AP645" s="70"/>
      <c r="AQ645" s="70"/>
      <c r="AR645" s="70"/>
      <c r="AS645" s="70"/>
      <c r="AT645" s="70"/>
      <c r="AU645" s="70"/>
      <c r="AV645" s="70"/>
      <c r="AW645" s="70"/>
      <c r="AX645" s="70"/>
      <c r="AY645" s="70"/>
      <c r="AZ645" s="70"/>
      <c r="BA645" s="70"/>
      <c r="BB645" s="70"/>
    </row>
    <row r="646" ht="14.25" customHeight="1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  <c r="AD646" s="70"/>
      <c r="AE646" s="70"/>
      <c r="AF646" s="70"/>
      <c r="AG646" s="70"/>
      <c r="AH646" s="70"/>
      <c r="AI646" s="70"/>
      <c r="AJ646" s="70"/>
      <c r="AK646" s="70"/>
      <c r="AL646" s="70"/>
      <c r="AM646" s="70"/>
      <c r="AN646" s="70"/>
      <c r="AO646" s="70"/>
      <c r="AP646" s="70"/>
      <c r="AQ646" s="70"/>
      <c r="AR646" s="70"/>
      <c r="AS646" s="70"/>
      <c r="AT646" s="70"/>
      <c r="AU646" s="70"/>
      <c r="AV646" s="70"/>
      <c r="AW646" s="70"/>
      <c r="AX646" s="70"/>
      <c r="AY646" s="70"/>
      <c r="AZ646" s="70"/>
      <c r="BA646" s="70"/>
      <c r="BB646" s="70"/>
    </row>
    <row r="647" ht="14.25" customHeight="1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  <c r="AD647" s="70"/>
      <c r="AE647" s="70"/>
      <c r="AF647" s="70"/>
      <c r="AG647" s="70"/>
      <c r="AH647" s="70"/>
      <c r="AI647" s="70"/>
      <c r="AJ647" s="70"/>
      <c r="AK647" s="70"/>
      <c r="AL647" s="70"/>
      <c r="AM647" s="70"/>
      <c r="AN647" s="70"/>
      <c r="AO647" s="70"/>
      <c r="AP647" s="70"/>
      <c r="AQ647" s="70"/>
      <c r="AR647" s="70"/>
      <c r="AS647" s="70"/>
      <c r="AT647" s="70"/>
      <c r="AU647" s="70"/>
      <c r="AV647" s="70"/>
      <c r="AW647" s="70"/>
      <c r="AX647" s="70"/>
      <c r="AY647" s="70"/>
      <c r="AZ647" s="70"/>
      <c r="BA647" s="70"/>
      <c r="BB647" s="70"/>
    </row>
    <row r="648" ht="14.25" customHeight="1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  <c r="AD648" s="70"/>
      <c r="AE648" s="70"/>
      <c r="AF648" s="70"/>
      <c r="AG648" s="70"/>
      <c r="AH648" s="70"/>
      <c r="AI648" s="70"/>
      <c r="AJ648" s="70"/>
      <c r="AK648" s="70"/>
      <c r="AL648" s="70"/>
      <c r="AM648" s="70"/>
      <c r="AN648" s="70"/>
      <c r="AO648" s="70"/>
      <c r="AP648" s="70"/>
      <c r="AQ648" s="70"/>
      <c r="AR648" s="70"/>
      <c r="AS648" s="70"/>
      <c r="AT648" s="70"/>
      <c r="AU648" s="70"/>
      <c r="AV648" s="70"/>
      <c r="AW648" s="70"/>
      <c r="AX648" s="70"/>
      <c r="AY648" s="70"/>
      <c r="AZ648" s="70"/>
      <c r="BA648" s="70"/>
      <c r="BB648" s="70"/>
    </row>
    <row r="649" ht="14.25" customHeight="1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  <c r="AD649" s="70"/>
      <c r="AE649" s="70"/>
      <c r="AF649" s="70"/>
      <c r="AG649" s="70"/>
      <c r="AH649" s="70"/>
      <c r="AI649" s="70"/>
      <c r="AJ649" s="70"/>
      <c r="AK649" s="70"/>
      <c r="AL649" s="70"/>
      <c r="AM649" s="70"/>
      <c r="AN649" s="70"/>
      <c r="AO649" s="70"/>
      <c r="AP649" s="70"/>
      <c r="AQ649" s="70"/>
      <c r="AR649" s="70"/>
      <c r="AS649" s="70"/>
      <c r="AT649" s="70"/>
      <c r="AU649" s="70"/>
      <c r="AV649" s="70"/>
      <c r="AW649" s="70"/>
      <c r="AX649" s="70"/>
      <c r="AY649" s="70"/>
      <c r="AZ649" s="70"/>
      <c r="BA649" s="70"/>
      <c r="BB649" s="70"/>
    </row>
    <row r="650" ht="14.25" customHeight="1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  <c r="AD650" s="70"/>
      <c r="AE650" s="70"/>
      <c r="AF650" s="70"/>
      <c r="AG650" s="70"/>
      <c r="AH650" s="70"/>
      <c r="AI650" s="70"/>
      <c r="AJ650" s="70"/>
      <c r="AK650" s="70"/>
      <c r="AL650" s="70"/>
      <c r="AM650" s="70"/>
      <c r="AN650" s="70"/>
      <c r="AO650" s="70"/>
      <c r="AP650" s="70"/>
      <c r="AQ650" s="70"/>
      <c r="AR650" s="70"/>
      <c r="AS650" s="70"/>
      <c r="AT650" s="70"/>
      <c r="AU650" s="70"/>
      <c r="AV650" s="70"/>
      <c r="AW650" s="70"/>
      <c r="AX650" s="70"/>
      <c r="AY650" s="70"/>
      <c r="AZ650" s="70"/>
      <c r="BA650" s="70"/>
      <c r="BB650" s="70"/>
    </row>
    <row r="651" ht="14.25" customHeight="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  <c r="AD651" s="70"/>
      <c r="AE651" s="70"/>
      <c r="AF651" s="70"/>
      <c r="AG651" s="70"/>
      <c r="AH651" s="70"/>
      <c r="AI651" s="70"/>
      <c r="AJ651" s="70"/>
      <c r="AK651" s="70"/>
      <c r="AL651" s="70"/>
      <c r="AM651" s="70"/>
      <c r="AN651" s="70"/>
      <c r="AO651" s="70"/>
      <c r="AP651" s="70"/>
      <c r="AQ651" s="70"/>
      <c r="AR651" s="70"/>
      <c r="AS651" s="70"/>
      <c r="AT651" s="70"/>
      <c r="AU651" s="70"/>
      <c r="AV651" s="70"/>
      <c r="AW651" s="70"/>
      <c r="AX651" s="70"/>
      <c r="AY651" s="70"/>
      <c r="AZ651" s="70"/>
      <c r="BA651" s="70"/>
      <c r="BB651" s="70"/>
    </row>
    <row r="652" ht="14.25" customHeight="1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  <c r="AD652" s="70"/>
      <c r="AE652" s="70"/>
      <c r="AF652" s="70"/>
      <c r="AG652" s="70"/>
      <c r="AH652" s="70"/>
      <c r="AI652" s="70"/>
      <c r="AJ652" s="70"/>
      <c r="AK652" s="70"/>
      <c r="AL652" s="70"/>
      <c r="AM652" s="70"/>
      <c r="AN652" s="70"/>
      <c r="AO652" s="70"/>
      <c r="AP652" s="70"/>
      <c r="AQ652" s="70"/>
      <c r="AR652" s="70"/>
      <c r="AS652" s="70"/>
      <c r="AT652" s="70"/>
      <c r="AU652" s="70"/>
      <c r="AV652" s="70"/>
      <c r="AW652" s="70"/>
      <c r="AX652" s="70"/>
      <c r="AY652" s="70"/>
      <c r="AZ652" s="70"/>
      <c r="BA652" s="70"/>
      <c r="BB652" s="70"/>
    </row>
    <row r="653" ht="14.25" customHeight="1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  <c r="AD653" s="70"/>
      <c r="AE653" s="70"/>
      <c r="AF653" s="70"/>
      <c r="AG653" s="70"/>
      <c r="AH653" s="70"/>
      <c r="AI653" s="70"/>
      <c r="AJ653" s="70"/>
      <c r="AK653" s="70"/>
      <c r="AL653" s="70"/>
      <c r="AM653" s="70"/>
      <c r="AN653" s="70"/>
      <c r="AO653" s="70"/>
      <c r="AP653" s="70"/>
      <c r="AQ653" s="70"/>
      <c r="AR653" s="70"/>
      <c r="AS653" s="70"/>
      <c r="AT653" s="70"/>
      <c r="AU653" s="70"/>
      <c r="AV653" s="70"/>
      <c r="AW653" s="70"/>
      <c r="AX653" s="70"/>
      <c r="AY653" s="70"/>
      <c r="AZ653" s="70"/>
      <c r="BA653" s="70"/>
      <c r="BB653" s="70"/>
    </row>
    <row r="654" ht="14.25" customHeight="1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  <c r="AD654" s="70"/>
      <c r="AE654" s="70"/>
      <c r="AF654" s="70"/>
      <c r="AG654" s="70"/>
      <c r="AH654" s="70"/>
      <c r="AI654" s="70"/>
      <c r="AJ654" s="70"/>
      <c r="AK654" s="70"/>
      <c r="AL654" s="70"/>
      <c r="AM654" s="70"/>
      <c r="AN654" s="70"/>
      <c r="AO654" s="70"/>
      <c r="AP654" s="70"/>
      <c r="AQ654" s="70"/>
      <c r="AR654" s="70"/>
      <c r="AS654" s="70"/>
      <c r="AT654" s="70"/>
      <c r="AU654" s="70"/>
      <c r="AV654" s="70"/>
      <c r="AW654" s="70"/>
      <c r="AX654" s="70"/>
      <c r="AY654" s="70"/>
      <c r="AZ654" s="70"/>
      <c r="BA654" s="70"/>
      <c r="BB654" s="70"/>
    </row>
    <row r="655" ht="14.25" customHeight="1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  <c r="AD655" s="70"/>
      <c r="AE655" s="70"/>
      <c r="AF655" s="70"/>
      <c r="AG655" s="70"/>
      <c r="AH655" s="70"/>
      <c r="AI655" s="70"/>
      <c r="AJ655" s="70"/>
      <c r="AK655" s="70"/>
      <c r="AL655" s="70"/>
      <c r="AM655" s="70"/>
      <c r="AN655" s="70"/>
      <c r="AO655" s="70"/>
      <c r="AP655" s="70"/>
      <c r="AQ655" s="70"/>
      <c r="AR655" s="70"/>
      <c r="AS655" s="70"/>
      <c r="AT655" s="70"/>
      <c r="AU655" s="70"/>
      <c r="AV655" s="70"/>
      <c r="AW655" s="70"/>
      <c r="AX655" s="70"/>
      <c r="AY655" s="70"/>
      <c r="AZ655" s="70"/>
      <c r="BA655" s="70"/>
      <c r="BB655" s="70"/>
    </row>
    <row r="656" ht="14.25" customHeight="1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  <c r="AD656" s="70"/>
      <c r="AE656" s="70"/>
      <c r="AF656" s="70"/>
      <c r="AG656" s="70"/>
      <c r="AH656" s="70"/>
      <c r="AI656" s="70"/>
      <c r="AJ656" s="70"/>
      <c r="AK656" s="70"/>
      <c r="AL656" s="70"/>
      <c r="AM656" s="70"/>
      <c r="AN656" s="70"/>
      <c r="AO656" s="70"/>
      <c r="AP656" s="70"/>
      <c r="AQ656" s="70"/>
      <c r="AR656" s="70"/>
      <c r="AS656" s="70"/>
      <c r="AT656" s="70"/>
      <c r="AU656" s="70"/>
      <c r="AV656" s="70"/>
      <c r="AW656" s="70"/>
      <c r="AX656" s="70"/>
      <c r="AY656" s="70"/>
      <c r="AZ656" s="70"/>
      <c r="BA656" s="70"/>
      <c r="BB656" s="70"/>
    </row>
    <row r="657" ht="14.25" customHeight="1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  <c r="AD657" s="70"/>
      <c r="AE657" s="70"/>
      <c r="AF657" s="70"/>
      <c r="AG657" s="70"/>
      <c r="AH657" s="70"/>
      <c r="AI657" s="70"/>
      <c r="AJ657" s="70"/>
      <c r="AK657" s="70"/>
      <c r="AL657" s="70"/>
      <c r="AM657" s="70"/>
      <c r="AN657" s="70"/>
      <c r="AO657" s="70"/>
      <c r="AP657" s="70"/>
      <c r="AQ657" s="70"/>
      <c r="AR657" s="70"/>
      <c r="AS657" s="70"/>
      <c r="AT657" s="70"/>
      <c r="AU657" s="70"/>
      <c r="AV657" s="70"/>
      <c r="AW657" s="70"/>
      <c r="AX657" s="70"/>
      <c r="AY657" s="70"/>
      <c r="AZ657" s="70"/>
      <c r="BA657" s="70"/>
      <c r="BB657" s="70"/>
    </row>
    <row r="658" ht="14.25" customHeight="1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  <c r="AD658" s="70"/>
      <c r="AE658" s="70"/>
      <c r="AF658" s="70"/>
      <c r="AG658" s="70"/>
      <c r="AH658" s="70"/>
      <c r="AI658" s="70"/>
      <c r="AJ658" s="70"/>
      <c r="AK658" s="70"/>
      <c r="AL658" s="70"/>
      <c r="AM658" s="70"/>
      <c r="AN658" s="70"/>
      <c r="AO658" s="70"/>
      <c r="AP658" s="70"/>
      <c r="AQ658" s="70"/>
      <c r="AR658" s="70"/>
      <c r="AS658" s="70"/>
      <c r="AT658" s="70"/>
      <c r="AU658" s="70"/>
      <c r="AV658" s="70"/>
      <c r="AW658" s="70"/>
      <c r="AX658" s="70"/>
      <c r="AY658" s="70"/>
      <c r="AZ658" s="70"/>
      <c r="BA658" s="70"/>
      <c r="BB658" s="70"/>
    </row>
    <row r="659" ht="14.25" customHeight="1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  <c r="AD659" s="70"/>
      <c r="AE659" s="70"/>
      <c r="AF659" s="70"/>
      <c r="AG659" s="70"/>
      <c r="AH659" s="70"/>
      <c r="AI659" s="70"/>
      <c r="AJ659" s="70"/>
      <c r="AK659" s="70"/>
      <c r="AL659" s="70"/>
      <c r="AM659" s="70"/>
      <c r="AN659" s="70"/>
      <c r="AO659" s="70"/>
      <c r="AP659" s="70"/>
      <c r="AQ659" s="70"/>
      <c r="AR659" s="70"/>
      <c r="AS659" s="70"/>
      <c r="AT659" s="70"/>
      <c r="AU659" s="70"/>
      <c r="AV659" s="70"/>
      <c r="AW659" s="70"/>
      <c r="AX659" s="70"/>
      <c r="AY659" s="70"/>
      <c r="AZ659" s="70"/>
      <c r="BA659" s="70"/>
      <c r="BB659" s="70"/>
    </row>
    <row r="660" ht="14.25" customHeight="1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  <c r="AD660" s="70"/>
      <c r="AE660" s="70"/>
      <c r="AF660" s="70"/>
      <c r="AG660" s="70"/>
      <c r="AH660" s="70"/>
      <c r="AI660" s="70"/>
      <c r="AJ660" s="70"/>
      <c r="AK660" s="70"/>
      <c r="AL660" s="70"/>
      <c r="AM660" s="70"/>
      <c r="AN660" s="70"/>
      <c r="AO660" s="70"/>
      <c r="AP660" s="70"/>
      <c r="AQ660" s="70"/>
      <c r="AR660" s="70"/>
      <c r="AS660" s="70"/>
      <c r="AT660" s="70"/>
      <c r="AU660" s="70"/>
      <c r="AV660" s="70"/>
      <c r="AW660" s="70"/>
      <c r="AX660" s="70"/>
      <c r="AY660" s="70"/>
      <c r="AZ660" s="70"/>
      <c r="BA660" s="70"/>
      <c r="BB660" s="70"/>
    </row>
    <row r="661" ht="14.25" customHeight="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  <c r="AD661" s="70"/>
      <c r="AE661" s="70"/>
      <c r="AF661" s="70"/>
      <c r="AG661" s="70"/>
      <c r="AH661" s="70"/>
      <c r="AI661" s="70"/>
      <c r="AJ661" s="70"/>
      <c r="AK661" s="70"/>
      <c r="AL661" s="70"/>
      <c r="AM661" s="70"/>
      <c r="AN661" s="70"/>
      <c r="AO661" s="70"/>
      <c r="AP661" s="70"/>
      <c r="AQ661" s="70"/>
      <c r="AR661" s="70"/>
      <c r="AS661" s="70"/>
      <c r="AT661" s="70"/>
      <c r="AU661" s="70"/>
      <c r="AV661" s="70"/>
      <c r="AW661" s="70"/>
      <c r="AX661" s="70"/>
      <c r="AY661" s="70"/>
      <c r="AZ661" s="70"/>
      <c r="BA661" s="70"/>
      <c r="BB661" s="70"/>
    </row>
    <row r="662" ht="14.25" customHeight="1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  <c r="AD662" s="70"/>
      <c r="AE662" s="70"/>
      <c r="AF662" s="70"/>
      <c r="AG662" s="70"/>
      <c r="AH662" s="70"/>
      <c r="AI662" s="70"/>
      <c r="AJ662" s="70"/>
      <c r="AK662" s="70"/>
      <c r="AL662" s="70"/>
      <c r="AM662" s="70"/>
      <c r="AN662" s="70"/>
      <c r="AO662" s="70"/>
      <c r="AP662" s="70"/>
      <c r="AQ662" s="70"/>
      <c r="AR662" s="70"/>
      <c r="AS662" s="70"/>
      <c r="AT662" s="70"/>
      <c r="AU662" s="70"/>
      <c r="AV662" s="70"/>
      <c r="AW662" s="70"/>
      <c r="AX662" s="70"/>
      <c r="AY662" s="70"/>
      <c r="AZ662" s="70"/>
      <c r="BA662" s="70"/>
      <c r="BB662" s="70"/>
    </row>
    <row r="663" ht="14.25" customHeight="1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  <c r="AD663" s="70"/>
      <c r="AE663" s="70"/>
      <c r="AF663" s="70"/>
      <c r="AG663" s="70"/>
      <c r="AH663" s="70"/>
      <c r="AI663" s="70"/>
      <c r="AJ663" s="70"/>
      <c r="AK663" s="70"/>
      <c r="AL663" s="70"/>
      <c r="AM663" s="70"/>
      <c r="AN663" s="70"/>
      <c r="AO663" s="70"/>
      <c r="AP663" s="70"/>
      <c r="AQ663" s="70"/>
      <c r="AR663" s="70"/>
      <c r="AS663" s="70"/>
      <c r="AT663" s="70"/>
      <c r="AU663" s="70"/>
      <c r="AV663" s="70"/>
      <c r="AW663" s="70"/>
      <c r="AX663" s="70"/>
      <c r="AY663" s="70"/>
      <c r="AZ663" s="70"/>
      <c r="BA663" s="70"/>
      <c r="BB663" s="70"/>
    </row>
    <row r="664" ht="14.25" customHeight="1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  <c r="AD664" s="70"/>
      <c r="AE664" s="70"/>
      <c r="AF664" s="70"/>
      <c r="AG664" s="70"/>
      <c r="AH664" s="70"/>
      <c r="AI664" s="70"/>
      <c r="AJ664" s="70"/>
      <c r="AK664" s="70"/>
      <c r="AL664" s="70"/>
      <c r="AM664" s="70"/>
      <c r="AN664" s="70"/>
      <c r="AO664" s="70"/>
      <c r="AP664" s="70"/>
      <c r="AQ664" s="70"/>
      <c r="AR664" s="70"/>
      <c r="AS664" s="70"/>
      <c r="AT664" s="70"/>
      <c r="AU664" s="70"/>
      <c r="AV664" s="70"/>
      <c r="AW664" s="70"/>
      <c r="AX664" s="70"/>
      <c r="AY664" s="70"/>
      <c r="AZ664" s="70"/>
      <c r="BA664" s="70"/>
      <c r="BB664" s="70"/>
    </row>
    <row r="665" ht="14.25" customHeight="1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  <c r="AD665" s="70"/>
      <c r="AE665" s="70"/>
      <c r="AF665" s="70"/>
      <c r="AG665" s="70"/>
      <c r="AH665" s="70"/>
      <c r="AI665" s="70"/>
      <c r="AJ665" s="70"/>
      <c r="AK665" s="70"/>
      <c r="AL665" s="70"/>
      <c r="AM665" s="70"/>
      <c r="AN665" s="70"/>
      <c r="AO665" s="70"/>
      <c r="AP665" s="70"/>
      <c r="AQ665" s="70"/>
      <c r="AR665" s="70"/>
      <c r="AS665" s="70"/>
      <c r="AT665" s="70"/>
      <c r="AU665" s="70"/>
      <c r="AV665" s="70"/>
      <c r="AW665" s="70"/>
      <c r="AX665" s="70"/>
      <c r="AY665" s="70"/>
      <c r="AZ665" s="70"/>
      <c r="BA665" s="70"/>
      <c r="BB665" s="70"/>
    </row>
    <row r="666" ht="14.25" customHeight="1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  <c r="AD666" s="70"/>
      <c r="AE666" s="70"/>
      <c r="AF666" s="70"/>
      <c r="AG666" s="70"/>
      <c r="AH666" s="70"/>
      <c r="AI666" s="70"/>
      <c r="AJ666" s="70"/>
      <c r="AK666" s="70"/>
      <c r="AL666" s="70"/>
      <c r="AM666" s="70"/>
      <c r="AN666" s="70"/>
      <c r="AO666" s="70"/>
      <c r="AP666" s="70"/>
      <c r="AQ666" s="70"/>
      <c r="AR666" s="70"/>
      <c r="AS666" s="70"/>
      <c r="AT666" s="70"/>
      <c r="AU666" s="70"/>
      <c r="AV666" s="70"/>
      <c r="AW666" s="70"/>
      <c r="AX666" s="70"/>
      <c r="AY666" s="70"/>
      <c r="AZ666" s="70"/>
      <c r="BA666" s="70"/>
      <c r="BB666" s="70"/>
    </row>
    <row r="667" ht="14.25" customHeight="1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  <c r="AD667" s="70"/>
      <c r="AE667" s="70"/>
      <c r="AF667" s="70"/>
      <c r="AG667" s="70"/>
      <c r="AH667" s="70"/>
      <c r="AI667" s="70"/>
      <c r="AJ667" s="70"/>
      <c r="AK667" s="70"/>
      <c r="AL667" s="70"/>
      <c r="AM667" s="70"/>
      <c r="AN667" s="70"/>
      <c r="AO667" s="70"/>
      <c r="AP667" s="70"/>
      <c r="AQ667" s="70"/>
      <c r="AR667" s="70"/>
      <c r="AS667" s="70"/>
      <c r="AT667" s="70"/>
      <c r="AU667" s="70"/>
      <c r="AV667" s="70"/>
      <c r="AW667" s="70"/>
      <c r="AX667" s="70"/>
      <c r="AY667" s="70"/>
      <c r="AZ667" s="70"/>
      <c r="BA667" s="70"/>
      <c r="BB667" s="70"/>
    </row>
    <row r="668" ht="14.25" customHeight="1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  <c r="AD668" s="70"/>
      <c r="AE668" s="70"/>
      <c r="AF668" s="70"/>
      <c r="AG668" s="70"/>
      <c r="AH668" s="70"/>
      <c r="AI668" s="70"/>
      <c r="AJ668" s="70"/>
      <c r="AK668" s="70"/>
      <c r="AL668" s="70"/>
      <c r="AM668" s="70"/>
      <c r="AN668" s="70"/>
      <c r="AO668" s="70"/>
      <c r="AP668" s="70"/>
      <c r="AQ668" s="70"/>
      <c r="AR668" s="70"/>
      <c r="AS668" s="70"/>
      <c r="AT668" s="70"/>
      <c r="AU668" s="70"/>
      <c r="AV668" s="70"/>
      <c r="AW668" s="70"/>
      <c r="AX668" s="70"/>
      <c r="AY668" s="70"/>
      <c r="AZ668" s="70"/>
      <c r="BA668" s="70"/>
      <c r="BB668" s="70"/>
    </row>
    <row r="669" ht="14.25" customHeight="1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  <c r="AD669" s="70"/>
      <c r="AE669" s="70"/>
      <c r="AF669" s="70"/>
      <c r="AG669" s="70"/>
      <c r="AH669" s="70"/>
      <c r="AI669" s="70"/>
      <c r="AJ669" s="70"/>
      <c r="AK669" s="70"/>
      <c r="AL669" s="70"/>
      <c r="AM669" s="70"/>
      <c r="AN669" s="70"/>
      <c r="AO669" s="70"/>
      <c r="AP669" s="70"/>
      <c r="AQ669" s="70"/>
      <c r="AR669" s="70"/>
      <c r="AS669" s="70"/>
      <c r="AT669" s="70"/>
      <c r="AU669" s="70"/>
      <c r="AV669" s="70"/>
      <c r="AW669" s="70"/>
      <c r="AX669" s="70"/>
      <c r="AY669" s="70"/>
      <c r="AZ669" s="70"/>
      <c r="BA669" s="70"/>
      <c r="BB669" s="70"/>
    </row>
    <row r="670" ht="14.25" customHeight="1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  <c r="AD670" s="70"/>
      <c r="AE670" s="70"/>
      <c r="AF670" s="70"/>
      <c r="AG670" s="70"/>
      <c r="AH670" s="70"/>
      <c r="AI670" s="70"/>
      <c r="AJ670" s="70"/>
      <c r="AK670" s="70"/>
      <c r="AL670" s="70"/>
      <c r="AM670" s="70"/>
      <c r="AN670" s="70"/>
      <c r="AO670" s="70"/>
      <c r="AP670" s="70"/>
      <c r="AQ670" s="70"/>
      <c r="AR670" s="70"/>
      <c r="AS670" s="70"/>
      <c r="AT670" s="70"/>
      <c r="AU670" s="70"/>
      <c r="AV670" s="70"/>
      <c r="AW670" s="70"/>
      <c r="AX670" s="70"/>
      <c r="AY670" s="70"/>
      <c r="AZ670" s="70"/>
      <c r="BA670" s="70"/>
      <c r="BB670" s="70"/>
    </row>
    <row r="671" ht="14.25" customHeight="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  <c r="AD671" s="70"/>
      <c r="AE671" s="70"/>
      <c r="AF671" s="70"/>
      <c r="AG671" s="70"/>
      <c r="AH671" s="70"/>
      <c r="AI671" s="70"/>
      <c r="AJ671" s="70"/>
      <c r="AK671" s="70"/>
      <c r="AL671" s="70"/>
      <c r="AM671" s="70"/>
      <c r="AN671" s="70"/>
      <c r="AO671" s="70"/>
      <c r="AP671" s="70"/>
      <c r="AQ671" s="70"/>
      <c r="AR671" s="70"/>
      <c r="AS671" s="70"/>
      <c r="AT671" s="70"/>
      <c r="AU671" s="70"/>
      <c r="AV671" s="70"/>
      <c r="AW671" s="70"/>
      <c r="AX671" s="70"/>
      <c r="AY671" s="70"/>
      <c r="AZ671" s="70"/>
      <c r="BA671" s="70"/>
      <c r="BB671" s="70"/>
    </row>
    <row r="672" ht="14.25" customHeight="1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  <c r="AJ672" s="70"/>
      <c r="AK672" s="70"/>
      <c r="AL672" s="70"/>
      <c r="AM672" s="70"/>
      <c r="AN672" s="70"/>
      <c r="AO672" s="70"/>
      <c r="AP672" s="70"/>
      <c r="AQ672" s="70"/>
      <c r="AR672" s="70"/>
      <c r="AS672" s="70"/>
      <c r="AT672" s="70"/>
      <c r="AU672" s="70"/>
      <c r="AV672" s="70"/>
      <c r="AW672" s="70"/>
      <c r="AX672" s="70"/>
      <c r="AY672" s="70"/>
      <c r="AZ672" s="70"/>
      <c r="BA672" s="70"/>
      <c r="BB672" s="70"/>
    </row>
    <row r="673" ht="14.25" customHeight="1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  <c r="AD673" s="70"/>
      <c r="AE673" s="70"/>
      <c r="AF673" s="70"/>
      <c r="AG673" s="70"/>
      <c r="AH673" s="70"/>
      <c r="AI673" s="70"/>
      <c r="AJ673" s="70"/>
      <c r="AK673" s="70"/>
      <c r="AL673" s="70"/>
      <c r="AM673" s="70"/>
      <c r="AN673" s="70"/>
      <c r="AO673" s="70"/>
      <c r="AP673" s="70"/>
      <c r="AQ673" s="70"/>
      <c r="AR673" s="70"/>
      <c r="AS673" s="70"/>
      <c r="AT673" s="70"/>
      <c r="AU673" s="70"/>
      <c r="AV673" s="70"/>
      <c r="AW673" s="70"/>
      <c r="AX673" s="70"/>
      <c r="AY673" s="70"/>
      <c r="AZ673" s="70"/>
      <c r="BA673" s="70"/>
      <c r="BB673" s="70"/>
    </row>
    <row r="674" ht="14.25" customHeight="1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  <c r="AD674" s="70"/>
      <c r="AE674" s="70"/>
      <c r="AF674" s="70"/>
      <c r="AG674" s="70"/>
      <c r="AH674" s="70"/>
      <c r="AI674" s="70"/>
      <c r="AJ674" s="70"/>
      <c r="AK674" s="70"/>
      <c r="AL674" s="70"/>
      <c r="AM674" s="70"/>
      <c r="AN674" s="70"/>
      <c r="AO674" s="70"/>
      <c r="AP674" s="70"/>
      <c r="AQ674" s="70"/>
      <c r="AR674" s="70"/>
      <c r="AS674" s="70"/>
      <c r="AT674" s="70"/>
      <c r="AU674" s="70"/>
      <c r="AV674" s="70"/>
      <c r="AW674" s="70"/>
      <c r="AX674" s="70"/>
      <c r="AY674" s="70"/>
      <c r="AZ674" s="70"/>
      <c r="BA674" s="70"/>
      <c r="BB674" s="70"/>
    </row>
    <row r="675" ht="14.25" customHeight="1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  <c r="AD675" s="70"/>
      <c r="AE675" s="70"/>
      <c r="AF675" s="70"/>
      <c r="AG675" s="70"/>
      <c r="AH675" s="70"/>
      <c r="AI675" s="70"/>
      <c r="AJ675" s="70"/>
      <c r="AK675" s="70"/>
      <c r="AL675" s="70"/>
      <c r="AM675" s="70"/>
      <c r="AN675" s="70"/>
      <c r="AO675" s="70"/>
      <c r="AP675" s="70"/>
      <c r="AQ675" s="70"/>
      <c r="AR675" s="70"/>
      <c r="AS675" s="70"/>
      <c r="AT675" s="70"/>
      <c r="AU675" s="70"/>
      <c r="AV675" s="70"/>
      <c r="AW675" s="70"/>
      <c r="AX675" s="70"/>
      <c r="AY675" s="70"/>
      <c r="AZ675" s="70"/>
      <c r="BA675" s="70"/>
      <c r="BB675" s="70"/>
    </row>
    <row r="676" ht="14.25" customHeight="1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  <c r="AD676" s="70"/>
      <c r="AE676" s="70"/>
      <c r="AF676" s="70"/>
      <c r="AG676" s="70"/>
      <c r="AH676" s="70"/>
      <c r="AI676" s="70"/>
      <c r="AJ676" s="70"/>
      <c r="AK676" s="70"/>
      <c r="AL676" s="70"/>
      <c r="AM676" s="70"/>
      <c r="AN676" s="70"/>
      <c r="AO676" s="70"/>
      <c r="AP676" s="70"/>
      <c r="AQ676" s="70"/>
      <c r="AR676" s="70"/>
      <c r="AS676" s="70"/>
      <c r="AT676" s="70"/>
      <c r="AU676" s="70"/>
      <c r="AV676" s="70"/>
      <c r="AW676" s="70"/>
      <c r="AX676" s="70"/>
      <c r="AY676" s="70"/>
      <c r="AZ676" s="70"/>
      <c r="BA676" s="70"/>
      <c r="BB676" s="70"/>
    </row>
    <row r="677" ht="14.25" customHeight="1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  <c r="AD677" s="70"/>
      <c r="AE677" s="70"/>
      <c r="AF677" s="70"/>
      <c r="AG677" s="70"/>
      <c r="AH677" s="70"/>
      <c r="AI677" s="70"/>
      <c r="AJ677" s="70"/>
      <c r="AK677" s="70"/>
      <c r="AL677" s="70"/>
      <c r="AM677" s="70"/>
      <c r="AN677" s="70"/>
      <c r="AO677" s="70"/>
      <c r="AP677" s="70"/>
      <c r="AQ677" s="70"/>
      <c r="AR677" s="70"/>
      <c r="AS677" s="70"/>
      <c r="AT677" s="70"/>
      <c r="AU677" s="70"/>
      <c r="AV677" s="70"/>
      <c r="AW677" s="70"/>
      <c r="AX677" s="70"/>
      <c r="AY677" s="70"/>
      <c r="AZ677" s="70"/>
      <c r="BA677" s="70"/>
      <c r="BB677" s="70"/>
    </row>
    <row r="678" ht="14.25" customHeight="1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  <c r="AD678" s="70"/>
      <c r="AE678" s="70"/>
      <c r="AF678" s="70"/>
      <c r="AG678" s="70"/>
      <c r="AH678" s="70"/>
      <c r="AI678" s="70"/>
      <c r="AJ678" s="70"/>
      <c r="AK678" s="70"/>
      <c r="AL678" s="70"/>
      <c r="AM678" s="70"/>
      <c r="AN678" s="70"/>
      <c r="AO678" s="70"/>
      <c r="AP678" s="70"/>
      <c r="AQ678" s="70"/>
      <c r="AR678" s="70"/>
      <c r="AS678" s="70"/>
      <c r="AT678" s="70"/>
      <c r="AU678" s="70"/>
      <c r="AV678" s="70"/>
      <c r="AW678" s="70"/>
      <c r="AX678" s="70"/>
      <c r="AY678" s="70"/>
      <c r="AZ678" s="70"/>
      <c r="BA678" s="70"/>
      <c r="BB678" s="70"/>
    </row>
    <row r="679" ht="14.25" customHeight="1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  <c r="AD679" s="70"/>
      <c r="AE679" s="70"/>
      <c r="AF679" s="70"/>
      <c r="AG679" s="70"/>
      <c r="AH679" s="70"/>
      <c r="AI679" s="70"/>
      <c r="AJ679" s="70"/>
      <c r="AK679" s="70"/>
      <c r="AL679" s="70"/>
      <c r="AM679" s="70"/>
      <c r="AN679" s="70"/>
      <c r="AO679" s="70"/>
      <c r="AP679" s="70"/>
      <c r="AQ679" s="70"/>
      <c r="AR679" s="70"/>
      <c r="AS679" s="70"/>
      <c r="AT679" s="70"/>
      <c r="AU679" s="70"/>
      <c r="AV679" s="70"/>
      <c r="AW679" s="70"/>
      <c r="AX679" s="70"/>
      <c r="AY679" s="70"/>
      <c r="AZ679" s="70"/>
      <c r="BA679" s="70"/>
      <c r="BB679" s="70"/>
    </row>
    <row r="680" ht="14.25" customHeight="1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  <c r="AD680" s="70"/>
      <c r="AE680" s="70"/>
      <c r="AF680" s="70"/>
      <c r="AG680" s="70"/>
      <c r="AH680" s="70"/>
      <c r="AI680" s="70"/>
      <c r="AJ680" s="70"/>
      <c r="AK680" s="70"/>
      <c r="AL680" s="70"/>
      <c r="AM680" s="70"/>
      <c r="AN680" s="70"/>
      <c r="AO680" s="70"/>
      <c r="AP680" s="70"/>
      <c r="AQ680" s="70"/>
      <c r="AR680" s="70"/>
      <c r="AS680" s="70"/>
      <c r="AT680" s="70"/>
      <c r="AU680" s="70"/>
      <c r="AV680" s="70"/>
      <c r="AW680" s="70"/>
      <c r="AX680" s="70"/>
      <c r="AY680" s="70"/>
      <c r="AZ680" s="70"/>
      <c r="BA680" s="70"/>
      <c r="BB680" s="70"/>
    </row>
    <row r="681" ht="14.25" customHeight="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  <c r="AD681" s="70"/>
      <c r="AE681" s="70"/>
      <c r="AF681" s="70"/>
      <c r="AG681" s="70"/>
      <c r="AH681" s="70"/>
      <c r="AI681" s="70"/>
      <c r="AJ681" s="70"/>
      <c r="AK681" s="70"/>
      <c r="AL681" s="70"/>
      <c r="AM681" s="70"/>
      <c r="AN681" s="70"/>
      <c r="AO681" s="70"/>
      <c r="AP681" s="70"/>
      <c r="AQ681" s="70"/>
      <c r="AR681" s="70"/>
      <c r="AS681" s="70"/>
      <c r="AT681" s="70"/>
      <c r="AU681" s="70"/>
      <c r="AV681" s="70"/>
      <c r="AW681" s="70"/>
      <c r="AX681" s="70"/>
      <c r="AY681" s="70"/>
      <c r="AZ681" s="70"/>
      <c r="BA681" s="70"/>
      <c r="BB681" s="70"/>
    </row>
    <row r="682" ht="14.25" customHeight="1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  <c r="AD682" s="70"/>
      <c r="AE682" s="70"/>
      <c r="AF682" s="70"/>
      <c r="AG682" s="70"/>
      <c r="AH682" s="70"/>
      <c r="AI682" s="70"/>
      <c r="AJ682" s="70"/>
      <c r="AK682" s="70"/>
      <c r="AL682" s="70"/>
      <c r="AM682" s="70"/>
      <c r="AN682" s="70"/>
      <c r="AO682" s="70"/>
      <c r="AP682" s="70"/>
      <c r="AQ682" s="70"/>
      <c r="AR682" s="70"/>
      <c r="AS682" s="70"/>
      <c r="AT682" s="70"/>
      <c r="AU682" s="70"/>
      <c r="AV682" s="70"/>
      <c r="AW682" s="70"/>
      <c r="AX682" s="70"/>
      <c r="AY682" s="70"/>
      <c r="AZ682" s="70"/>
      <c r="BA682" s="70"/>
      <c r="BB682" s="70"/>
    </row>
    <row r="683" ht="14.25" customHeight="1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70"/>
      <c r="AH683" s="70"/>
      <c r="AI683" s="70"/>
      <c r="AJ683" s="70"/>
      <c r="AK683" s="70"/>
      <c r="AL683" s="70"/>
      <c r="AM683" s="70"/>
      <c r="AN683" s="70"/>
      <c r="AO683" s="70"/>
      <c r="AP683" s="70"/>
      <c r="AQ683" s="70"/>
      <c r="AR683" s="70"/>
      <c r="AS683" s="70"/>
      <c r="AT683" s="70"/>
      <c r="AU683" s="70"/>
      <c r="AV683" s="70"/>
      <c r="AW683" s="70"/>
      <c r="AX683" s="70"/>
      <c r="AY683" s="70"/>
      <c r="AZ683" s="70"/>
      <c r="BA683" s="70"/>
      <c r="BB683" s="70"/>
    </row>
    <row r="684" ht="14.25" customHeight="1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  <c r="AG684" s="70"/>
      <c r="AH684" s="70"/>
      <c r="AI684" s="70"/>
      <c r="AJ684" s="70"/>
      <c r="AK684" s="70"/>
      <c r="AL684" s="70"/>
      <c r="AM684" s="70"/>
      <c r="AN684" s="70"/>
      <c r="AO684" s="70"/>
      <c r="AP684" s="70"/>
      <c r="AQ684" s="70"/>
      <c r="AR684" s="70"/>
      <c r="AS684" s="70"/>
      <c r="AT684" s="70"/>
      <c r="AU684" s="70"/>
      <c r="AV684" s="70"/>
      <c r="AW684" s="70"/>
      <c r="AX684" s="70"/>
      <c r="AY684" s="70"/>
      <c r="AZ684" s="70"/>
      <c r="BA684" s="70"/>
      <c r="BB684" s="70"/>
    </row>
    <row r="685" ht="14.25" customHeight="1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  <c r="AH685" s="70"/>
      <c r="AI685" s="70"/>
      <c r="AJ685" s="70"/>
      <c r="AK685" s="70"/>
      <c r="AL685" s="70"/>
      <c r="AM685" s="70"/>
      <c r="AN685" s="70"/>
      <c r="AO685" s="70"/>
      <c r="AP685" s="70"/>
      <c r="AQ685" s="70"/>
      <c r="AR685" s="70"/>
      <c r="AS685" s="70"/>
      <c r="AT685" s="70"/>
      <c r="AU685" s="70"/>
      <c r="AV685" s="70"/>
      <c r="AW685" s="70"/>
      <c r="AX685" s="70"/>
      <c r="AY685" s="70"/>
      <c r="AZ685" s="70"/>
      <c r="BA685" s="70"/>
      <c r="BB685" s="70"/>
    </row>
    <row r="686" ht="14.25" customHeight="1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  <c r="AD686" s="70"/>
      <c r="AE686" s="70"/>
      <c r="AF686" s="70"/>
      <c r="AG686" s="70"/>
      <c r="AH686" s="70"/>
      <c r="AI686" s="70"/>
      <c r="AJ686" s="70"/>
      <c r="AK686" s="70"/>
      <c r="AL686" s="70"/>
      <c r="AM686" s="70"/>
      <c r="AN686" s="70"/>
      <c r="AO686" s="70"/>
      <c r="AP686" s="70"/>
      <c r="AQ686" s="70"/>
      <c r="AR686" s="70"/>
      <c r="AS686" s="70"/>
      <c r="AT686" s="70"/>
      <c r="AU686" s="70"/>
      <c r="AV686" s="70"/>
      <c r="AW686" s="70"/>
      <c r="AX686" s="70"/>
      <c r="AY686" s="70"/>
      <c r="AZ686" s="70"/>
      <c r="BA686" s="70"/>
      <c r="BB686" s="70"/>
    </row>
    <row r="687" ht="14.25" customHeight="1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  <c r="AD687" s="70"/>
      <c r="AE687" s="70"/>
      <c r="AF687" s="70"/>
      <c r="AG687" s="70"/>
      <c r="AH687" s="70"/>
      <c r="AI687" s="70"/>
      <c r="AJ687" s="70"/>
      <c r="AK687" s="70"/>
      <c r="AL687" s="70"/>
      <c r="AM687" s="70"/>
      <c r="AN687" s="70"/>
      <c r="AO687" s="70"/>
      <c r="AP687" s="70"/>
      <c r="AQ687" s="70"/>
      <c r="AR687" s="70"/>
      <c r="AS687" s="70"/>
      <c r="AT687" s="70"/>
      <c r="AU687" s="70"/>
      <c r="AV687" s="70"/>
      <c r="AW687" s="70"/>
      <c r="AX687" s="70"/>
      <c r="AY687" s="70"/>
      <c r="AZ687" s="70"/>
      <c r="BA687" s="70"/>
      <c r="BB687" s="70"/>
    </row>
    <row r="688" ht="14.25" customHeight="1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  <c r="AD688" s="70"/>
      <c r="AE688" s="70"/>
      <c r="AF688" s="70"/>
      <c r="AG688" s="70"/>
      <c r="AH688" s="70"/>
      <c r="AI688" s="70"/>
      <c r="AJ688" s="70"/>
      <c r="AK688" s="70"/>
      <c r="AL688" s="70"/>
      <c r="AM688" s="70"/>
      <c r="AN688" s="70"/>
      <c r="AO688" s="70"/>
      <c r="AP688" s="70"/>
      <c r="AQ688" s="70"/>
      <c r="AR688" s="70"/>
      <c r="AS688" s="70"/>
      <c r="AT688" s="70"/>
      <c r="AU688" s="70"/>
      <c r="AV688" s="70"/>
      <c r="AW688" s="70"/>
      <c r="AX688" s="70"/>
      <c r="AY688" s="70"/>
      <c r="AZ688" s="70"/>
      <c r="BA688" s="70"/>
      <c r="BB688" s="70"/>
    </row>
    <row r="689" ht="14.25" customHeight="1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  <c r="AD689" s="70"/>
      <c r="AE689" s="70"/>
      <c r="AF689" s="70"/>
      <c r="AG689" s="70"/>
      <c r="AH689" s="70"/>
      <c r="AI689" s="70"/>
      <c r="AJ689" s="70"/>
      <c r="AK689" s="70"/>
      <c r="AL689" s="70"/>
      <c r="AM689" s="70"/>
      <c r="AN689" s="70"/>
      <c r="AO689" s="70"/>
      <c r="AP689" s="70"/>
      <c r="AQ689" s="70"/>
      <c r="AR689" s="70"/>
      <c r="AS689" s="70"/>
      <c r="AT689" s="70"/>
      <c r="AU689" s="70"/>
      <c r="AV689" s="70"/>
      <c r="AW689" s="70"/>
      <c r="AX689" s="70"/>
      <c r="AY689" s="70"/>
      <c r="AZ689" s="70"/>
      <c r="BA689" s="70"/>
      <c r="BB689" s="70"/>
    </row>
    <row r="690" ht="14.25" customHeight="1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  <c r="AD690" s="70"/>
      <c r="AE690" s="70"/>
      <c r="AF690" s="70"/>
      <c r="AG690" s="70"/>
      <c r="AH690" s="70"/>
      <c r="AI690" s="70"/>
      <c r="AJ690" s="70"/>
      <c r="AK690" s="70"/>
      <c r="AL690" s="70"/>
      <c r="AM690" s="70"/>
      <c r="AN690" s="70"/>
      <c r="AO690" s="70"/>
      <c r="AP690" s="70"/>
      <c r="AQ690" s="70"/>
      <c r="AR690" s="70"/>
      <c r="AS690" s="70"/>
      <c r="AT690" s="70"/>
      <c r="AU690" s="70"/>
      <c r="AV690" s="70"/>
      <c r="AW690" s="70"/>
      <c r="AX690" s="70"/>
      <c r="AY690" s="70"/>
      <c r="AZ690" s="70"/>
      <c r="BA690" s="70"/>
      <c r="BB690" s="70"/>
    </row>
    <row r="691" ht="14.25" customHeight="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  <c r="AD691" s="70"/>
      <c r="AE691" s="70"/>
      <c r="AF691" s="70"/>
      <c r="AG691" s="70"/>
      <c r="AH691" s="70"/>
      <c r="AI691" s="70"/>
      <c r="AJ691" s="70"/>
      <c r="AK691" s="70"/>
      <c r="AL691" s="70"/>
      <c r="AM691" s="70"/>
      <c r="AN691" s="70"/>
      <c r="AO691" s="70"/>
      <c r="AP691" s="70"/>
      <c r="AQ691" s="70"/>
      <c r="AR691" s="70"/>
      <c r="AS691" s="70"/>
      <c r="AT691" s="70"/>
      <c r="AU691" s="70"/>
      <c r="AV691" s="70"/>
      <c r="AW691" s="70"/>
      <c r="AX691" s="70"/>
      <c r="AY691" s="70"/>
      <c r="AZ691" s="70"/>
      <c r="BA691" s="70"/>
      <c r="BB691" s="70"/>
    </row>
    <row r="692" ht="14.25" customHeight="1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  <c r="AD692" s="70"/>
      <c r="AE692" s="70"/>
      <c r="AF692" s="70"/>
      <c r="AG692" s="70"/>
      <c r="AH692" s="70"/>
      <c r="AI692" s="70"/>
      <c r="AJ692" s="70"/>
      <c r="AK692" s="70"/>
      <c r="AL692" s="70"/>
      <c r="AM692" s="70"/>
      <c r="AN692" s="70"/>
      <c r="AO692" s="70"/>
      <c r="AP692" s="70"/>
      <c r="AQ692" s="70"/>
      <c r="AR692" s="70"/>
      <c r="AS692" s="70"/>
      <c r="AT692" s="70"/>
      <c r="AU692" s="70"/>
      <c r="AV692" s="70"/>
      <c r="AW692" s="70"/>
      <c r="AX692" s="70"/>
      <c r="AY692" s="70"/>
      <c r="AZ692" s="70"/>
      <c r="BA692" s="70"/>
      <c r="BB692" s="70"/>
    </row>
    <row r="693" ht="14.25" customHeight="1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  <c r="AD693" s="70"/>
      <c r="AE693" s="70"/>
      <c r="AF693" s="70"/>
      <c r="AG693" s="70"/>
      <c r="AH693" s="70"/>
      <c r="AI693" s="70"/>
      <c r="AJ693" s="70"/>
      <c r="AK693" s="70"/>
      <c r="AL693" s="70"/>
      <c r="AM693" s="70"/>
      <c r="AN693" s="70"/>
      <c r="AO693" s="70"/>
      <c r="AP693" s="70"/>
      <c r="AQ693" s="70"/>
      <c r="AR693" s="70"/>
      <c r="AS693" s="70"/>
      <c r="AT693" s="70"/>
      <c r="AU693" s="70"/>
      <c r="AV693" s="70"/>
      <c r="AW693" s="70"/>
      <c r="AX693" s="70"/>
      <c r="AY693" s="70"/>
      <c r="AZ693" s="70"/>
      <c r="BA693" s="70"/>
      <c r="BB693" s="70"/>
    </row>
    <row r="694" ht="14.25" customHeight="1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  <c r="AD694" s="70"/>
      <c r="AE694" s="70"/>
      <c r="AF694" s="70"/>
      <c r="AG694" s="70"/>
      <c r="AH694" s="70"/>
      <c r="AI694" s="70"/>
      <c r="AJ694" s="70"/>
      <c r="AK694" s="70"/>
      <c r="AL694" s="70"/>
      <c r="AM694" s="70"/>
      <c r="AN694" s="70"/>
      <c r="AO694" s="70"/>
      <c r="AP694" s="70"/>
      <c r="AQ694" s="70"/>
      <c r="AR694" s="70"/>
      <c r="AS694" s="70"/>
      <c r="AT694" s="70"/>
      <c r="AU694" s="70"/>
      <c r="AV694" s="70"/>
      <c r="AW694" s="70"/>
      <c r="AX694" s="70"/>
      <c r="AY694" s="70"/>
      <c r="AZ694" s="70"/>
      <c r="BA694" s="70"/>
      <c r="BB694" s="70"/>
    </row>
    <row r="695" ht="14.25" customHeight="1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  <c r="AD695" s="70"/>
      <c r="AE695" s="70"/>
      <c r="AF695" s="70"/>
      <c r="AG695" s="70"/>
      <c r="AH695" s="70"/>
      <c r="AI695" s="70"/>
      <c r="AJ695" s="70"/>
      <c r="AK695" s="70"/>
      <c r="AL695" s="70"/>
      <c r="AM695" s="70"/>
      <c r="AN695" s="70"/>
      <c r="AO695" s="70"/>
      <c r="AP695" s="70"/>
      <c r="AQ695" s="70"/>
      <c r="AR695" s="70"/>
      <c r="AS695" s="70"/>
      <c r="AT695" s="70"/>
      <c r="AU695" s="70"/>
      <c r="AV695" s="70"/>
      <c r="AW695" s="70"/>
      <c r="AX695" s="70"/>
      <c r="AY695" s="70"/>
      <c r="AZ695" s="70"/>
      <c r="BA695" s="70"/>
      <c r="BB695" s="70"/>
    </row>
    <row r="696" ht="14.25" customHeight="1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  <c r="AD696" s="70"/>
      <c r="AE696" s="70"/>
      <c r="AF696" s="70"/>
      <c r="AG696" s="70"/>
      <c r="AH696" s="70"/>
      <c r="AI696" s="70"/>
      <c r="AJ696" s="70"/>
      <c r="AK696" s="70"/>
      <c r="AL696" s="70"/>
      <c r="AM696" s="70"/>
      <c r="AN696" s="70"/>
      <c r="AO696" s="70"/>
      <c r="AP696" s="70"/>
      <c r="AQ696" s="70"/>
      <c r="AR696" s="70"/>
      <c r="AS696" s="70"/>
      <c r="AT696" s="70"/>
      <c r="AU696" s="70"/>
      <c r="AV696" s="70"/>
      <c r="AW696" s="70"/>
      <c r="AX696" s="70"/>
      <c r="AY696" s="70"/>
      <c r="AZ696" s="70"/>
      <c r="BA696" s="70"/>
      <c r="BB696" s="70"/>
    </row>
    <row r="697" ht="14.25" customHeight="1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  <c r="AD697" s="70"/>
      <c r="AE697" s="70"/>
      <c r="AF697" s="70"/>
      <c r="AG697" s="70"/>
      <c r="AH697" s="70"/>
      <c r="AI697" s="70"/>
      <c r="AJ697" s="70"/>
      <c r="AK697" s="70"/>
      <c r="AL697" s="70"/>
      <c r="AM697" s="70"/>
      <c r="AN697" s="70"/>
      <c r="AO697" s="70"/>
      <c r="AP697" s="70"/>
      <c r="AQ697" s="70"/>
      <c r="AR697" s="70"/>
      <c r="AS697" s="70"/>
      <c r="AT697" s="70"/>
      <c r="AU697" s="70"/>
      <c r="AV697" s="70"/>
      <c r="AW697" s="70"/>
      <c r="AX697" s="70"/>
      <c r="AY697" s="70"/>
      <c r="AZ697" s="70"/>
      <c r="BA697" s="70"/>
      <c r="BB697" s="70"/>
    </row>
    <row r="698" ht="14.25" customHeight="1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  <c r="AD698" s="70"/>
      <c r="AE698" s="70"/>
      <c r="AF698" s="70"/>
      <c r="AG698" s="70"/>
      <c r="AH698" s="70"/>
      <c r="AI698" s="70"/>
      <c r="AJ698" s="70"/>
      <c r="AK698" s="70"/>
      <c r="AL698" s="70"/>
      <c r="AM698" s="70"/>
      <c r="AN698" s="70"/>
      <c r="AO698" s="70"/>
      <c r="AP698" s="70"/>
      <c r="AQ698" s="70"/>
      <c r="AR698" s="70"/>
      <c r="AS698" s="70"/>
      <c r="AT698" s="70"/>
      <c r="AU698" s="70"/>
      <c r="AV698" s="70"/>
      <c r="AW698" s="70"/>
      <c r="AX698" s="70"/>
      <c r="AY698" s="70"/>
      <c r="AZ698" s="70"/>
      <c r="BA698" s="70"/>
      <c r="BB698" s="70"/>
    </row>
    <row r="699" ht="14.25" customHeight="1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  <c r="AD699" s="70"/>
      <c r="AE699" s="70"/>
      <c r="AF699" s="70"/>
      <c r="AG699" s="70"/>
      <c r="AH699" s="70"/>
      <c r="AI699" s="70"/>
      <c r="AJ699" s="70"/>
      <c r="AK699" s="70"/>
      <c r="AL699" s="70"/>
      <c r="AM699" s="70"/>
      <c r="AN699" s="70"/>
      <c r="AO699" s="70"/>
      <c r="AP699" s="70"/>
      <c r="AQ699" s="70"/>
      <c r="AR699" s="70"/>
      <c r="AS699" s="70"/>
      <c r="AT699" s="70"/>
      <c r="AU699" s="70"/>
      <c r="AV699" s="70"/>
      <c r="AW699" s="70"/>
      <c r="AX699" s="70"/>
      <c r="AY699" s="70"/>
      <c r="AZ699" s="70"/>
      <c r="BA699" s="70"/>
      <c r="BB699" s="70"/>
    </row>
    <row r="700" ht="14.25" customHeight="1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  <c r="AD700" s="70"/>
      <c r="AE700" s="70"/>
      <c r="AF700" s="70"/>
      <c r="AG700" s="70"/>
      <c r="AH700" s="70"/>
      <c r="AI700" s="70"/>
      <c r="AJ700" s="70"/>
      <c r="AK700" s="70"/>
      <c r="AL700" s="70"/>
      <c r="AM700" s="70"/>
      <c r="AN700" s="70"/>
      <c r="AO700" s="70"/>
      <c r="AP700" s="70"/>
      <c r="AQ700" s="70"/>
      <c r="AR700" s="70"/>
      <c r="AS700" s="70"/>
      <c r="AT700" s="70"/>
      <c r="AU700" s="70"/>
      <c r="AV700" s="70"/>
      <c r="AW700" s="70"/>
      <c r="AX700" s="70"/>
      <c r="AY700" s="70"/>
      <c r="AZ700" s="70"/>
      <c r="BA700" s="70"/>
      <c r="BB700" s="70"/>
    </row>
    <row r="701" ht="14.25" customHeight="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  <c r="AD701" s="70"/>
      <c r="AE701" s="70"/>
      <c r="AF701" s="70"/>
      <c r="AG701" s="70"/>
      <c r="AH701" s="70"/>
      <c r="AI701" s="70"/>
      <c r="AJ701" s="70"/>
      <c r="AK701" s="70"/>
      <c r="AL701" s="70"/>
      <c r="AM701" s="70"/>
      <c r="AN701" s="70"/>
      <c r="AO701" s="70"/>
      <c r="AP701" s="70"/>
      <c r="AQ701" s="70"/>
      <c r="AR701" s="70"/>
      <c r="AS701" s="70"/>
      <c r="AT701" s="70"/>
      <c r="AU701" s="70"/>
      <c r="AV701" s="70"/>
      <c r="AW701" s="70"/>
      <c r="AX701" s="70"/>
      <c r="AY701" s="70"/>
      <c r="AZ701" s="70"/>
      <c r="BA701" s="70"/>
      <c r="BB701" s="70"/>
    </row>
    <row r="702" ht="14.25" customHeight="1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  <c r="AD702" s="70"/>
      <c r="AE702" s="70"/>
      <c r="AF702" s="70"/>
      <c r="AG702" s="70"/>
      <c r="AH702" s="70"/>
      <c r="AI702" s="70"/>
      <c r="AJ702" s="70"/>
      <c r="AK702" s="70"/>
      <c r="AL702" s="70"/>
      <c r="AM702" s="70"/>
      <c r="AN702" s="70"/>
      <c r="AO702" s="70"/>
      <c r="AP702" s="70"/>
      <c r="AQ702" s="70"/>
      <c r="AR702" s="70"/>
      <c r="AS702" s="70"/>
      <c r="AT702" s="70"/>
      <c r="AU702" s="70"/>
      <c r="AV702" s="70"/>
      <c r="AW702" s="70"/>
      <c r="AX702" s="70"/>
      <c r="AY702" s="70"/>
      <c r="AZ702" s="70"/>
      <c r="BA702" s="70"/>
      <c r="BB702" s="70"/>
    </row>
    <row r="703" ht="14.25" customHeight="1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  <c r="AD703" s="70"/>
      <c r="AE703" s="70"/>
      <c r="AF703" s="70"/>
      <c r="AG703" s="70"/>
      <c r="AH703" s="70"/>
      <c r="AI703" s="70"/>
      <c r="AJ703" s="70"/>
      <c r="AK703" s="70"/>
      <c r="AL703" s="70"/>
      <c r="AM703" s="70"/>
      <c r="AN703" s="70"/>
      <c r="AO703" s="70"/>
      <c r="AP703" s="70"/>
      <c r="AQ703" s="70"/>
      <c r="AR703" s="70"/>
      <c r="AS703" s="70"/>
      <c r="AT703" s="70"/>
      <c r="AU703" s="70"/>
      <c r="AV703" s="70"/>
      <c r="AW703" s="70"/>
      <c r="AX703" s="70"/>
      <c r="AY703" s="70"/>
      <c r="AZ703" s="70"/>
      <c r="BA703" s="70"/>
      <c r="BB703" s="70"/>
    </row>
    <row r="704" ht="14.25" customHeight="1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  <c r="AD704" s="70"/>
      <c r="AE704" s="70"/>
      <c r="AF704" s="70"/>
      <c r="AG704" s="70"/>
      <c r="AH704" s="70"/>
      <c r="AI704" s="70"/>
      <c r="AJ704" s="70"/>
      <c r="AK704" s="70"/>
      <c r="AL704" s="70"/>
      <c r="AM704" s="70"/>
      <c r="AN704" s="70"/>
      <c r="AO704" s="70"/>
      <c r="AP704" s="70"/>
      <c r="AQ704" s="70"/>
      <c r="AR704" s="70"/>
      <c r="AS704" s="70"/>
      <c r="AT704" s="70"/>
      <c r="AU704" s="70"/>
      <c r="AV704" s="70"/>
      <c r="AW704" s="70"/>
      <c r="AX704" s="70"/>
      <c r="AY704" s="70"/>
      <c r="AZ704" s="70"/>
      <c r="BA704" s="70"/>
      <c r="BB704" s="70"/>
    </row>
    <row r="705" ht="14.25" customHeight="1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  <c r="AD705" s="70"/>
      <c r="AE705" s="70"/>
      <c r="AF705" s="70"/>
      <c r="AG705" s="70"/>
      <c r="AH705" s="70"/>
      <c r="AI705" s="70"/>
      <c r="AJ705" s="70"/>
      <c r="AK705" s="70"/>
      <c r="AL705" s="70"/>
      <c r="AM705" s="70"/>
      <c r="AN705" s="70"/>
      <c r="AO705" s="70"/>
      <c r="AP705" s="70"/>
      <c r="AQ705" s="70"/>
      <c r="AR705" s="70"/>
      <c r="AS705" s="70"/>
      <c r="AT705" s="70"/>
      <c r="AU705" s="70"/>
      <c r="AV705" s="70"/>
      <c r="AW705" s="70"/>
      <c r="AX705" s="70"/>
      <c r="AY705" s="70"/>
      <c r="AZ705" s="70"/>
      <c r="BA705" s="70"/>
      <c r="BB705" s="70"/>
    </row>
    <row r="706" ht="14.25" customHeight="1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  <c r="AH706" s="70"/>
      <c r="AI706" s="70"/>
      <c r="AJ706" s="70"/>
      <c r="AK706" s="70"/>
      <c r="AL706" s="70"/>
      <c r="AM706" s="70"/>
      <c r="AN706" s="70"/>
      <c r="AO706" s="70"/>
      <c r="AP706" s="70"/>
      <c r="AQ706" s="70"/>
      <c r="AR706" s="70"/>
      <c r="AS706" s="70"/>
      <c r="AT706" s="70"/>
      <c r="AU706" s="70"/>
      <c r="AV706" s="70"/>
      <c r="AW706" s="70"/>
      <c r="AX706" s="70"/>
      <c r="AY706" s="70"/>
      <c r="AZ706" s="70"/>
      <c r="BA706" s="70"/>
      <c r="BB706" s="70"/>
    </row>
    <row r="707" ht="14.25" customHeight="1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  <c r="AD707" s="70"/>
      <c r="AE707" s="70"/>
      <c r="AF707" s="70"/>
      <c r="AG707" s="70"/>
      <c r="AH707" s="70"/>
      <c r="AI707" s="70"/>
      <c r="AJ707" s="70"/>
      <c r="AK707" s="70"/>
      <c r="AL707" s="70"/>
      <c r="AM707" s="70"/>
      <c r="AN707" s="70"/>
      <c r="AO707" s="70"/>
      <c r="AP707" s="70"/>
      <c r="AQ707" s="70"/>
      <c r="AR707" s="70"/>
      <c r="AS707" s="70"/>
      <c r="AT707" s="70"/>
      <c r="AU707" s="70"/>
      <c r="AV707" s="70"/>
      <c r="AW707" s="70"/>
      <c r="AX707" s="70"/>
      <c r="AY707" s="70"/>
      <c r="AZ707" s="70"/>
      <c r="BA707" s="70"/>
      <c r="BB707" s="70"/>
    </row>
    <row r="708" ht="14.25" customHeight="1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  <c r="AD708" s="70"/>
      <c r="AE708" s="70"/>
      <c r="AF708" s="70"/>
      <c r="AG708" s="70"/>
      <c r="AH708" s="70"/>
      <c r="AI708" s="70"/>
      <c r="AJ708" s="70"/>
      <c r="AK708" s="70"/>
      <c r="AL708" s="70"/>
      <c r="AM708" s="70"/>
      <c r="AN708" s="70"/>
      <c r="AO708" s="70"/>
      <c r="AP708" s="70"/>
      <c r="AQ708" s="70"/>
      <c r="AR708" s="70"/>
      <c r="AS708" s="70"/>
      <c r="AT708" s="70"/>
      <c r="AU708" s="70"/>
      <c r="AV708" s="70"/>
      <c r="AW708" s="70"/>
      <c r="AX708" s="70"/>
      <c r="AY708" s="70"/>
      <c r="AZ708" s="70"/>
      <c r="BA708" s="70"/>
      <c r="BB708" s="70"/>
    </row>
    <row r="709" ht="14.25" customHeight="1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  <c r="AD709" s="70"/>
      <c r="AE709" s="70"/>
      <c r="AF709" s="70"/>
      <c r="AG709" s="70"/>
      <c r="AH709" s="70"/>
      <c r="AI709" s="70"/>
      <c r="AJ709" s="70"/>
      <c r="AK709" s="70"/>
      <c r="AL709" s="70"/>
      <c r="AM709" s="70"/>
      <c r="AN709" s="70"/>
      <c r="AO709" s="70"/>
      <c r="AP709" s="70"/>
      <c r="AQ709" s="70"/>
      <c r="AR709" s="70"/>
      <c r="AS709" s="70"/>
      <c r="AT709" s="70"/>
      <c r="AU709" s="70"/>
      <c r="AV709" s="70"/>
      <c r="AW709" s="70"/>
      <c r="AX709" s="70"/>
      <c r="AY709" s="70"/>
      <c r="AZ709" s="70"/>
      <c r="BA709" s="70"/>
      <c r="BB709" s="70"/>
    </row>
    <row r="710" ht="14.25" customHeight="1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  <c r="AD710" s="70"/>
      <c r="AE710" s="70"/>
      <c r="AF710" s="70"/>
      <c r="AG710" s="70"/>
      <c r="AH710" s="70"/>
      <c r="AI710" s="70"/>
      <c r="AJ710" s="70"/>
      <c r="AK710" s="70"/>
      <c r="AL710" s="70"/>
      <c r="AM710" s="70"/>
      <c r="AN710" s="70"/>
      <c r="AO710" s="70"/>
      <c r="AP710" s="70"/>
      <c r="AQ710" s="70"/>
      <c r="AR710" s="70"/>
      <c r="AS710" s="70"/>
      <c r="AT710" s="70"/>
      <c r="AU710" s="70"/>
      <c r="AV710" s="70"/>
      <c r="AW710" s="70"/>
      <c r="AX710" s="70"/>
      <c r="AY710" s="70"/>
      <c r="AZ710" s="70"/>
      <c r="BA710" s="70"/>
      <c r="BB710" s="70"/>
    </row>
    <row r="711" ht="14.25" customHeight="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  <c r="AD711" s="70"/>
      <c r="AE711" s="70"/>
      <c r="AF711" s="70"/>
      <c r="AG711" s="70"/>
      <c r="AH711" s="70"/>
      <c r="AI711" s="70"/>
      <c r="AJ711" s="70"/>
      <c r="AK711" s="70"/>
      <c r="AL711" s="70"/>
      <c r="AM711" s="70"/>
      <c r="AN711" s="70"/>
      <c r="AO711" s="70"/>
      <c r="AP711" s="70"/>
      <c r="AQ711" s="70"/>
      <c r="AR711" s="70"/>
      <c r="AS711" s="70"/>
      <c r="AT711" s="70"/>
      <c r="AU711" s="70"/>
      <c r="AV711" s="70"/>
      <c r="AW711" s="70"/>
      <c r="AX711" s="70"/>
      <c r="AY711" s="70"/>
      <c r="AZ711" s="70"/>
      <c r="BA711" s="70"/>
      <c r="BB711" s="70"/>
    </row>
    <row r="712" ht="14.25" customHeight="1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  <c r="AD712" s="70"/>
      <c r="AE712" s="70"/>
      <c r="AF712" s="70"/>
      <c r="AG712" s="70"/>
      <c r="AH712" s="70"/>
      <c r="AI712" s="70"/>
      <c r="AJ712" s="70"/>
      <c r="AK712" s="70"/>
      <c r="AL712" s="70"/>
      <c r="AM712" s="70"/>
      <c r="AN712" s="70"/>
      <c r="AO712" s="70"/>
      <c r="AP712" s="70"/>
      <c r="AQ712" s="70"/>
      <c r="AR712" s="70"/>
      <c r="AS712" s="70"/>
      <c r="AT712" s="70"/>
      <c r="AU712" s="70"/>
      <c r="AV712" s="70"/>
      <c r="AW712" s="70"/>
      <c r="AX712" s="70"/>
      <c r="AY712" s="70"/>
      <c r="AZ712" s="70"/>
      <c r="BA712" s="70"/>
      <c r="BB712" s="70"/>
    </row>
    <row r="713" ht="14.25" customHeight="1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  <c r="AD713" s="70"/>
      <c r="AE713" s="70"/>
      <c r="AF713" s="70"/>
      <c r="AG713" s="70"/>
      <c r="AH713" s="70"/>
      <c r="AI713" s="70"/>
      <c r="AJ713" s="70"/>
      <c r="AK713" s="70"/>
      <c r="AL713" s="70"/>
      <c r="AM713" s="70"/>
      <c r="AN713" s="70"/>
      <c r="AO713" s="70"/>
      <c r="AP713" s="70"/>
      <c r="AQ713" s="70"/>
      <c r="AR713" s="70"/>
      <c r="AS713" s="70"/>
      <c r="AT713" s="70"/>
      <c r="AU713" s="70"/>
      <c r="AV713" s="70"/>
      <c r="AW713" s="70"/>
      <c r="AX713" s="70"/>
      <c r="AY713" s="70"/>
      <c r="AZ713" s="70"/>
      <c r="BA713" s="70"/>
      <c r="BB713" s="70"/>
    </row>
    <row r="714" ht="14.25" customHeight="1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  <c r="AD714" s="70"/>
      <c r="AE714" s="70"/>
      <c r="AF714" s="70"/>
      <c r="AG714" s="70"/>
      <c r="AH714" s="70"/>
      <c r="AI714" s="70"/>
      <c r="AJ714" s="70"/>
      <c r="AK714" s="70"/>
      <c r="AL714" s="70"/>
      <c r="AM714" s="70"/>
      <c r="AN714" s="70"/>
      <c r="AO714" s="70"/>
      <c r="AP714" s="70"/>
      <c r="AQ714" s="70"/>
      <c r="AR714" s="70"/>
      <c r="AS714" s="70"/>
      <c r="AT714" s="70"/>
      <c r="AU714" s="70"/>
      <c r="AV714" s="70"/>
      <c r="AW714" s="70"/>
      <c r="AX714" s="70"/>
      <c r="AY714" s="70"/>
      <c r="AZ714" s="70"/>
      <c r="BA714" s="70"/>
      <c r="BB714" s="70"/>
    </row>
    <row r="715" ht="14.25" customHeight="1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  <c r="AD715" s="70"/>
      <c r="AE715" s="70"/>
      <c r="AF715" s="70"/>
      <c r="AG715" s="70"/>
      <c r="AH715" s="70"/>
      <c r="AI715" s="70"/>
      <c r="AJ715" s="70"/>
      <c r="AK715" s="70"/>
      <c r="AL715" s="70"/>
      <c r="AM715" s="70"/>
      <c r="AN715" s="70"/>
      <c r="AO715" s="70"/>
      <c r="AP715" s="70"/>
      <c r="AQ715" s="70"/>
      <c r="AR715" s="70"/>
      <c r="AS715" s="70"/>
      <c r="AT715" s="70"/>
      <c r="AU715" s="70"/>
      <c r="AV715" s="70"/>
      <c r="AW715" s="70"/>
      <c r="AX715" s="70"/>
      <c r="AY715" s="70"/>
      <c r="AZ715" s="70"/>
      <c r="BA715" s="70"/>
      <c r="BB715" s="70"/>
    </row>
    <row r="716" ht="14.25" customHeight="1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  <c r="AD716" s="70"/>
      <c r="AE716" s="70"/>
      <c r="AF716" s="70"/>
      <c r="AG716" s="70"/>
      <c r="AH716" s="70"/>
      <c r="AI716" s="70"/>
      <c r="AJ716" s="70"/>
      <c r="AK716" s="70"/>
      <c r="AL716" s="70"/>
      <c r="AM716" s="70"/>
      <c r="AN716" s="70"/>
      <c r="AO716" s="70"/>
      <c r="AP716" s="70"/>
      <c r="AQ716" s="70"/>
      <c r="AR716" s="70"/>
      <c r="AS716" s="70"/>
      <c r="AT716" s="70"/>
      <c r="AU716" s="70"/>
      <c r="AV716" s="70"/>
      <c r="AW716" s="70"/>
      <c r="AX716" s="70"/>
      <c r="AY716" s="70"/>
      <c r="AZ716" s="70"/>
      <c r="BA716" s="70"/>
      <c r="BB716" s="70"/>
    </row>
    <row r="717" ht="14.25" customHeight="1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  <c r="AH717" s="70"/>
      <c r="AI717" s="70"/>
      <c r="AJ717" s="70"/>
      <c r="AK717" s="70"/>
      <c r="AL717" s="70"/>
      <c r="AM717" s="70"/>
      <c r="AN717" s="70"/>
      <c r="AO717" s="70"/>
      <c r="AP717" s="70"/>
      <c r="AQ717" s="70"/>
      <c r="AR717" s="70"/>
      <c r="AS717" s="70"/>
      <c r="AT717" s="70"/>
      <c r="AU717" s="70"/>
      <c r="AV717" s="70"/>
      <c r="AW717" s="70"/>
      <c r="AX717" s="70"/>
      <c r="AY717" s="70"/>
      <c r="AZ717" s="70"/>
      <c r="BA717" s="70"/>
      <c r="BB717" s="70"/>
    </row>
    <row r="718" ht="14.25" customHeight="1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  <c r="AD718" s="70"/>
      <c r="AE718" s="70"/>
      <c r="AF718" s="70"/>
      <c r="AG718" s="70"/>
      <c r="AH718" s="70"/>
      <c r="AI718" s="70"/>
      <c r="AJ718" s="70"/>
      <c r="AK718" s="70"/>
      <c r="AL718" s="70"/>
      <c r="AM718" s="70"/>
      <c r="AN718" s="70"/>
      <c r="AO718" s="70"/>
      <c r="AP718" s="70"/>
      <c r="AQ718" s="70"/>
      <c r="AR718" s="70"/>
      <c r="AS718" s="70"/>
      <c r="AT718" s="70"/>
      <c r="AU718" s="70"/>
      <c r="AV718" s="70"/>
      <c r="AW718" s="70"/>
      <c r="AX718" s="70"/>
      <c r="AY718" s="70"/>
      <c r="AZ718" s="70"/>
      <c r="BA718" s="70"/>
      <c r="BB718" s="70"/>
    </row>
    <row r="719" ht="14.25" customHeight="1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  <c r="AD719" s="70"/>
      <c r="AE719" s="70"/>
      <c r="AF719" s="70"/>
      <c r="AG719" s="70"/>
      <c r="AH719" s="70"/>
      <c r="AI719" s="70"/>
      <c r="AJ719" s="70"/>
      <c r="AK719" s="70"/>
      <c r="AL719" s="70"/>
      <c r="AM719" s="70"/>
      <c r="AN719" s="70"/>
      <c r="AO719" s="70"/>
      <c r="AP719" s="70"/>
      <c r="AQ719" s="70"/>
      <c r="AR719" s="70"/>
      <c r="AS719" s="70"/>
      <c r="AT719" s="70"/>
      <c r="AU719" s="70"/>
      <c r="AV719" s="70"/>
      <c r="AW719" s="70"/>
      <c r="AX719" s="70"/>
      <c r="AY719" s="70"/>
      <c r="AZ719" s="70"/>
      <c r="BA719" s="70"/>
      <c r="BB719" s="70"/>
    </row>
    <row r="720" ht="14.25" customHeight="1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  <c r="AD720" s="70"/>
      <c r="AE720" s="70"/>
      <c r="AF720" s="70"/>
      <c r="AG720" s="70"/>
      <c r="AH720" s="70"/>
      <c r="AI720" s="70"/>
      <c r="AJ720" s="70"/>
      <c r="AK720" s="70"/>
      <c r="AL720" s="70"/>
      <c r="AM720" s="70"/>
      <c r="AN720" s="70"/>
      <c r="AO720" s="70"/>
      <c r="AP720" s="70"/>
      <c r="AQ720" s="70"/>
      <c r="AR720" s="70"/>
      <c r="AS720" s="70"/>
      <c r="AT720" s="70"/>
      <c r="AU720" s="70"/>
      <c r="AV720" s="70"/>
      <c r="AW720" s="70"/>
      <c r="AX720" s="70"/>
      <c r="AY720" s="70"/>
      <c r="AZ720" s="70"/>
      <c r="BA720" s="70"/>
      <c r="BB720" s="70"/>
    </row>
    <row r="721" ht="14.25" customHeight="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  <c r="AD721" s="70"/>
      <c r="AE721" s="70"/>
      <c r="AF721" s="70"/>
      <c r="AG721" s="70"/>
      <c r="AH721" s="70"/>
      <c r="AI721" s="70"/>
      <c r="AJ721" s="70"/>
      <c r="AK721" s="70"/>
      <c r="AL721" s="70"/>
      <c r="AM721" s="70"/>
      <c r="AN721" s="70"/>
      <c r="AO721" s="70"/>
      <c r="AP721" s="70"/>
      <c r="AQ721" s="70"/>
      <c r="AR721" s="70"/>
      <c r="AS721" s="70"/>
      <c r="AT721" s="70"/>
      <c r="AU721" s="70"/>
      <c r="AV721" s="70"/>
      <c r="AW721" s="70"/>
      <c r="AX721" s="70"/>
      <c r="AY721" s="70"/>
      <c r="AZ721" s="70"/>
      <c r="BA721" s="70"/>
      <c r="BB721" s="70"/>
    </row>
    <row r="722" ht="14.25" customHeight="1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  <c r="AD722" s="70"/>
      <c r="AE722" s="70"/>
      <c r="AF722" s="70"/>
      <c r="AG722" s="70"/>
      <c r="AH722" s="70"/>
      <c r="AI722" s="70"/>
      <c r="AJ722" s="70"/>
      <c r="AK722" s="70"/>
      <c r="AL722" s="70"/>
      <c r="AM722" s="70"/>
      <c r="AN722" s="70"/>
      <c r="AO722" s="70"/>
      <c r="AP722" s="70"/>
      <c r="AQ722" s="70"/>
      <c r="AR722" s="70"/>
      <c r="AS722" s="70"/>
      <c r="AT722" s="70"/>
      <c r="AU722" s="70"/>
      <c r="AV722" s="70"/>
      <c r="AW722" s="70"/>
      <c r="AX722" s="70"/>
      <c r="AY722" s="70"/>
      <c r="AZ722" s="70"/>
      <c r="BA722" s="70"/>
      <c r="BB722" s="70"/>
    </row>
    <row r="723" ht="14.25" customHeight="1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  <c r="AD723" s="70"/>
      <c r="AE723" s="70"/>
      <c r="AF723" s="70"/>
      <c r="AG723" s="70"/>
      <c r="AH723" s="70"/>
      <c r="AI723" s="70"/>
      <c r="AJ723" s="70"/>
      <c r="AK723" s="70"/>
      <c r="AL723" s="70"/>
      <c r="AM723" s="70"/>
      <c r="AN723" s="70"/>
      <c r="AO723" s="70"/>
      <c r="AP723" s="70"/>
      <c r="AQ723" s="70"/>
      <c r="AR723" s="70"/>
      <c r="AS723" s="70"/>
      <c r="AT723" s="70"/>
      <c r="AU723" s="70"/>
      <c r="AV723" s="70"/>
      <c r="AW723" s="70"/>
      <c r="AX723" s="70"/>
      <c r="AY723" s="70"/>
      <c r="AZ723" s="70"/>
      <c r="BA723" s="70"/>
      <c r="BB723" s="70"/>
    </row>
    <row r="724" ht="14.25" customHeight="1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  <c r="AD724" s="70"/>
      <c r="AE724" s="70"/>
      <c r="AF724" s="70"/>
      <c r="AG724" s="70"/>
      <c r="AH724" s="70"/>
      <c r="AI724" s="70"/>
      <c r="AJ724" s="70"/>
      <c r="AK724" s="70"/>
      <c r="AL724" s="70"/>
      <c r="AM724" s="70"/>
      <c r="AN724" s="70"/>
      <c r="AO724" s="70"/>
      <c r="AP724" s="70"/>
      <c r="AQ724" s="70"/>
      <c r="AR724" s="70"/>
      <c r="AS724" s="70"/>
      <c r="AT724" s="70"/>
      <c r="AU724" s="70"/>
      <c r="AV724" s="70"/>
      <c r="AW724" s="70"/>
      <c r="AX724" s="70"/>
      <c r="AY724" s="70"/>
      <c r="AZ724" s="70"/>
      <c r="BA724" s="70"/>
      <c r="BB724" s="70"/>
    </row>
    <row r="725" ht="14.25" customHeight="1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  <c r="AD725" s="70"/>
      <c r="AE725" s="70"/>
      <c r="AF725" s="70"/>
      <c r="AG725" s="70"/>
      <c r="AH725" s="70"/>
      <c r="AI725" s="70"/>
      <c r="AJ725" s="70"/>
      <c r="AK725" s="70"/>
      <c r="AL725" s="70"/>
      <c r="AM725" s="70"/>
      <c r="AN725" s="70"/>
      <c r="AO725" s="70"/>
      <c r="AP725" s="70"/>
      <c r="AQ725" s="70"/>
      <c r="AR725" s="70"/>
      <c r="AS725" s="70"/>
      <c r="AT725" s="70"/>
      <c r="AU725" s="70"/>
      <c r="AV725" s="70"/>
      <c r="AW725" s="70"/>
      <c r="AX725" s="70"/>
      <c r="AY725" s="70"/>
      <c r="AZ725" s="70"/>
      <c r="BA725" s="70"/>
      <c r="BB725" s="70"/>
    </row>
    <row r="726" ht="14.25" customHeight="1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  <c r="AD726" s="70"/>
      <c r="AE726" s="70"/>
      <c r="AF726" s="70"/>
      <c r="AG726" s="70"/>
      <c r="AH726" s="70"/>
      <c r="AI726" s="70"/>
      <c r="AJ726" s="70"/>
      <c r="AK726" s="70"/>
      <c r="AL726" s="70"/>
      <c r="AM726" s="70"/>
      <c r="AN726" s="70"/>
      <c r="AO726" s="70"/>
      <c r="AP726" s="70"/>
      <c r="AQ726" s="70"/>
      <c r="AR726" s="70"/>
      <c r="AS726" s="70"/>
      <c r="AT726" s="70"/>
      <c r="AU726" s="70"/>
      <c r="AV726" s="70"/>
      <c r="AW726" s="70"/>
      <c r="AX726" s="70"/>
      <c r="AY726" s="70"/>
      <c r="AZ726" s="70"/>
      <c r="BA726" s="70"/>
      <c r="BB726" s="70"/>
    </row>
    <row r="727" ht="14.25" customHeight="1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70"/>
      <c r="AH727" s="70"/>
      <c r="AI727" s="70"/>
      <c r="AJ727" s="70"/>
      <c r="AK727" s="70"/>
      <c r="AL727" s="70"/>
      <c r="AM727" s="70"/>
      <c r="AN727" s="70"/>
      <c r="AO727" s="70"/>
      <c r="AP727" s="70"/>
      <c r="AQ727" s="70"/>
      <c r="AR727" s="70"/>
      <c r="AS727" s="70"/>
      <c r="AT727" s="70"/>
      <c r="AU727" s="70"/>
      <c r="AV727" s="70"/>
      <c r="AW727" s="70"/>
      <c r="AX727" s="70"/>
      <c r="AY727" s="70"/>
      <c r="AZ727" s="70"/>
      <c r="BA727" s="70"/>
      <c r="BB727" s="70"/>
    </row>
    <row r="728" ht="14.25" customHeight="1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  <c r="AD728" s="70"/>
      <c r="AE728" s="70"/>
      <c r="AF728" s="70"/>
      <c r="AG728" s="70"/>
      <c r="AH728" s="70"/>
      <c r="AI728" s="70"/>
      <c r="AJ728" s="70"/>
      <c r="AK728" s="70"/>
      <c r="AL728" s="70"/>
      <c r="AM728" s="70"/>
      <c r="AN728" s="70"/>
      <c r="AO728" s="70"/>
      <c r="AP728" s="70"/>
      <c r="AQ728" s="70"/>
      <c r="AR728" s="70"/>
      <c r="AS728" s="70"/>
      <c r="AT728" s="70"/>
      <c r="AU728" s="70"/>
      <c r="AV728" s="70"/>
      <c r="AW728" s="70"/>
      <c r="AX728" s="70"/>
      <c r="AY728" s="70"/>
      <c r="AZ728" s="70"/>
      <c r="BA728" s="70"/>
      <c r="BB728" s="70"/>
    </row>
    <row r="729" ht="14.25" customHeight="1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  <c r="AD729" s="70"/>
      <c r="AE729" s="70"/>
      <c r="AF729" s="70"/>
      <c r="AG729" s="70"/>
      <c r="AH729" s="70"/>
      <c r="AI729" s="70"/>
      <c r="AJ729" s="70"/>
      <c r="AK729" s="70"/>
      <c r="AL729" s="70"/>
      <c r="AM729" s="70"/>
      <c r="AN729" s="70"/>
      <c r="AO729" s="70"/>
      <c r="AP729" s="70"/>
      <c r="AQ729" s="70"/>
      <c r="AR729" s="70"/>
      <c r="AS729" s="70"/>
      <c r="AT729" s="70"/>
      <c r="AU729" s="70"/>
      <c r="AV729" s="70"/>
      <c r="AW729" s="70"/>
      <c r="AX729" s="70"/>
      <c r="AY729" s="70"/>
      <c r="AZ729" s="70"/>
      <c r="BA729" s="70"/>
      <c r="BB729" s="70"/>
    </row>
    <row r="730" ht="14.25" customHeight="1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  <c r="AD730" s="70"/>
      <c r="AE730" s="70"/>
      <c r="AF730" s="70"/>
      <c r="AG730" s="70"/>
      <c r="AH730" s="70"/>
      <c r="AI730" s="70"/>
      <c r="AJ730" s="70"/>
      <c r="AK730" s="70"/>
      <c r="AL730" s="70"/>
      <c r="AM730" s="70"/>
      <c r="AN730" s="70"/>
      <c r="AO730" s="70"/>
      <c r="AP730" s="70"/>
      <c r="AQ730" s="70"/>
      <c r="AR730" s="70"/>
      <c r="AS730" s="70"/>
      <c r="AT730" s="70"/>
      <c r="AU730" s="70"/>
      <c r="AV730" s="70"/>
      <c r="AW730" s="70"/>
      <c r="AX730" s="70"/>
      <c r="AY730" s="70"/>
      <c r="AZ730" s="70"/>
      <c r="BA730" s="70"/>
      <c r="BB730" s="70"/>
    </row>
    <row r="731" ht="14.25" customHeight="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  <c r="AD731" s="70"/>
      <c r="AE731" s="70"/>
      <c r="AF731" s="70"/>
      <c r="AG731" s="70"/>
      <c r="AH731" s="70"/>
      <c r="AI731" s="70"/>
      <c r="AJ731" s="70"/>
      <c r="AK731" s="70"/>
      <c r="AL731" s="70"/>
      <c r="AM731" s="70"/>
      <c r="AN731" s="70"/>
      <c r="AO731" s="70"/>
      <c r="AP731" s="70"/>
      <c r="AQ731" s="70"/>
      <c r="AR731" s="70"/>
      <c r="AS731" s="70"/>
      <c r="AT731" s="70"/>
      <c r="AU731" s="70"/>
      <c r="AV731" s="70"/>
      <c r="AW731" s="70"/>
      <c r="AX731" s="70"/>
      <c r="AY731" s="70"/>
      <c r="AZ731" s="70"/>
      <c r="BA731" s="70"/>
      <c r="BB731" s="70"/>
    </row>
    <row r="732" ht="14.25" customHeight="1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  <c r="AD732" s="70"/>
      <c r="AE732" s="70"/>
      <c r="AF732" s="70"/>
      <c r="AG732" s="70"/>
      <c r="AH732" s="70"/>
      <c r="AI732" s="70"/>
      <c r="AJ732" s="70"/>
      <c r="AK732" s="70"/>
      <c r="AL732" s="70"/>
      <c r="AM732" s="70"/>
      <c r="AN732" s="70"/>
      <c r="AO732" s="70"/>
      <c r="AP732" s="70"/>
      <c r="AQ732" s="70"/>
      <c r="AR732" s="70"/>
      <c r="AS732" s="70"/>
      <c r="AT732" s="70"/>
      <c r="AU732" s="70"/>
      <c r="AV732" s="70"/>
      <c r="AW732" s="70"/>
      <c r="AX732" s="70"/>
      <c r="AY732" s="70"/>
      <c r="AZ732" s="70"/>
      <c r="BA732" s="70"/>
      <c r="BB732" s="70"/>
    </row>
    <row r="733" ht="14.25" customHeight="1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  <c r="AD733" s="70"/>
      <c r="AE733" s="70"/>
      <c r="AF733" s="70"/>
      <c r="AG733" s="70"/>
      <c r="AH733" s="70"/>
      <c r="AI733" s="70"/>
      <c r="AJ733" s="70"/>
      <c r="AK733" s="70"/>
      <c r="AL733" s="70"/>
      <c r="AM733" s="70"/>
      <c r="AN733" s="70"/>
      <c r="AO733" s="70"/>
      <c r="AP733" s="70"/>
      <c r="AQ733" s="70"/>
      <c r="AR733" s="70"/>
      <c r="AS733" s="70"/>
      <c r="AT733" s="70"/>
      <c r="AU733" s="70"/>
      <c r="AV733" s="70"/>
      <c r="AW733" s="70"/>
      <c r="AX733" s="70"/>
      <c r="AY733" s="70"/>
      <c r="AZ733" s="70"/>
      <c r="BA733" s="70"/>
      <c r="BB733" s="70"/>
    </row>
    <row r="734" ht="14.25" customHeight="1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  <c r="AD734" s="70"/>
      <c r="AE734" s="70"/>
      <c r="AF734" s="70"/>
      <c r="AG734" s="70"/>
      <c r="AH734" s="70"/>
      <c r="AI734" s="70"/>
      <c r="AJ734" s="70"/>
      <c r="AK734" s="70"/>
      <c r="AL734" s="70"/>
      <c r="AM734" s="70"/>
      <c r="AN734" s="70"/>
      <c r="AO734" s="70"/>
      <c r="AP734" s="70"/>
      <c r="AQ734" s="70"/>
      <c r="AR734" s="70"/>
      <c r="AS734" s="70"/>
      <c r="AT734" s="70"/>
      <c r="AU734" s="70"/>
      <c r="AV734" s="70"/>
      <c r="AW734" s="70"/>
      <c r="AX734" s="70"/>
      <c r="AY734" s="70"/>
      <c r="AZ734" s="70"/>
      <c r="BA734" s="70"/>
      <c r="BB734" s="70"/>
    </row>
    <row r="735" ht="14.25" customHeight="1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  <c r="AD735" s="70"/>
      <c r="AE735" s="70"/>
      <c r="AF735" s="70"/>
      <c r="AG735" s="70"/>
      <c r="AH735" s="70"/>
      <c r="AI735" s="70"/>
      <c r="AJ735" s="70"/>
      <c r="AK735" s="70"/>
      <c r="AL735" s="70"/>
      <c r="AM735" s="70"/>
      <c r="AN735" s="70"/>
      <c r="AO735" s="70"/>
      <c r="AP735" s="70"/>
      <c r="AQ735" s="70"/>
      <c r="AR735" s="70"/>
      <c r="AS735" s="70"/>
      <c r="AT735" s="70"/>
      <c r="AU735" s="70"/>
      <c r="AV735" s="70"/>
      <c r="AW735" s="70"/>
      <c r="AX735" s="70"/>
      <c r="AY735" s="70"/>
      <c r="AZ735" s="70"/>
      <c r="BA735" s="70"/>
      <c r="BB735" s="70"/>
    </row>
    <row r="736" ht="14.25" customHeight="1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  <c r="AD736" s="70"/>
      <c r="AE736" s="70"/>
      <c r="AF736" s="70"/>
      <c r="AG736" s="70"/>
      <c r="AH736" s="70"/>
      <c r="AI736" s="70"/>
      <c r="AJ736" s="70"/>
      <c r="AK736" s="70"/>
      <c r="AL736" s="70"/>
      <c r="AM736" s="70"/>
      <c r="AN736" s="70"/>
      <c r="AO736" s="70"/>
      <c r="AP736" s="70"/>
      <c r="AQ736" s="70"/>
      <c r="AR736" s="70"/>
      <c r="AS736" s="70"/>
      <c r="AT736" s="70"/>
      <c r="AU736" s="70"/>
      <c r="AV736" s="70"/>
      <c r="AW736" s="70"/>
      <c r="AX736" s="70"/>
      <c r="AY736" s="70"/>
      <c r="AZ736" s="70"/>
      <c r="BA736" s="70"/>
      <c r="BB736" s="70"/>
    </row>
    <row r="737" ht="14.25" customHeight="1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  <c r="AD737" s="70"/>
      <c r="AE737" s="70"/>
      <c r="AF737" s="70"/>
      <c r="AG737" s="70"/>
      <c r="AH737" s="70"/>
      <c r="AI737" s="70"/>
      <c r="AJ737" s="70"/>
      <c r="AK737" s="70"/>
      <c r="AL737" s="70"/>
      <c r="AM737" s="70"/>
      <c r="AN737" s="70"/>
      <c r="AO737" s="70"/>
      <c r="AP737" s="70"/>
      <c r="AQ737" s="70"/>
      <c r="AR737" s="70"/>
      <c r="AS737" s="70"/>
      <c r="AT737" s="70"/>
      <c r="AU737" s="70"/>
      <c r="AV737" s="70"/>
      <c r="AW737" s="70"/>
      <c r="AX737" s="70"/>
      <c r="AY737" s="70"/>
      <c r="AZ737" s="70"/>
      <c r="BA737" s="70"/>
      <c r="BB737" s="70"/>
    </row>
    <row r="738" ht="14.25" customHeight="1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  <c r="AF738" s="70"/>
      <c r="AG738" s="70"/>
      <c r="AH738" s="70"/>
      <c r="AI738" s="70"/>
      <c r="AJ738" s="70"/>
      <c r="AK738" s="70"/>
      <c r="AL738" s="70"/>
      <c r="AM738" s="70"/>
      <c r="AN738" s="70"/>
      <c r="AO738" s="70"/>
      <c r="AP738" s="70"/>
      <c r="AQ738" s="70"/>
      <c r="AR738" s="70"/>
      <c r="AS738" s="70"/>
      <c r="AT738" s="70"/>
      <c r="AU738" s="70"/>
      <c r="AV738" s="70"/>
      <c r="AW738" s="70"/>
      <c r="AX738" s="70"/>
      <c r="AY738" s="70"/>
      <c r="AZ738" s="70"/>
      <c r="BA738" s="70"/>
      <c r="BB738" s="70"/>
    </row>
    <row r="739" ht="14.25" customHeight="1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  <c r="AD739" s="70"/>
      <c r="AE739" s="70"/>
      <c r="AF739" s="70"/>
      <c r="AG739" s="70"/>
      <c r="AH739" s="70"/>
      <c r="AI739" s="70"/>
      <c r="AJ739" s="70"/>
      <c r="AK739" s="70"/>
      <c r="AL739" s="70"/>
      <c r="AM739" s="70"/>
      <c r="AN739" s="70"/>
      <c r="AO739" s="70"/>
      <c r="AP739" s="70"/>
      <c r="AQ739" s="70"/>
      <c r="AR739" s="70"/>
      <c r="AS739" s="70"/>
      <c r="AT739" s="70"/>
      <c r="AU739" s="70"/>
      <c r="AV739" s="70"/>
      <c r="AW739" s="70"/>
      <c r="AX739" s="70"/>
      <c r="AY739" s="70"/>
      <c r="AZ739" s="70"/>
      <c r="BA739" s="70"/>
      <c r="BB739" s="70"/>
    </row>
    <row r="740" ht="14.25" customHeight="1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  <c r="AD740" s="70"/>
      <c r="AE740" s="70"/>
      <c r="AF740" s="70"/>
      <c r="AG740" s="70"/>
      <c r="AH740" s="70"/>
      <c r="AI740" s="70"/>
      <c r="AJ740" s="70"/>
      <c r="AK740" s="70"/>
      <c r="AL740" s="70"/>
      <c r="AM740" s="70"/>
      <c r="AN740" s="70"/>
      <c r="AO740" s="70"/>
      <c r="AP740" s="70"/>
      <c r="AQ740" s="70"/>
      <c r="AR740" s="70"/>
      <c r="AS740" s="70"/>
      <c r="AT740" s="70"/>
      <c r="AU740" s="70"/>
      <c r="AV740" s="70"/>
      <c r="AW740" s="70"/>
      <c r="AX740" s="70"/>
      <c r="AY740" s="70"/>
      <c r="AZ740" s="70"/>
      <c r="BA740" s="70"/>
      <c r="BB740" s="70"/>
    </row>
    <row r="741" ht="14.25" customHeight="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  <c r="AD741" s="70"/>
      <c r="AE741" s="70"/>
      <c r="AF741" s="70"/>
      <c r="AG741" s="70"/>
      <c r="AH741" s="70"/>
      <c r="AI741" s="70"/>
      <c r="AJ741" s="70"/>
      <c r="AK741" s="70"/>
      <c r="AL741" s="70"/>
      <c r="AM741" s="70"/>
      <c r="AN741" s="70"/>
      <c r="AO741" s="70"/>
      <c r="AP741" s="70"/>
      <c r="AQ741" s="70"/>
      <c r="AR741" s="70"/>
      <c r="AS741" s="70"/>
      <c r="AT741" s="70"/>
      <c r="AU741" s="70"/>
      <c r="AV741" s="70"/>
      <c r="AW741" s="70"/>
      <c r="AX741" s="70"/>
      <c r="AY741" s="70"/>
      <c r="AZ741" s="70"/>
      <c r="BA741" s="70"/>
      <c r="BB741" s="70"/>
    </row>
    <row r="742" ht="14.25" customHeight="1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  <c r="AD742" s="70"/>
      <c r="AE742" s="70"/>
      <c r="AF742" s="70"/>
      <c r="AG742" s="70"/>
      <c r="AH742" s="70"/>
      <c r="AI742" s="70"/>
      <c r="AJ742" s="70"/>
      <c r="AK742" s="70"/>
      <c r="AL742" s="70"/>
      <c r="AM742" s="70"/>
      <c r="AN742" s="70"/>
      <c r="AO742" s="70"/>
      <c r="AP742" s="70"/>
      <c r="AQ742" s="70"/>
      <c r="AR742" s="70"/>
      <c r="AS742" s="70"/>
      <c r="AT742" s="70"/>
      <c r="AU742" s="70"/>
      <c r="AV742" s="70"/>
      <c r="AW742" s="70"/>
      <c r="AX742" s="70"/>
      <c r="AY742" s="70"/>
      <c r="AZ742" s="70"/>
      <c r="BA742" s="70"/>
      <c r="BB742" s="70"/>
    </row>
    <row r="743" ht="14.25" customHeight="1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  <c r="AD743" s="70"/>
      <c r="AE743" s="70"/>
      <c r="AF743" s="70"/>
      <c r="AG743" s="70"/>
      <c r="AH743" s="70"/>
      <c r="AI743" s="70"/>
      <c r="AJ743" s="70"/>
      <c r="AK743" s="70"/>
      <c r="AL743" s="70"/>
      <c r="AM743" s="70"/>
      <c r="AN743" s="70"/>
      <c r="AO743" s="70"/>
      <c r="AP743" s="70"/>
      <c r="AQ743" s="70"/>
      <c r="AR743" s="70"/>
      <c r="AS743" s="70"/>
      <c r="AT743" s="70"/>
      <c r="AU743" s="70"/>
      <c r="AV743" s="70"/>
      <c r="AW743" s="70"/>
      <c r="AX743" s="70"/>
      <c r="AY743" s="70"/>
      <c r="AZ743" s="70"/>
      <c r="BA743" s="70"/>
      <c r="BB743" s="70"/>
    </row>
    <row r="744" ht="14.25" customHeight="1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  <c r="AD744" s="70"/>
      <c r="AE744" s="70"/>
      <c r="AF744" s="70"/>
      <c r="AG744" s="70"/>
      <c r="AH744" s="70"/>
      <c r="AI744" s="70"/>
      <c r="AJ744" s="70"/>
      <c r="AK744" s="70"/>
      <c r="AL744" s="70"/>
      <c r="AM744" s="70"/>
      <c r="AN744" s="70"/>
      <c r="AO744" s="70"/>
      <c r="AP744" s="70"/>
      <c r="AQ744" s="70"/>
      <c r="AR744" s="70"/>
      <c r="AS744" s="70"/>
      <c r="AT744" s="70"/>
      <c r="AU744" s="70"/>
      <c r="AV744" s="70"/>
      <c r="AW744" s="70"/>
      <c r="AX744" s="70"/>
      <c r="AY744" s="70"/>
      <c r="AZ744" s="70"/>
      <c r="BA744" s="70"/>
      <c r="BB744" s="70"/>
    </row>
    <row r="745" ht="14.25" customHeight="1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  <c r="AD745" s="70"/>
      <c r="AE745" s="70"/>
      <c r="AF745" s="70"/>
      <c r="AG745" s="70"/>
      <c r="AH745" s="70"/>
      <c r="AI745" s="70"/>
      <c r="AJ745" s="70"/>
      <c r="AK745" s="70"/>
      <c r="AL745" s="70"/>
      <c r="AM745" s="70"/>
      <c r="AN745" s="70"/>
      <c r="AO745" s="70"/>
      <c r="AP745" s="70"/>
      <c r="AQ745" s="70"/>
      <c r="AR745" s="70"/>
      <c r="AS745" s="70"/>
      <c r="AT745" s="70"/>
      <c r="AU745" s="70"/>
      <c r="AV745" s="70"/>
      <c r="AW745" s="70"/>
      <c r="AX745" s="70"/>
      <c r="AY745" s="70"/>
      <c r="AZ745" s="70"/>
      <c r="BA745" s="70"/>
      <c r="BB745" s="70"/>
    </row>
    <row r="746" ht="14.25" customHeight="1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  <c r="AD746" s="70"/>
      <c r="AE746" s="70"/>
      <c r="AF746" s="70"/>
      <c r="AG746" s="70"/>
      <c r="AH746" s="70"/>
      <c r="AI746" s="70"/>
      <c r="AJ746" s="70"/>
      <c r="AK746" s="70"/>
      <c r="AL746" s="70"/>
      <c r="AM746" s="70"/>
      <c r="AN746" s="70"/>
      <c r="AO746" s="70"/>
      <c r="AP746" s="70"/>
      <c r="AQ746" s="70"/>
      <c r="AR746" s="70"/>
      <c r="AS746" s="70"/>
      <c r="AT746" s="70"/>
      <c r="AU746" s="70"/>
      <c r="AV746" s="70"/>
      <c r="AW746" s="70"/>
      <c r="AX746" s="70"/>
      <c r="AY746" s="70"/>
      <c r="AZ746" s="70"/>
      <c r="BA746" s="70"/>
      <c r="BB746" s="70"/>
    </row>
    <row r="747" ht="14.25" customHeight="1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  <c r="AD747" s="70"/>
      <c r="AE747" s="70"/>
      <c r="AF747" s="70"/>
      <c r="AG747" s="70"/>
      <c r="AH747" s="70"/>
      <c r="AI747" s="70"/>
      <c r="AJ747" s="70"/>
      <c r="AK747" s="70"/>
      <c r="AL747" s="70"/>
      <c r="AM747" s="70"/>
      <c r="AN747" s="70"/>
      <c r="AO747" s="70"/>
      <c r="AP747" s="70"/>
      <c r="AQ747" s="70"/>
      <c r="AR747" s="70"/>
      <c r="AS747" s="70"/>
      <c r="AT747" s="70"/>
      <c r="AU747" s="70"/>
      <c r="AV747" s="70"/>
      <c r="AW747" s="70"/>
      <c r="AX747" s="70"/>
      <c r="AY747" s="70"/>
      <c r="AZ747" s="70"/>
      <c r="BA747" s="70"/>
      <c r="BB747" s="70"/>
    </row>
    <row r="748" ht="14.25" customHeight="1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  <c r="AD748" s="70"/>
      <c r="AE748" s="70"/>
      <c r="AF748" s="70"/>
      <c r="AG748" s="70"/>
      <c r="AH748" s="70"/>
      <c r="AI748" s="70"/>
      <c r="AJ748" s="70"/>
      <c r="AK748" s="70"/>
      <c r="AL748" s="70"/>
      <c r="AM748" s="70"/>
      <c r="AN748" s="70"/>
      <c r="AO748" s="70"/>
      <c r="AP748" s="70"/>
      <c r="AQ748" s="70"/>
      <c r="AR748" s="70"/>
      <c r="AS748" s="70"/>
      <c r="AT748" s="70"/>
      <c r="AU748" s="70"/>
      <c r="AV748" s="70"/>
      <c r="AW748" s="70"/>
      <c r="AX748" s="70"/>
      <c r="AY748" s="70"/>
      <c r="AZ748" s="70"/>
      <c r="BA748" s="70"/>
      <c r="BB748" s="70"/>
    </row>
    <row r="749" ht="14.25" customHeight="1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  <c r="AG749" s="70"/>
      <c r="AH749" s="70"/>
      <c r="AI749" s="70"/>
      <c r="AJ749" s="70"/>
      <c r="AK749" s="70"/>
      <c r="AL749" s="70"/>
      <c r="AM749" s="70"/>
      <c r="AN749" s="70"/>
      <c r="AO749" s="70"/>
      <c r="AP749" s="70"/>
      <c r="AQ749" s="70"/>
      <c r="AR749" s="70"/>
      <c r="AS749" s="70"/>
      <c r="AT749" s="70"/>
      <c r="AU749" s="70"/>
      <c r="AV749" s="70"/>
      <c r="AW749" s="70"/>
      <c r="AX749" s="70"/>
      <c r="AY749" s="70"/>
      <c r="AZ749" s="70"/>
      <c r="BA749" s="70"/>
      <c r="BB749" s="70"/>
    </row>
    <row r="750" ht="14.25" customHeight="1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  <c r="AD750" s="70"/>
      <c r="AE750" s="70"/>
      <c r="AF750" s="70"/>
      <c r="AG750" s="70"/>
      <c r="AH750" s="70"/>
      <c r="AI750" s="70"/>
      <c r="AJ750" s="70"/>
      <c r="AK750" s="70"/>
      <c r="AL750" s="70"/>
      <c r="AM750" s="70"/>
      <c r="AN750" s="70"/>
      <c r="AO750" s="70"/>
      <c r="AP750" s="70"/>
      <c r="AQ750" s="70"/>
      <c r="AR750" s="70"/>
      <c r="AS750" s="70"/>
      <c r="AT750" s="70"/>
      <c r="AU750" s="70"/>
      <c r="AV750" s="70"/>
      <c r="AW750" s="70"/>
      <c r="AX750" s="70"/>
      <c r="AY750" s="70"/>
      <c r="AZ750" s="70"/>
      <c r="BA750" s="70"/>
      <c r="BB750" s="70"/>
    </row>
    <row r="751" ht="14.25" customHeight="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  <c r="AD751" s="70"/>
      <c r="AE751" s="70"/>
      <c r="AF751" s="70"/>
      <c r="AG751" s="70"/>
      <c r="AH751" s="70"/>
      <c r="AI751" s="70"/>
      <c r="AJ751" s="70"/>
      <c r="AK751" s="70"/>
      <c r="AL751" s="70"/>
      <c r="AM751" s="70"/>
      <c r="AN751" s="70"/>
      <c r="AO751" s="70"/>
      <c r="AP751" s="70"/>
      <c r="AQ751" s="70"/>
      <c r="AR751" s="70"/>
      <c r="AS751" s="70"/>
      <c r="AT751" s="70"/>
      <c r="AU751" s="70"/>
      <c r="AV751" s="70"/>
      <c r="AW751" s="70"/>
      <c r="AX751" s="70"/>
      <c r="AY751" s="70"/>
      <c r="AZ751" s="70"/>
      <c r="BA751" s="70"/>
      <c r="BB751" s="70"/>
    </row>
    <row r="752" ht="14.25" customHeight="1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  <c r="AD752" s="70"/>
      <c r="AE752" s="70"/>
      <c r="AF752" s="70"/>
      <c r="AG752" s="70"/>
      <c r="AH752" s="70"/>
      <c r="AI752" s="70"/>
      <c r="AJ752" s="70"/>
      <c r="AK752" s="70"/>
      <c r="AL752" s="70"/>
      <c r="AM752" s="70"/>
      <c r="AN752" s="70"/>
      <c r="AO752" s="70"/>
      <c r="AP752" s="70"/>
      <c r="AQ752" s="70"/>
      <c r="AR752" s="70"/>
      <c r="AS752" s="70"/>
      <c r="AT752" s="70"/>
      <c r="AU752" s="70"/>
      <c r="AV752" s="70"/>
      <c r="AW752" s="70"/>
      <c r="AX752" s="70"/>
      <c r="AY752" s="70"/>
      <c r="AZ752" s="70"/>
      <c r="BA752" s="70"/>
      <c r="BB752" s="70"/>
    </row>
    <row r="753" ht="14.25" customHeight="1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  <c r="AD753" s="70"/>
      <c r="AE753" s="70"/>
      <c r="AF753" s="70"/>
      <c r="AG753" s="70"/>
      <c r="AH753" s="70"/>
      <c r="AI753" s="70"/>
      <c r="AJ753" s="70"/>
      <c r="AK753" s="70"/>
      <c r="AL753" s="70"/>
      <c r="AM753" s="70"/>
      <c r="AN753" s="70"/>
      <c r="AO753" s="70"/>
      <c r="AP753" s="70"/>
      <c r="AQ753" s="70"/>
      <c r="AR753" s="70"/>
      <c r="AS753" s="70"/>
      <c r="AT753" s="70"/>
      <c r="AU753" s="70"/>
      <c r="AV753" s="70"/>
      <c r="AW753" s="70"/>
      <c r="AX753" s="70"/>
      <c r="AY753" s="70"/>
      <c r="AZ753" s="70"/>
      <c r="BA753" s="70"/>
      <c r="BB753" s="70"/>
    </row>
    <row r="754" ht="14.25" customHeight="1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  <c r="AD754" s="70"/>
      <c r="AE754" s="70"/>
      <c r="AF754" s="70"/>
      <c r="AG754" s="70"/>
      <c r="AH754" s="70"/>
      <c r="AI754" s="70"/>
      <c r="AJ754" s="70"/>
      <c r="AK754" s="70"/>
      <c r="AL754" s="70"/>
      <c r="AM754" s="70"/>
      <c r="AN754" s="70"/>
      <c r="AO754" s="70"/>
      <c r="AP754" s="70"/>
      <c r="AQ754" s="70"/>
      <c r="AR754" s="70"/>
      <c r="AS754" s="70"/>
      <c r="AT754" s="70"/>
      <c r="AU754" s="70"/>
      <c r="AV754" s="70"/>
      <c r="AW754" s="70"/>
      <c r="AX754" s="70"/>
      <c r="AY754" s="70"/>
      <c r="AZ754" s="70"/>
      <c r="BA754" s="70"/>
      <c r="BB754" s="70"/>
    </row>
    <row r="755" ht="14.25" customHeight="1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  <c r="AD755" s="70"/>
      <c r="AE755" s="70"/>
      <c r="AF755" s="70"/>
      <c r="AG755" s="70"/>
      <c r="AH755" s="70"/>
      <c r="AI755" s="70"/>
      <c r="AJ755" s="70"/>
      <c r="AK755" s="70"/>
      <c r="AL755" s="70"/>
      <c r="AM755" s="70"/>
      <c r="AN755" s="70"/>
      <c r="AO755" s="70"/>
      <c r="AP755" s="70"/>
      <c r="AQ755" s="70"/>
      <c r="AR755" s="70"/>
      <c r="AS755" s="70"/>
      <c r="AT755" s="70"/>
      <c r="AU755" s="70"/>
      <c r="AV755" s="70"/>
      <c r="AW755" s="70"/>
      <c r="AX755" s="70"/>
      <c r="AY755" s="70"/>
      <c r="AZ755" s="70"/>
      <c r="BA755" s="70"/>
      <c r="BB755" s="70"/>
    </row>
    <row r="756" ht="14.25" customHeight="1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  <c r="AD756" s="70"/>
      <c r="AE756" s="70"/>
      <c r="AF756" s="70"/>
      <c r="AG756" s="70"/>
      <c r="AH756" s="70"/>
      <c r="AI756" s="70"/>
      <c r="AJ756" s="70"/>
      <c r="AK756" s="70"/>
      <c r="AL756" s="70"/>
      <c r="AM756" s="70"/>
      <c r="AN756" s="70"/>
      <c r="AO756" s="70"/>
      <c r="AP756" s="70"/>
      <c r="AQ756" s="70"/>
      <c r="AR756" s="70"/>
      <c r="AS756" s="70"/>
      <c r="AT756" s="70"/>
      <c r="AU756" s="70"/>
      <c r="AV756" s="70"/>
      <c r="AW756" s="70"/>
      <c r="AX756" s="70"/>
      <c r="AY756" s="70"/>
      <c r="AZ756" s="70"/>
      <c r="BA756" s="70"/>
      <c r="BB756" s="70"/>
    </row>
    <row r="757" ht="14.25" customHeight="1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  <c r="AD757" s="70"/>
      <c r="AE757" s="70"/>
      <c r="AF757" s="70"/>
      <c r="AG757" s="70"/>
      <c r="AH757" s="70"/>
      <c r="AI757" s="70"/>
      <c r="AJ757" s="70"/>
      <c r="AK757" s="70"/>
      <c r="AL757" s="70"/>
      <c r="AM757" s="70"/>
      <c r="AN757" s="70"/>
      <c r="AO757" s="70"/>
      <c r="AP757" s="70"/>
      <c r="AQ757" s="70"/>
      <c r="AR757" s="70"/>
      <c r="AS757" s="70"/>
      <c r="AT757" s="70"/>
      <c r="AU757" s="70"/>
      <c r="AV757" s="70"/>
      <c r="AW757" s="70"/>
      <c r="AX757" s="70"/>
      <c r="AY757" s="70"/>
      <c r="AZ757" s="70"/>
      <c r="BA757" s="70"/>
      <c r="BB757" s="70"/>
    </row>
    <row r="758" ht="14.25" customHeight="1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  <c r="AD758" s="70"/>
      <c r="AE758" s="70"/>
      <c r="AF758" s="70"/>
      <c r="AG758" s="70"/>
      <c r="AH758" s="70"/>
      <c r="AI758" s="70"/>
      <c r="AJ758" s="70"/>
      <c r="AK758" s="70"/>
      <c r="AL758" s="70"/>
      <c r="AM758" s="70"/>
      <c r="AN758" s="70"/>
      <c r="AO758" s="70"/>
      <c r="AP758" s="70"/>
      <c r="AQ758" s="70"/>
      <c r="AR758" s="70"/>
      <c r="AS758" s="70"/>
      <c r="AT758" s="70"/>
      <c r="AU758" s="70"/>
      <c r="AV758" s="70"/>
      <c r="AW758" s="70"/>
      <c r="AX758" s="70"/>
      <c r="AY758" s="70"/>
      <c r="AZ758" s="70"/>
      <c r="BA758" s="70"/>
      <c r="BB758" s="70"/>
    </row>
    <row r="759" ht="14.25" customHeight="1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  <c r="AD759" s="70"/>
      <c r="AE759" s="70"/>
      <c r="AF759" s="70"/>
      <c r="AG759" s="70"/>
      <c r="AH759" s="70"/>
      <c r="AI759" s="70"/>
      <c r="AJ759" s="70"/>
      <c r="AK759" s="70"/>
      <c r="AL759" s="70"/>
      <c r="AM759" s="70"/>
      <c r="AN759" s="70"/>
      <c r="AO759" s="70"/>
      <c r="AP759" s="70"/>
      <c r="AQ759" s="70"/>
      <c r="AR759" s="70"/>
      <c r="AS759" s="70"/>
      <c r="AT759" s="70"/>
      <c r="AU759" s="70"/>
      <c r="AV759" s="70"/>
      <c r="AW759" s="70"/>
      <c r="AX759" s="70"/>
      <c r="AY759" s="70"/>
      <c r="AZ759" s="70"/>
      <c r="BA759" s="70"/>
      <c r="BB759" s="70"/>
    </row>
    <row r="760" ht="14.25" customHeight="1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  <c r="AF760" s="70"/>
      <c r="AG760" s="70"/>
      <c r="AH760" s="70"/>
      <c r="AI760" s="70"/>
      <c r="AJ760" s="70"/>
      <c r="AK760" s="70"/>
      <c r="AL760" s="70"/>
      <c r="AM760" s="70"/>
      <c r="AN760" s="70"/>
      <c r="AO760" s="70"/>
      <c r="AP760" s="70"/>
      <c r="AQ760" s="70"/>
      <c r="AR760" s="70"/>
      <c r="AS760" s="70"/>
      <c r="AT760" s="70"/>
      <c r="AU760" s="70"/>
      <c r="AV760" s="70"/>
      <c r="AW760" s="70"/>
      <c r="AX760" s="70"/>
      <c r="AY760" s="70"/>
      <c r="AZ760" s="70"/>
      <c r="BA760" s="70"/>
      <c r="BB760" s="70"/>
    </row>
    <row r="761" ht="14.25" customHeight="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  <c r="AD761" s="70"/>
      <c r="AE761" s="70"/>
      <c r="AF761" s="70"/>
      <c r="AG761" s="70"/>
      <c r="AH761" s="70"/>
      <c r="AI761" s="70"/>
      <c r="AJ761" s="70"/>
      <c r="AK761" s="70"/>
      <c r="AL761" s="70"/>
      <c r="AM761" s="70"/>
      <c r="AN761" s="70"/>
      <c r="AO761" s="70"/>
      <c r="AP761" s="70"/>
      <c r="AQ761" s="70"/>
      <c r="AR761" s="70"/>
      <c r="AS761" s="70"/>
      <c r="AT761" s="70"/>
      <c r="AU761" s="70"/>
      <c r="AV761" s="70"/>
      <c r="AW761" s="70"/>
      <c r="AX761" s="70"/>
      <c r="AY761" s="70"/>
      <c r="AZ761" s="70"/>
      <c r="BA761" s="70"/>
      <c r="BB761" s="70"/>
    </row>
    <row r="762" ht="14.25" customHeight="1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  <c r="AD762" s="70"/>
      <c r="AE762" s="70"/>
      <c r="AF762" s="70"/>
      <c r="AG762" s="70"/>
      <c r="AH762" s="70"/>
      <c r="AI762" s="70"/>
      <c r="AJ762" s="70"/>
      <c r="AK762" s="70"/>
      <c r="AL762" s="70"/>
      <c r="AM762" s="70"/>
      <c r="AN762" s="70"/>
      <c r="AO762" s="70"/>
      <c r="AP762" s="70"/>
      <c r="AQ762" s="70"/>
      <c r="AR762" s="70"/>
      <c r="AS762" s="70"/>
      <c r="AT762" s="70"/>
      <c r="AU762" s="70"/>
      <c r="AV762" s="70"/>
      <c r="AW762" s="70"/>
      <c r="AX762" s="70"/>
      <c r="AY762" s="70"/>
      <c r="AZ762" s="70"/>
      <c r="BA762" s="70"/>
      <c r="BB762" s="70"/>
    </row>
    <row r="763" ht="14.25" customHeight="1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  <c r="AD763" s="70"/>
      <c r="AE763" s="70"/>
      <c r="AF763" s="70"/>
      <c r="AG763" s="70"/>
      <c r="AH763" s="70"/>
      <c r="AI763" s="70"/>
      <c r="AJ763" s="70"/>
      <c r="AK763" s="70"/>
      <c r="AL763" s="70"/>
      <c r="AM763" s="70"/>
      <c r="AN763" s="70"/>
      <c r="AO763" s="70"/>
      <c r="AP763" s="70"/>
      <c r="AQ763" s="70"/>
      <c r="AR763" s="70"/>
      <c r="AS763" s="70"/>
      <c r="AT763" s="70"/>
      <c r="AU763" s="70"/>
      <c r="AV763" s="70"/>
      <c r="AW763" s="70"/>
      <c r="AX763" s="70"/>
      <c r="AY763" s="70"/>
      <c r="AZ763" s="70"/>
      <c r="BA763" s="70"/>
      <c r="BB763" s="70"/>
    </row>
    <row r="764" ht="14.25" customHeight="1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  <c r="AD764" s="70"/>
      <c r="AE764" s="70"/>
      <c r="AF764" s="70"/>
      <c r="AG764" s="70"/>
      <c r="AH764" s="70"/>
      <c r="AI764" s="70"/>
      <c r="AJ764" s="70"/>
      <c r="AK764" s="70"/>
      <c r="AL764" s="70"/>
      <c r="AM764" s="70"/>
      <c r="AN764" s="70"/>
      <c r="AO764" s="70"/>
      <c r="AP764" s="70"/>
      <c r="AQ764" s="70"/>
      <c r="AR764" s="70"/>
      <c r="AS764" s="70"/>
      <c r="AT764" s="70"/>
      <c r="AU764" s="70"/>
      <c r="AV764" s="70"/>
      <c r="AW764" s="70"/>
      <c r="AX764" s="70"/>
      <c r="AY764" s="70"/>
      <c r="AZ764" s="70"/>
      <c r="BA764" s="70"/>
      <c r="BB764" s="70"/>
    </row>
    <row r="765" ht="14.25" customHeight="1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  <c r="AD765" s="70"/>
      <c r="AE765" s="70"/>
      <c r="AF765" s="70"/>
      <c r="AG765" s="70"/>
      <c r="AH765" s="70"/>
      <c r="AI765" s="70"/>
      <c r="AJ765" s="70"/>
      <c r="AK765" s="70"/>
      <c r="AL765" s="70"/>
      <c r="AM765" s="70"/>
      <c r="AN765" s="70"/>
      <c r="AO765" s="70"/>
      <c r="AP765" s="70"/>
      <c r="AQ765" s="70"/>
      <c r="AR765" s="70"/>
      <c r="AS765" s="70"/>
      <c r="AT765" s="70"/>
      <c r="AU765" s="70"/>
      <c r="AV765" s="70"/>
      <c r="AW765" s="70"/>
      <c r="AX765" s="70"/>
      <c r="AY765" s="70"/>
      <c r="AZ765" s="70"/>
      <c r="BA765" s="70"/>
      <c r="BB765" s="70"/>
    </row>
    <row r="766" ht="14.25" customHeight="1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  <c r="AC766" s="70"/>
      <c r="AD766" s="70"/>
      <c r="AE766" s="70"/>
      <c r="AF766" s="70"/>
      <c r="AG766" s="70"/>
      <c r="AH766" s="70"/>
      <c r="AI766" s="70"/>
      <c r="AJ766" s="70"/>
      <c r="AK766" s="70"/>
      <c r="AL766" s="70"/>
      <c r="AM766" s="70"/>
      <c r="AN766" s="70"/>
      <c r="AO766" s="70"/>
      <c r="AP766" s="70"/>
      <c r="AQ766" s="70"/>
      <c r="AR766" s="70"/>
      <c r="AS766" s="70"/>
      <c r="AT766" s="70"/>
      <c r="AU766" s="70"/>
      <c r="AV766" s="70"/>
      <c r="AW766" s="70"/>
      <c r="AX766" s="70"/>
      <c r="AY766" s="70"/>
      <c r="AZ766" s="70"/>
      <c r="BA766" s="70"/>
      <c r="BB766" s="70"/>
    </row>
    <row r="767" ht="14.25" customHeight="1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  <c r="AD767" s="70"/>
      <c r="AE767" s="70"/>
      <c r="AF767" s="70"/>
      <c r="AG767" s="70"/>
      <c r="AH767" s="70"/>
      <c r="AI767" s="70"/>
      <c r="AJ767" s="70"/>
      <c r="AK767" s="70"/>
      <c r="AL767" s="70"/>
      <c r="AM767" s="70"/>
      <c r="AN767" s="70"/>
      <c r="AO767" s="70"/>
      <c r="AP767" s="70"/>
      <c r="AQ767" s="70"/>
      <c r="AR767" s="70"/>
      <c r="AS767" s="70"/>
      <c r="AT767" s="70"/>
      <c r="AU767" s="70"/>
      <c r="AV767" s="70"/>
      <c r="AW767" s="70"/>
      <c r="AX767" s="70"/>
      <c r="AY767" s="70"/>
      <c r="AZ767" s="70"/>
      <c r="BA767" s="70"/>
      <c r="BB767" s="70"/>
    </row>
    <row r="768" ht="14.25" customHeight="1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  <c r="AD768" s="70"/>
      <c r="AE768" s="70"/>
      <c r="AF768" s="70"/>
      <c r="AG768" s="70"/>
      <c r="AH768" s="70"/>
      <c r="AI768" s="70"/>
      <c r="AJ768" s="70"/>
      <c r="AK768" s="70"/>
      <c r="AL768" s="70"/>
      <c r="AM768" s="70"/>
      <c r="AN768" s="70"/>
      <c r="AO768" s="70"/>
      <c r="AP768" s="70"/>
      <c r="AQ768" s="70"/>
      <c r="AR768" s="70"/>
      <c r="AS768" s="70"/>
      <c r="AT768" s="70"/>
      <c r="AU768" s="70"/>
      <c r="AV768" s="70"/>
      <c r="AW768" s="70"/>
      <c r="AX768" s="70"/>
      <c r="AY768" s="70"/>
      <c r="AZ768" s="70"/>
      <c r="BA768" s="70"/>
      <c r="BB768" s="70"/>
    </row>
    <row r="769" ht="14.25" customHeight="1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  <c r="AD769" s="70"/>
      <c r="AE769" s="70"/>
      <c r="AF769" s="70"/>
      <c r="AG769" s="70"/>
      <c r="AH769" s="70"/>
      <c r="AI769" s="70"/>
      <c r="AJ769" s="70"/>
      <c r="AK769" s="70"/>
      <c r="AL769" s="70"/>
      <c r="AM769" s="70"/>
      <c r="AN769" s="70"/>
      <c r="AO769" s="70"/>
      <c r="AP769" s="70"/>
      <c r="AQ769" s="70"/>
      <c r="AR769" s="70"/>
      <c r="AS769" s="70"/>
      <c r="AT769" s="70"/>
      <c r="AU769" s="70"/>
      <c r="AV769" s="70"/>
      <c r="AW769" s="70"/>
      <c r="AX769" s="70"/>
      <c r="AY769" s="70"/>
      <c r="AZ769" s="70"/>
      <c r="BA769" s="70"/>
      <c r="BB769" s="70"/>
    </row>
    <row r="770" ht="14.25" customHeight="1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  <c r="AD770" s="70"/>
      <c r="AE770" s="70"/>
      <c r="AF770" s="70"/>
      <c r="AG770" s="70"/>
      <c r="AH770" s="70"/>
      <c r="AI770" s="70"/>
      <c r="AJ770" s="70"/>
      <c r="AK770" s="70"/>
      <c r="AL770" s="70"/>
      <c r="AM770" s="70"/>
      <c r="AN770" s="70"/>
      <c r="AO770" s="70"/>
      <c r="AP770" s="70"/>
      <c r="AQ770" s="70"/>
      <c r="AR770" s="70"/>
      <c r="AS770" s="70"/>
      <c r="AT770" s="70"/>
      <c r="AU770" s="70"/>
      <c r="AV770" s="70"/>
      <c r="AW770" s="70"/>
      <c r="AX770" s="70"/>
      <c r="AY770" s="70"/>
      <c r="AZ770" s="70"/>
      <c r="BA770" s="70"/>
      <c r="BB770" s="70"/>
    </row>
    <row r="771" ht="14.25" customHeight="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  <c r="AD771" s="70"/>
      <c r="AE771" s="70"/>
      <c r="AF771" s="70"/>
      <c r="AG771" s="70"/>
      <c r="AH771" s="70"/>
      <c r="AI771" s="70"/>
      <c r="AJ771" s="70"/>
      <c r="AK771" s="70"/>
      <c r="AL771" s="70"/>
      <c r="AM771" s="70"/>
      <c r="AN771" s="70"/>
      <c r="AO771" s="70"/>
      <c r="AP771" s="70"/>
      <c r="AQ771" s="70"/>
      <c r="AR771" s="70"/>
      <c r="AS771" s="70"/>
      <c r="AT771" s="70"/>
      <c r="AU771" s="70"/>
      <c r="AV771" s="70"/>
      <c r="AW771" s="70"/>
      <c r="AX771" s="70"/>
      <c r="AY771" s="70"/>
      <c r="AZ771" s="70"/>
      <c r="BA771" s="70"/>
      <c r="BB771" s="70"/>
    </row>
    <row r="772" ht="14.25" customHeight="1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  <c r="AD772" s="70"/>
      <c r="AE772" s="70"/>
      <c r="AF772" s="70"/>
      <c r="AG772" s="70"/>
      <c r="AH772" s="70"/>
      <c r="AI772" s="70"/>
      <c r="AJ772" s="70"/>
      <c r="AK772" s="70"/>
      <c r="AL772" s="70"/>
      <c r="AM772" s="70"/>
      <c r="AN772" s="70"/>
      <c r="AO772" s="70"/>
      <c r="AP772" s="70"/>
      <c r="AQ772" s="70"/>
      <c r="AR772" s="70"/>
      <c r="AS772" s="70"/>
      <c r="AT772" s="70"/>
      <c r="AU772" s="70"/>
      <c r="AV772" s="70"/>
      <c r="AW772" s="70"/>
      <c r="AX772" s="70"/>
      <c r="AY772" s="70"/>
      <c r="AZ772" s="70"/>
      <c r="BA772" s="70"/>
      <c r="BB772" s="70"/>
    </row>
    <row r="773" ht="14.25" customHeight="1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  <c r="AD773" s="70"/>
      <c r="AE773" s="70"/>
      <c r="AF773" s="70"/>
      <c r="AG773" s="70"/>
      <c r="AH773" s="70"/>
      <c r="AI773" s="70"/>
      <c r="AJ773" s="70"/>
      <c r="AK773" s="70"/>
      <c r="AL773" s="70"/>
      <c r="AM773" s="70"/>
      <c r="AN773" s="70"/>
      <c r="AO773" s="70"/>
      <c r="AP773" s="70"/>
      <c r="AQ773" s="70"/>
      <c r="AR773" s="70"/>
      <c r="AS773" s="70"/>
      <c r="AT773" s="70"/>
      <c r="AU773" s="70"/>
      <c r="AV773" s="70"/>
      <c r="AW773" s="70"/>
      <c r="AX773" s="70"/>
      <c r="AY773" s="70"/>
      <c r="AZ773" s="70"/>
      <c r="BA773" s="70"/>
      <c r="BB773" s="70"/>
    </row>
    <row r="774" ht="14.25" customHeight="1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  <c r="AC774" s="70"/>
      <c r="AD774" s="70"/>
      <c r="AE774" s="70"/>
      <c r="AF774" s="70"/>
      <c r="AG774" s="70"/>
      <c r="AH774" s="70"/>
      <c r="AI774" s="70"/>
      <c r="AJ774" s="70"/>
      <c r="AK774" s="70"/>
      <c r="AL774" s="70"/>
      <c r="AM774" s="70"/>
      <c r="AN774" s="70"/>
      <c r="AO774" s="70"/>
      <c r="AP774" s="70"/>
      <c r="AQ774" s="70"/>
      <c r="AR774" s="70"/>
      <c r="AS774" s="70"/>
      <c r="AT774" s="70"/>
      <c r="AU774" s="70"/>
      <c r="AV774" s="70"/>
      <c r="AW774" s="70"/>
      <c r="AX774" s="70"/>
      <c r="AY774" s="70"/>
      <c r="AZ774" s="70"/>
      <c r="BA774" s="70"/>
      <c r="BB774" s="70"/>
    </row>
    <row r="775" ht="14.25" customHeight="1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  <c r="AD775" s="70"/>
      <c r="AE775" s="70"/>
      <c r="AF775" s="70"/>
      <c r="AG775" s="70"/>
      <c r="AH775" s="70"/>
      <c r="AI775" s="70"/>
      <c r="AJ775" s="70"/>
      <c r="AK775" s="70"/>
      <c r="AL775" s="70"/>
      <c r="AM775" s="70"/>
      <c r="AN775" s="70"/>
      <c r="AO775" s="70"/>
      <c r="AP775" s="70"/>
      <c r="AQ775" s="70"/>
      <c r="AR775" s="70"/>
      <c r="AS775" s="70"/>
      <c r="AT775" s="70"/>
      <c r="AU775" s="70"/>
      <c r="AV775" s="70"/>
      <c r="AW775" s="70"/>
      <c r="AX775" s="70"/>
      <c r="AY775" s="70"/>
      <c r="AZ775" s="70"/>
      <c r="BA775" s="70"/>
      <c r="BB775" s="70"/>
    </row>
    <row r="776" ht="14.25" customHeight="1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  <c r="AC776" s="70"/>
      <c r="AD776" s="70"/>
      <c r="AE776" s="70"/>
      <c r="AF776" s="70"/>
      <c r="AG776" s="70"/>
      <c r="AH776" s="70"/>
      <c r="AI776" s="70"/>
      <c r="AJ776" s="70"/>
      <c r="AK776" s="70"/>
      <c r="AL776" s="70"/>
      <c r="AM776" s="70"/>
      <c r="AN776" s="70"/>
      <c r="AO776" s="70"/>
      <c r="AP776" s="70"/>
      <c r="AQ776" s="70"/>
      <c r="AR776" s="70"/>
      <c r="AS776" s="70"/>
      <c r="AT776" s="70"/>
      <c r="AU776" s="70"/>
      <c r="AV776" s="70"/>
      <c r="AW776" s="70"/>
      <c r="AX776" s="70"/>
      <c r="AY776" s="70"/>
      <c r="AZ776" s="70"/>
      <c r="BA776" s="70"/>
      <c r="BB776" s="70"/>
    </row>
    <row r="777" ht="14.25" customHeight="1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  <c r="AD777" s="70"/>
      <c r="AE777" s="70"/>
      <c r="AF777" s="70"/>
      <c r="AG777" s="70"/>
      <c r="AH777" s="70"/>
      <c r="AI777" s="70"/>
      <c r="AJ777" s="70"/>
      <c r="AK777" s="70"/>
      <c r="AL777" s="70"/>
      <c r="AM777" s="70"/>
      <c r="AN777" s="70"/>
      <c r="AO777" s="70"/>
      <c r="AP777" s="70"/>
      <c r="AQ777" s="70"/>
      <c r="AR777" s="70"/>
      <c r="AS777" s="70"/>
      <c r="AT777" s="70"/>
      <c r="AU777" s="70"/>
      <c r="AV777" s="70"/>
      <c r="AW777" s="70"/>
      <c r="AX777" s="70"/>
      <c r="AY777" s="70"/>
      <c r="AZ777" s="70"/>
      <c r="BA777" s="70"/>
      <c r="BB777" s="70"/>
    </row>
    <row r="778" ht="14.25" customHeight="1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  <c r="AC778" s="70"/>
      <c r="AD778" s="70"/>
      <c r="AE778" s="70"/>
      <c r="AF778" s="70"/>
      <c r="AG778" s="70"/>
      <c r="AH778" s="70"/>
      <c r="AI778" s="70"/>
      <c r="AJ778" s="70"/>
      <c r="AK778" s="70"/>
      <c r="AL778" s="70"/>
      <c r="AM778" s="70"/>
      <c r="AN778" s="70"/>
      <c r="AO778" s="70"/>
      <c r="AP778" s="70"/>
      <c r="AQ778" s="70"/>
      <c r="AR778" s="70"/>
      <c r="AS778" s="70"/>
      <c r="AT778" s="70"/>
      <c r="AU778" s="70"/>
      <c r="AV778" s="70"/>
      <c r="AW778" s="70"/>
      <c r="AX778" s="70"/>
      <c r="AY778" s="70"/>
      <c r="AZ778" s="70"/>
      <c r="BA778" s="70"/>
      <c r="BB778" s="70"/>
    </row>
    <row r="779" ht="14.25" customHeight="1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  <c r="AD779" s="70"/>
      <c r="AE779" s="70"/>
      <c r="AF779" s="70"/>
      <c r="AG779" s="70"/>
      <c r="AH779" s="70"/>
      <c r="AI779" s="70"/>
      <c r="AJ779" s="70"/>
      <c r="AK779" s="70"/>
      <c r="AL779" s="70"/>
      <c r="AM779" s="70"/>
      <c r="AN779" s="70"/>
      <c r="AO779" s="70"/>
      <c r="AP779" s="70"/>
      <c r="AQ779" s="70"/>
      <c r="AR779" s="70"/>
      <c r="AS779" s="70"/>
      <c r="AT779" s="70"/>
      <c r="AU779" s="70"/>
      <c r="AV779" s="70"/>
      <c r="AW779" s="70"/>
      <c r="AX779" s="70"/>
      <c r="AY779" s="70"/>
      <c r="AZ779" s="70"/>
      <c r="BA779" s="70"/>
      <c r="BB779" s="70"/>
    </row>
    <row r="780" ht="14.25" customHeight="1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  <c r="AD780" s="70"/>
      <c r="AE780" s="70"/>
      <c r="AF780" s="70"/>
      <c r="AG780" s="70"/>
      <c r="AH780" s="70"/>
      <c r="AI780" s="70"/>
      <c r="AJ780" s="70"/>
      <c r="AK780" s="70"/>
      <c r="AL780" s="70"/>
      <c r="AM780" s="70"/>
      <c r="AN780" s="70"/>
      <c r="AO780" s="70"/>
      <c r="AP780" s="70"/>
      <c r="AQ780" s="70"/>
      <c r="AR780" s="70"/>
      <c r="AS780" s="70"/>
      <c r="AT780" s="70"/>
      <c r="AU780" s="70"/>
      <c r="AV780" s="70"/>
      <c r="AW780" s="70"/>
      <c r="AX780" s="70"/>
      <c r="AY780" s="70"/>
      <c r="AZ780" s="70"/>
      <c r="BA780" s="70"/>
      <c r="BB780" s="70"/>
    </row>
    <row r="781" ht="14.25" customHeight="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  <c r="AD781" s="70"/>
      <c r="AE781" s="70"/>
      <c r="AF781" s="70"/>
      <c r="AG781" s="70"/>
      <c r="AH781" s="70"/>
      <c r="AI781" s="70"/>
      <c r="AJ781" s="70"/>
      <c r="AK781" s="70"/>
      <c r="AL781" s="70"/>
      <c r="AM781" s="70"/>
      <c r="AN781" s="70"/>
      <c r="AO781" s="70"/>
      <c r="AP781" s="70"/>
      <c r="AQ781" s="70"/>
      <c r="AR781" s="70"/>
      <c r="AS781" s="70"/>
      <c r="AT781" s="70"/>
      <c r="AU781" s="70"/>
      <c r="AV781" s="70"/>
      <c r="AW781" s="70"/>
      <c r="AX781" s="70"/>
      <c r="AY781" s="70"/>
      <c r="AZ781" s="70"/>
      <c r="BA781" s="70"/>
      <c r="BB781" s="70"/>
    </row>
    <row r="782" ht="14.25" customHeight="1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  <c r="AD782" s="70"/>
      <c r="AE782" s="70"/>
      <c r="AF782" s="70"/>
      <c r="AG782" s="70"/>
      <c r="AH782" s="70"/>
      <c r="AI782" s="70"/>
      <c r="AJ782" s="70"/>
      <c r="AK782" s="70"/>
      <c r="AL782" s="70"/>
      <c r="AM782" s="70"/>
      <c r="AN782" s="70"/>
      <c r="AO782" s="70"/>
      <c r="AP782" s="70"/>
      <c r="AQ782" s="70"/>
      <c r="AR782" s="70"/>
      <c r="AS782" s="70"/>
      <c r="AT782" s="70"/>
      <c r="AU782" s="70"/>
      <c r="AV782" s="70"/>
      <c r="AW782" s="70"/>
      <c r="AX782" s="70"/>
      <c r="AY782" s="70"/>
      <c r="AZ782" s="70"/>
      <c r="BA782" s="70"/>
      <c r="BB782" s="70"/>
    </row>
    <row r="783" ht="14.25" customHeight="1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  <c r="AD783" s="70"/>
      <c r="AE783" s="70"/>
      <c r="AF783" s="70"/>
      <c r="AG783" s="70"/>
      <c r="AH783" s="70"/>
      <c r="AI783" s="70"/>
      <c r="AJ783" s="70"/>
      <c r="AK783" s="70"/>
      <c r="AL783" s="70"/>
      <c r="AM783" s="70"/>
      <c r="AN783" s="70"/>
      <c r="AO783" s="70"/>
      <c r="AP783" s="70"/>
      <c r="AQ783" s="70"/>
      <c r="AR783" s="70"/>
      <c r="AS783" s="70"/>
      <c r="AT783" s="70"/>
      <c r="AU783" s="70"/>
      <c r="AV783" s="70"/>
      <c r="AW783" s="70"/>
      <c r="AX783" s="70"/>
      <c r="AY783" s="70"/>
      <c r="AZ783" s="70"/>
      <c r="BA783" s="70"/>
      <c r="BB783" s="70"/>
    </row>
    <row r="784" ht="14.25" customHeight="1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  <c r="AD784" s="70"/>
      <c r="AE784" s="70"/>
      <c r="AF784" s="70"/>
      <c r="AG784" s="70"/>
      <c r="AH784" s="70"/>
      <c r="AI784" s="70"/>
      <c r="AJ784" s="70"/>
      <c r="AK784" s="70"/>
      <c r="AL784" s="70"/>
      <c r="AM784" s="70"/>
      <c r="AN784" s="70"/>
      <c r="AO784" s="70"/>
      <c r="AP784" s="70"/>
      <c r="AQ784" s="70"/>
      <c r="AR784" s="70"/>
      <c r="AS784" s="70"/>
      <c r="AT784" s="70"/>
      <c r="AU784" s="70"/>
      <c r="AV784" s="70"/>
      <c r="AW784" s="70"/>
      <c r="AX784" s="70"/>
      <c r="AY784" s="70"/>
      <c r="AZ784" s="70"/>
      <c r="BA784" s="70"/>
      <c r="BB784" s="70"/>
    </row>
    <row r="785" ht="14.25" customHeight="1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  <c r="AD785" s="70"/>
      <c r="AE785" s="70"/>
      <c r="AF785" s="70"/>
      <c r="AG785" s="70"/>
      <c r="AH785" s="70"/>
      <c r="AI785" s="70"/>
      <c r="AJ785" s="70"/>
      <c r="AK785" s="70"/>
      <c r="AL785" s="70"/>
      <c r="AM785" s="70"/>
      <c r="AN785" s="70"/>
      <c r="AO785" s="70"/>
      <c r="AP785" s="70"/>
      <c r="AQ785" s="70"/>
      <c r="AR785" s="70"/>
      <c r="AS785" s="70"/>
      <c r="AT785" s="70"/>
      <c r="AU785" s="70"/>
      <c r="AV785" s="70"/>
      <c r="AW785" s="70"/>
      <c r="AX785" s="70"/>
      <c r="AY785" s="70"/>
      <c r="AZ785" s="70"/>
      <c r="BA785" s="70"/>
      <c r="BB785" s="70"/>
    </row>
    <row r="786" ht="14.25" customHeight="1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  <c r="AC786" s="70"/>
      <c r="AD786" s="70"/>
      <c r="AE786" s="70"/>
      <c r="AF786" s="70"/>
      <c r="AG786" s="70"/>
      <c r="AH786" s="70"/>
      <c r="AI786" s="70"/>
      <c r="AJ786" s="70"/>
      <c r="AK786" s="70"/>
      <c r="AL786" s="70"/>
      <c r="AM786" s="70"/>
      <c r="AN786" s="70"/>
      <c r="AO786" s="70"/>
      <c r="AP786" s="70"/>
      <c r="AQ786" s="70"/>
      <c r="AR786" s="70"/>
      <c r="AS786" s="70"/>
      <c r="AT786" s="70"/>
      <c r="AU786" s="70"/>
      <c r="AV786" s="70"/>
      <c r="AW786" s="70"/>
      <c r="AX786" s="70"/>
      <c r="AY786" s="70"/>
      <c r="AZ786" s="70"/>
      <c r="BA786" s="70"/>
      <c r="BB786" s="70"/>
    </row>
    <row r="787" ht="14.25" customHeight="1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  <c r="AD787" s="70"/>
      <c r="AE787" s="70"/>
      <c r="AF787" s="70"/>
      <c r="AG787" s="70"/>
      <c r="AH787" s="70"/>
      <c r="AI787" s="70"/>
      <c r="AJ787" s="70"/>
      <c r="AK787" s="70"/>
      <c r="AL787" s="70"/>
      <c r="AM787" s="70"/>
      <c r="AN787" s="70"/>
      <c r="AO787" s="70"/>
      <c r="AP787" s="70"/>
      <c r="AQ787" s="70"/>
      <c r="AR787" s="70"/>
      <c r="AS787" s="70"/>
      <c r="AT787" s="70"/>
      <c r="AU787" s="70"/>
      <c r="AV787" s="70"/>
      <c r="AW787" s="70"/>
      <c r="AX787" s="70"/>
      <c r="AY787" s="70"/>
      <c r="AZ787" s="70"/>
      <c r="BA787" s="70"/>
      <c r="BB787" s="70"/>
    </row>
    <row r="788" ht="14.25" customHeight="1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  <c r="AD788" s="70"/>
      <c r="AE788" s="70"/>
      <c r="AF788" s="70"/>
      <c r="AG788" s="70"/>
      <c r="AH788" s="70"/>
      <c r="AI788" s="70"/>
      <c r="AJ788" s="70"/>
      <c r="AK788" s="70"/>
      <c r="AL788" s="70"/>
      <c r="AM788" s="70"/>
      <c r="AN788" s="70"/>
      <c r="AO788" s="70"/>
      <c r="AP788" s="70"/>
      <c r="AQ788" s="70"/>
      <c r="AR788" s="70"/>
      <c r="AS788" s="70"/>
      <c r="AT788" s="70"/>
      <c r="AU788" s="70"/>
      <c r="AV788" s="70"/>
      <c r="AW788" s="70"/>
      <c r="AX788" s="70"/>
      <c r="AY788" s="70"/>
      <c r="AZ788" s="70"/>
      <c r="BA788" s="70"/>
      <c r="BB788" s="70"/>
    </row>
    <row r="789" ht="14.25" customHeight="1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  <c r="AD789" s="70"/>
      <c r="AE789" s="70"/>
      <c r="AF789" s="70"/>
      <c r="AG789" s="70"/>
      <c r="AH789" s="70"/>
      <c r="AI789" s="70"/>
      <c r="AJ789" s="70"/>
      <c r="AK789" s="70"/>
      <c r="AL789" s="70"/>
      <c r="AM789" s="70"/>
      <c r="AN789" s="70"/>
      <c r="AO789" s="70"/>
      <c r="AP789" s="70"/>
      <c r="AQ789" s="70"/>
      <c r="AR789" s="70"/>
      <c r="AS789" s="70"/>
      <c r="AT789" s="70"/>
      <c r="AU789" s="70"/>
      <c r="AV789" s="70"/>
      <c r="AW789" s="70"/>
      <c r="AX789" s="70"/>
      <c r="AY789" s="70"/>
      <c r="AZ789" s="70"/>
      <c r="BA789" s="70"/>
      <c r="BB789" s="70"/>
    </row>
    <row r="790" ht="14.25" customHeight="1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  <c r="AD790" s="70"/>
      <c r="AE790" s="70"/>
      <c r="AF790" s="70"/>
      <c r="AG790" s="70"/>
      <c r="AH790" s="70"/>
      <c r="AI790" s="70"/>
      <c r="AJ790" s="70"/>
      <c r="AK790" s="70"/>
      <c r="AL790" s="70"/>
      <c r="AM790" s="70"/>
      <c r="AN790" s="70"/>
      <c r="AO790" s="70"/>
      <c r="AP790" s="70"/>
      <c r="AQ790" s="70"/>
      <c r="AR790" s="70"/>
      <c r="AS790" s="70"/>
      <c r="AT790" s="70"/>
      <c r="AU790" s="70"/>
      <c r="AV790" s="70"/>
      <c r="AW790" s="70"/>
      <c r="AX790" s="70"/>
      <c r="AY790" s="70"/>
      <c r="AZ790" s="70"/>
      <c r="BA790" s="70"/>
      <c r="BB790" s="70"/>
    </row>
    <row r="791" ht="14.25" customHeight="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  <c r="AD791" s="70"/>
      <c r="AE791" s="70"/>
      <c r="AF791" s="70"/>
      <c r="AG791" s="70"/>
      <c r="AH791" s="70"/>
      <c r="AI791" s="70"/>
      <c r="AJ791" s="70"/>
      <c r="AK791" s="70"/>
      <c r="AL791" s="70"/>
      <c r="AM791" s="70"/>
      <c r="AN791" s="70"/>
      <c r="AO791" s="70"/>
      <c r="AP791" s="70"/>
      <c r="AQ791" s="70"/>
      <c r="AR791" s="70"/>
      <c r="AS791" s="70"/>
      <c r="AT791" s="70"/>
      <c r="AU791" s="70"/>
      <c r="AV791" s="70"/>
      <c r="AW791" s="70"/>
      <c r="AX791" s="70"/>
      <c r="AY791" s="70"/>
      <c r="AZ791" s="70"/>
      <c r="BA791" s="70"/>
      <c r="BB791" s="70"/>
    </row>
    <row r="792" ht="14.25" customHeight="1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  <c r="AD792" s="70"/>
      <c r="AE792" s="70"/>
      <c r="AF792" s="70"/>
      <c r="AG792" s="70"/>
      <c r="AH792" s="70"/>
      <c r="AI792" s="70"/>
      <c r="AJ792" s="70"/>
      <c r="AK792" s="70"/>
      <c r="AL792" s="70"/>
      <c r="AM792" s="70"/>
      <c r="AN792" s="70"/>
      <c r="AO792" s="70"/>
      <c r="AP792" s="70"/>
      <c r="AQ792" s="70"/>
      <c r="AR792" s="70"/>
      <c r="AS792" s="70"/>
      <c r="AT792" s="70"/>
      <c r="AU792" s="70"/>
      <c r="AV792" s="70"/>
      <c r="AW792" s="70"/>
      <c r="AX792" s="70"/>
      <c r="AY792" s="70"/>
      <c r="AZ792" s="70"/>
      <c r="BA792" s="70"/>
      <c r="BB792" s="70"/>
    </row>
    <row r="793" ht="14.25" customHeight="1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  <c r="AD793" s="70"/>
      <c r="AE793" s="70"/>
      <c r="AF793" s="70"/>
      <c r="AG793" s="70"/>
      <c r="AH793" s="70"/>
      <c r="AI793" s="70"/>
      <c r="AJ793" s="70"/>
      <c r="AK793" s="70"/>
      <c r="AL793" s="70"/>
      <c r="AM793" s="70"/>
      <c r="AN793" s="70"/>
      <c r="AO793" s="70"/>
      <c r="AP793" s="70"/>
      <c r="AQ793" s="70"/>
      <c r="AR793" s="70"/>
      <c r="AS793" s="70"/>
      <c r="AT793" s="70"/>
      <c r="AU793" s="70"/>
      <c r="AV793" s="70"/>
      <c r="AW793" s="70"/>
      <c r="AX793" s="70"/>
      <c r="AY793" s="70"/>
      <c r="AZ793" s="70"/>
      <c r="BA793" s="70"/>
      <c r="BB793" s="70"/>
    </row>
    <row r="794" ht="14.25" customHeight="1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  <c r="AD794" s="70"/>
      <c r="AE794" s="70"/>
      <c r="AF794" s="70"/>
      <c r="AG794" s="70"/>
      <c r="AH794" s="70"/>
      <c r="AI794" s="70"/>
      <c r="AJ794" s="70"/>
      <c r="AK794" s="70"/>
      <c r="AL794" s="70"/>
      <c r="AM794" s="70"/>
      <c r="AN794" s="70"/>
      <c r="AO794" s="70"/>
      <c r="AP794" s="70"/>
      <c r="AQ794" s="70"/>
      <c r="AR794" s="70"/>
      <c r="AS794" s="70"/>
      <c r="AT794" s="70"/>
      <c r="AU794" s="70"/>
      <c r="AV794" s="70"/>
      <c r="AW794" s="70"/>
      <c r="AX794" s="70"/>
      <c r="AY794" s="70"/>
      <c r="AZ794" s="70"/>
      <c r="BA794" s="70"/>
      <c r="BB794" s="70"/>
    </row>
    <row r="795" ht="14.25" customHeight="1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  <c r="AD795" s="70"/>
      <c r="AE795" s="70"/>
      <c r="AF795" s="70"/>
      <c r="AG795" s="70"/>
      <c r="AH795" s="70"/>
      <c r="AI795" s="70"/>
      <c r="AJ795" s="70"/>
      <c r="AK795" s="70"/>
      <c r="AL795" s="70"/>
      <c r="AM795" s="70"/>
      <c r="AN795" s="70"/>
      <c r="AO795" s="70"/>
      <c r="AP795" s="70"/>
      <c r="AQ795" s="70"/>
      <c r="AR795" s="70"/>
      <c r="AS795" s="70"/>
      <c r="AT795" s="70"/>
      <c r="AU795" s="70"/>
      <c r="AV795" s="70"/>
      <c r="AW795" s="70"/>
      <c r="AX795" s="70"/>
      <c r="AY795" s="70"/>
      <c r="AZ795" s="70"/>
      <c r="BA795" s="70"/>
      <c r="BB795" s="70"/>
    </row>
    <row r="796" ht="14.25" customHeight="1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  <c r="AD796" s="70"/>
      <c r="AE796" s="70"/>
      <c r="AF796" s="70"/>
      <c r="AG796" s="70"/>
      <c r="AH796" s="70"/>
      <c r="AI796" s="70"/>
      <c r="AJ796" s="70"/>
      <c r="AK796" s="70"/>
      <c r="AL796" s="70"/>
      <c r="AM796" s="70"/>
      <c r="AN796" s="70"/>
      <c r="AO796" s="70"/>
      <c r="AP796" s="70"/>
      <c r="AQ796" s="70"/>
      <c r="AR796" s="70"/>
      <c r="AS796" s="70"/>
      <c r="AT796" s="70"/>
      <c r="AU796" s="70"/>
      <c r="AV796" s="70"/>
      <c r="AW796" s="70"/>
      <c r="AX796" s="70"/>
      <c r="AY796" s="70"/>
      <c r="AZ796" s="70"/>
      <c r="BA796" s="70"/>
      <c r="BB796" s="70"/>
    </row>
    <row r="797" ht="14.25" customHeight="1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  <c r="AD797" s="70"/>
      <c r="AE797" s="70"/>
      <c r="AF797" s="70"/>
      <c r="AG797" s="70"/>
      <c r="AH797" s="70"/>
      <c r="AI797" s="70"/>
      <c r="AJ797" s="70"/>
      <c r="AK797" s="70"/>
      <c r="AL797" s="70"/>
      <c r="AM797" s="70"/>
      <c r="AN797" s="70"/>
      <c r="AO797" s="70"/>
      <c r="AP797" s="70"/>
      <c r="AQ797" s="70"/>
      <c r="AR797" s="70"/>
      <c r="AS797" s="70"/>
      <c r="AT797" s="70"/>
      <c r="AU797" s="70"/>
      <c r="AV797" s="70"/>
      <c r="AW797" s="70"/>
      <c r="AX797" s="70"/>
      <c r="AY797" s="70"/>
      <c r="AZ797" s="70"/>
      <c r="BA797" s="70"/>
      <c r="BB797" s="70"/>
    </row>
    <row r="798" ht="14.25" customHeight="1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  <c r="AD798" s="70"/>
      <c r="AE798" s="70"/>
      <c r="AF798" s="70"/>
      <c r="AG798" s="70"/>
      <c r="AH798" s="70"/>
      <c r="AI798" s="70"/>
      <c r="AJ798" s="70"/>
      <c r="AK798" s="70"/>
      <c r="AL798" s="70"/>
      <c r="AM798" s="70"/>
      <c r="AN798" s="70"/>
      <c r="AO798" s="70"/>
      <c r="AP798" s="70"/>
      <c r="AQ798" s="70"/>
      <c r="AR798" s="70"/>
      <c r="AS798" s="70"/>
      <c r="AT798" s="70"/>
      <c r="AU798" s="70"/>
      <c r="AV798" s="70"/>
      <c r="AW798" s="70"/>
      <c r="AX798" s="70"/>
      <c r="AY798" s="70"/>
      <c r="AZ798" s="70"/>
      <c r="BA798" s="70"/>
      <c r="BB798" s="70"/>
    </row>
    <row r="799" ht="14.25" customHeight="1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  <c r="AD799" s="70"/>
      <c r="AE799" s="70"/>
      <c r="AF799" s="70"/>
      <c r="AG799" s="70"/>
      <c r="AH799" s="70"/>
      <c r="AI799" s="70"/>
      <c r="AJ799" s="70"/>
      <c r="AK799" s="70"/>
      <c r="AL799" s="70"/>
      <c r="AM799" s="70"/>
      <c r="AN799" s="70"/>
      <c r="AO799" s="70"/>
      <c r="AP799" s="70"/>
      <c r="AQ799" s="70"/>
      <c r="AR799" s="70"/>
      <c r="AS799" s="70"/>
      <c r="AT799" s="70"/>
      <c r="AU799" s="70"/>
      <c r="AV799" s="70"/>
      <c r="AW799" s="70"/>
      <c r="AX799" s="70"/>
      <c r="AY799" s="70"/>
      <c r="AZ799" s="70"/>
      <c r="BA799" s="70"/>
      <c r="BB799" s="70"/>
    </row>
    <row r="800" ht="14.25" customHeight="1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  <c r="AD800" s="70"/>
      <c r="AE800" s="70"/>
      <c r="AF800" s="70"/>
      <c r="AG800" s="70"/>
      <c r="AH800" s="70"/>
      <c r="AI800" s="70"/>
      <c r="AJ800" s="70"/>
      <c r="AK800" s="70"/>
      <c r="AL800" s="70"/>
      <c r="AM800" s="70"/>
      <c r="AN800" s="70"/>
      <c r="AO800" s="70"/>
      <c r="AP800" s="70"/>
      <c r="AQ800" s="70"/>
      <c r="AR800" s="70"/>
      <c r="AS800" s="70"/>
      <c r="AT800" s="70"/>
      <c r="AU800" s="70"/>
      <c r="AV800" s="70"/>
      <c r="AW800" s="70"/>
      <c r="AX800" s="70"/>
      <c r="AY800" s="70"/>
      <c r="AZ800" s="70"/>
      <c r="BA800" s="70"/>
      <c r="BB800" s="70"/>
    </row>
    <row r="801" ht="14.25" customHeight="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  <c r="AD801" s="70"/>
      <c r="AE801" s="70"/>
      <c r="AF801" s="70"/>
      <c r="AG801" s="70"/>
      <c r="AH801" s="70"/>
      <c r="AI801" s="70"/>
      <c r="AJ801" s="70"/>
      <c r="AK801" s="70"/>
      <c r="AL801" s="70"/>
      <c r="AM801" s="70"/>
      <c r="AN801" s="70"/>
      <c r="AO801" s="70"/>
      <c r="AP801" s="70"/>
      <c r="AQ801" s="70"/>
      <c r="AR801" s="70"/>
      <c r="AS801" s="70"/>
      <c r="AT801" s="70"/>
      <c r="AU801" s="70"/>
      <c r="AV801" s="70"/>
      <c r="AW801" s="70"/>
      <c r="AX801" s="70"/>
      <c r="AY801" s="70"/>
      <c r="AZ801" s="70"/>
      <c r="BA801" s="70"/>
      <c r="BB801" s="70"/>
    </row>
    <row r="802" ht="14.25" customHeight="1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  <c r="AD802" s="70"/>
      <c r="AE802" s="70"/>
      <c r="AF802" s="70"/>
      <c r="AG802" s="70"/>
      <c r="AH802" s="70"/>
      <c r="AI802" s="70"/>
      <c r="AJ802" s="70"/>
      <c r="AK802" s="70"/>
      <c r="AL802" s="70"/>
      <c r="AM802" s="70"/>
      <c r="AN802" s="70"/>
      <c r="AO802" s="70"/>
      <c r="AP802" s="70"/>
      <c r="AQ802" s="70"/>
      <c r="AR802" s="70"/>
      <c r="AS802" s="70"/>
      <c r="AT802" s="70"/>
      <c r="AU802" s="70"/>
      <c r="AV802" s="70"/>
      <c r="AW802" s="70"/>
      <c r="AX802" s="70"/>
      <c r="AY802" s="70"/>
      <c r="AZ802" s="70"/>
      <c r="BA802" s="70"/>
      <c r="BB802" s="70"/>
    </row>
    <row r="803" ht="14.25" customHeight="1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  <c r="AD803" s="70"/>
      <c r="AE803" s="70"/>
      <c r="AF803" s="70"/>
      <c r="AG803" s="70"/>
      <c r="AH803" s="70"/>
      <c r="AI803" s="70"/>
      <c r="AJ803" s="70"/>
      <c r="AK803" s="70"/>
      <c r="AL803" s="70"/>
      <c r="AM803" s="70"/>
      <c r="AN803" s="70"/>
      <c r="AO803" s="70"/>
      <c r="AP803" s="70"/>
      <c r="AQ803" s="70"/>
      <c r="AR803" s="70"/>
      <c r="AS803" s="70"/>
      <c r="AT803" s="70"/>
      <c r="AU803" s="70"/>
      <c r="AV803" s="70"/>
      <c r="AW803" s="70"/>
      <c r="AX803" s="70"/>
      <c r="AY803" s="70"/>
      <c r="AZ803" s="70"/>
      <c r="BA803" s="70"/>
      <c r="BB803" s="70"/>
    </row>
    <row r="804" ht="14.25" customHeight="1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  <c r="AD804" s="70"/>
      <c r="AE804" s="70"/>
      <c r="AF804" s="70"/>
      <c r="AG804" s="70"/>
      <c r="AH804" s="70"/>
      <c r="AI804" s="70"/>
      <c r="AJ804" s="70"/>
      <c r="AK804" s="70"/>
      <c r="AL804" s="70"/>
      <c r="AM804" s="70"/>
      <c r="AN804" s="70"/>
      <c r="AO804" s="70"/>
      <c r="AP804" s="70"/>
      <c r="AQ804" s="70"/>
      <c r="AR804" s="70"/>
      <c r="AS804" s="70"/>
      <c r="AT804" s="70"/>
      <c r="AU804" s="70"/>
      <c r="AV804" s="70"/>
      <c r="AW804" s="70"/>
      <c r="AX804" s="70"/>
      <c r="AY804" s="70"/>
      <c r="AZ804" s="70"/>
      <c r="BA804" s="70"/>
      <c r="BB804" s="70"/>
    </row>
    <row r="805" ht="14.25" customHeight="1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  <c r="AD805" s="70"/>
      <c r="AE805" s="70"/>
      <c r="AF805" s="70"/>
      <c r="AG805" s="70"/>
      <c r="AH805" s="70"/>
      <c r="AI805" s="70"/>
      <c r="AJ805" s="70"/>
      <c r="AK805" s="70"/>
      <c r="AL805" s="70"/>
      <c r="AM805" s="70"/>
      <c r="AN805" s="70"/>
      <c r="AO805" s="70"/>
      <c r="AP805" s="70"/>
      <c r="AQ805" s="70"/>
      <c r="AR805" s="70"/>
      <c r="AS805" s="70"/>
      <c r="AT805" s="70"/>
      <c r="AU805" s="70"/>
      <c r="AV805" s="70"/>
      <c r="AW805" s="70"/>
      <c r="AX805" s="70"/>
      <c r="AY805" s="70"/>
      <c r="AZ805" s="70"/>
      <c r="BA805" s="70"/>
      <c r="BB805" s="70"/>
    </row>
    <row r="806" ht="14.25" customHeight="1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  <c r="AD806" s="70"/>
      <c r="AE806" s="70"/>
      <c r="AF806" s="70"/>
      <c r="AG806" s="70"/>
      <c r="AH806" s="70"/>
      <c r="AI806" s="70"/>
      <c r="AJ806" s="70"/>
      <c r="AK806" s="70"/>
      <c r="AL806" s="70"/>
      <c r="AM806" s="70"/>
      <c r="AN806" s="70"/>
      <c r="AO806" s="70"/>
      <c r="AP806" s="70"/>
      <c r="AQ806" s="70"/>
      <c r="AR806" s="70"/>
      <c r="AS806" s="70"/>
      <c r="AT806" s="70"/>
      <c r="AU806" s="70"/>
      <c r="AV806" s="70"/>
      <c r="AW806" s="70"/>
      <c r="AX806" s="70"/>
      <c r="AY806" s="70"/>
      <c r="AZ806" s="70"/>
      <c r="BA806" s="70"/>
      <c r="BB806" s="70"/>
    </row>
    <row r="807" ht="14.25" customHeight="1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  <c r="AD807" s="70"/>
      <c r="AE807" s="70"/>
      <c r="AF807" s="70"/>
      <c r="AG807" s="70"/>
      <c r="AH807" s="70"/>
      <c r="AI807" s="70"/>
      <c r="AJ807" s="70"/>
      <c r="AK807" s="70"/>
      <c r="AL807" s="70"/>
      <c r="AM807" s="70"/>
      <c r="AN807" s="70"/>
      <c r="AO807" s="70"/>
      <c r="AP807" s="70"/>
      <c r="AQ807" s="70"/>
      <c r="AR807" s="70"/>
      <c r="AS807" s="70"/>
      <c r="AT807" s="70"/>
      <c r="AU807" s="70"/>
      <c r="AV807" s="70"/>
      <c r="AW807" s="70"/>
      <c r="AX807" s="70"/>
      <c r="AY807" s="70"/>
      <c r="AZ807" s="70"/>
      <c r="BA807" s="70"/>
      <c r="BB807" s="70"/>
    </row>
    <row r="808" ht="14.25" customHeight="1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  <c r="AD808" s="70"/>
      <c r="AE808" s="70"/>
      <c r="AF808" s="70"/>
      <c r="AG808" s="70"/>
      <c r="AH808" s="70"/>
      <c r="AI808" s="70"/>
      <c r="AJ808" s="70"/>
      <c r="AK808" s="70"/>
      <c r="AL808" s="70"/>
      <c r="AM808" s="70"/>
      <c r="AN808" s="70"/>
      <c r="AO808" s="70"/>
      <c r="AP808" s="70"/>
      <c r="AQ808" s="70"/>
      <c r="AR808" s="70"/>
      <c r="AS808" s="70"/>
      <c r="AT808" s="70"/>
      <c r="AU808" s="70"/>
      <c r="AV808" s="70"/>
      <c r="AW808" s="70"/>
      <c r="AX808" s="70"/>
      <c r="AY808" s="70"/>
      <c r="AZ808" s="70"/>
      <c r="BA808" s="70"/>
      <c r="BB808" s="70"/>
    </row>
    <row r="809" ht="14.25" customHeight="1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  <c r="AD809" s="70"/>
      <c r="AE809" s="70"/>
      <c r="AF809" s="70"/>
      <c r="AG809" s="70"/>
      <c r="AH809" s="70"/>
      <c r="AI809" s="70"/>
      <c r="AJ809" s="70"/>
      <c r="AK809" s="70"/>
      <c r="AL809" s="70"/>
      <c r="AM809" s="70"/>
      <c r="AN809" s="70"/>
      <c r="AO809" s="70"/>
      <c r="AP809" s="70"/>
      <c r="AQ809" s="70"/>
      <c r="AR809" s="70"/>
      <c r="AS809" s="70"/>
      <c r="AT809" s="70"/>
      <c r="AU809" s="70"/>
      <c r="AV809" s="70"/>
      <c r="AW809" s="70"/>
      <c r="AX809" s="70"/>
      <c r="AY809" s="70"/>
      <c r="AZ809" s="70"/>
      <c r="BA809" s="70"/>
      <c r="BB809" s="70"/>
    </row>
    <row r="810" ht="14.25" customHeight="1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  <c r="AD810" s="70"/>
      <c r="AE810" s="70"/>
      <c r="AF810" s="70"/>
      <c r="AG810" s="70"/>
      <c r="AH810" s="70"/>
      <c r="AI810" s="70"/>
      <c r="AJ810" s="70"/>
      <c r="AK810" s="70"/>
      <c r="AL810" s="70"/>
      <c r="AM810" s="70"/>
      <c r="AN810" s="70"/>
      <c r="AO810" s="70"/>
      <c r="AP810" s="70"/>
      <c r="AQ810" s="70"/>
      <c r="AR810" s="70"/>
      <c r="AS810" s="70"/>
      <c r="AT810" s="70"/>
      <c r="AU810" s="70"/>
      <c r="AV810" s="70"/>
      <c r="AW810" s="70"/>
      <c r="AX810" s="70"/>
      <c r="AY810" s="70"/>
      <c r="AZ810" s="70"/>
      <c r="BA810" s="70"/>
      <c r="BB810" s="70"/>
    </row>
    <row r="811" ht="14.25" customHeight="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  <c r="AD811" s="70"/>
      <c r="AE811" s="70"/>
      <c r="AF811" s="70"/>
      <c r="AG811" s="70"/>
      <c r="AH811" s="70"/>
      <c r="AI811" s="70"/>
      <c r="AJ811" s="70"/>
      <c r="AK811" s="70"/>
      <c r="AL811" s="70"/>
      <c r="AM811" s="70"/>
      <c r="AN811" s="70"/>
      <c r="AO811" s="70"/>
      <c r="AP811" s="70"/>
      <c r="AQ811" s="70"/>
      <c r="AR811" s="70"/>
      <c r="AS811" s="70"/>
      <c r="AT811" s="70"/>
      <c r="AU811" s="70"/>
      <c r="AV811" s="70"/>
      <c r="AW811" s="70"/>
      <c r="AX811" s="70"/>
      <c r="AY811" s="70"/>
      <c r="AZ811" s="70"/>
      <c r="BA811" s="70"/>
      <c r="BB811" s="70"/>
    </row>
    <row r="812" ht="14.25" customHeight="1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  <c r="AD812" s="70"/>
      <c r="AE812" s="70"/>
      <c r="AF812" s="70"/>
      <c r="AG812" s="70"/>
      <c r="AH812" s="70"/>
      <c r="AI812" s="70"/>
      <c r="AJ812" s="70"/>
      <c r="AK812" s="70"/>
      <c r="AL812" s="70"/>
      <c r="AM812" s="70"/>
      <c r="AN812" s="70"/>
      <c r="AO812" s="70"/>
      <c r="AP812" s="70"/>
      <c r="AQ812" s="70"/>
      <c r="AR812" s="70"/>
      <c r="AS812" s="70"/>
      <c r="AT812" s="70"/>
      <c r="AU812" s="70"/>
      <c r="AV812" s="70"/>
      <c r="AW812" s="70"/>
      <c r="AX812" s="70"/>
      <c r="AY812" s="70"/>
      <c r="AZ812" s="70"/>
      <c r="BA812" s="70"/>
      <c r="BB812" s="70"/>
    </row>
    <row r="813" ht="14.25" customHeight="1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  <c r="AD813" s="70"/>
      <c r="AE813" s="70"/>
      <c r="AF813" s="70"/>
      <c r="AG813" s="70"/>
      <c r="AH813" s="70"/>
      <c r="AI813" s="70"/>
      <c r="AJ813" s="70"/>
      <c r="AK813" s="70"/>
      <c r="AL813" s="70"/>
      <c r="AM813" s="70"/>
      <c r="AN813" s="70"/>
      <c r="AO813" s="70"/>
      <c r="AP813" s="70"/>
      <c r="AQ813" s="70"/>
      <c r="AR813" s="70"/>
      <c r="AS813" s="70"/>
      <c r="AT813" s="70"/>
      <c r="AU813" s="70"/>
      <c r="AV813" s="70"/>
      <c r="AW813" s="70"/>
      <c r="AX813" s="70"/>
      <c r="AY813" s="70"/>
      <c r="AZ813" s="70"/>
      <c r="BA813" s="70"/>
      <c r="BB813" s="70"/>
    </row>
    <row r="814" ht="14.25" customHeight="1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  <c r="AD814" s="70"/>
      <c r="AE814" s="70"/>
      <c r="AF814" s="70"/>
      <c r="AG814" s="70"/>
      <c r="AH814" s="70"/>
      <c r="AI814" s="70"/>
      <c r="AJ814" s="70"/>
      <c r="AK814" s="70"/>
      <c r="AL814" s="70"/>
      <c r="AM814" s="70"/>
      <c r="AN814" s="70"/>
      <c r="AO814" s="70"/>
      <c r="AP814" s="70"/>
      <c r="AQ814" s="70"/>
      <c r="AR814" s="70"/>
      <c r="AS814" s="70"/>
      <c r="AT814" s="70"/>
      <c r="AU814" s="70"/>
      <c r="AV814" s="70"/>
      <c r="AW814" s="70"/>
      <c r="AX814" s="70"/>
      <c r="AY814" s="70"/>
      <c r="AZ814" s="70"/>
      <c r="BA814" s="70"/>
      <c r="BB814" s="70"/>
    </row>
    <row r="815" ht="14.25" customHeight="1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  <c r="AD815" s="70"/>
      <c r="AE815" s="70"/>
      <c r="AF815" s="70"/>
      <c r="AG815" s="70"/>
      <c r="AH815" s="70"/>
      <c r="AI815" s="70"/>
      <c r="AJ815" s="70"/>
      <c r="AK815" s="70"/>
      <c r="AL815" s="70"/>
      <c r="AM815" s="70"/>
      <c r="AN815" s="70"/>
      <c r="AO815" s="70"/>
      <c r="AP815" s="70"/>
      <c r="AQ815" s="70"/>
      <c r="AR815" s="70"/>
      <c r="AS815" s="70"/>
      <c r="AT815" s="70"/>
      <c r="AU815" s="70"/>
      <c r="AV815" s="70"/>
      <c r="AW815" s="70"/>
      <c r="AX815" s="70"/>
      <c r="AY815" s="70"/>
      <c r="AZ815" s="70"/>
      <c r="BA815" s="70"/>
      <c r="BB815" s="70"/>
    </row>
    <row r="816" ht="14.25" customHeight="1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  <c r="AD816" s="70"/>
      <c r="AE816" s="70"/>
      <c r="AF816" s="70"/>
      <c r="AG816" s="70"/>
      <c r="AH816" s="70"/>
      <c r="AI816" s="70"/>
      <c r="AJ816" s="70"/>
      <c r="AK816" s="70"/>
      <c r="AL816" s="70"/>
      <c r="AM816" s="70"/>
      <c r="AN816" s="70"/>
      <c r="AO816" s="70"/>
      <c r="AP816" s="70"/>
      <c r="AQ816" s="70"/>
      <c r="AR816" s="70"/>
      <c r="AS816" s="70"/>
      <c r="AT816" s="70"/>
      <c r="AU816" s="70"/>
      <c r="AV816" s="70"/>
      <c r="AW816" s="70"/>
      <c r="AX816" s="70"/>
      <c r="AY816" s="70"/>
      <c r="AZ816" s="70"/>
      <c r="BA816" s="70"/>
      <c r="BB816" s="70"/>
    </row>
    <row r="817" ht="14.25" customHeight="1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  <c r="AD817" s="70"/>
      <c r="AE817" s="70"/>
      <c r="AF817" s="70"/>
      <c r="AG817" s="70"/>
      <c r="AH817" s="70"/>
      <c r="AI817" s="70"/>
      <c r="AJ817" s="70"/>
      <c r="AK817" s="70"/>
      <c r="AL817" s="70"/>
      <c r="AM817" s="70"/>
      <c r="AN817" s="70"/>
      <c r="AO817" s="70"/>
      <c r="AP817" s="70"/>
      <c r="AQ817" s="70"/>
      <c r="AR817" s="70"/>
      <c r="AS817" s="70"/>
      <c r="AT817" s="70"/>
      <c r="AU817" s="70"/>
      <c r="AV817" s="70"/>
      <c r="AW817" s="70"/>
      <c r="AX817" s="70"/>
      <c r="AY817" s="70"/>
      <c r="AZ817" s="70"/>
      <c r="BA817" s="70"/>
      <c r="BB817" s="70"/>
    </row>
    <row r="818" ht="14.25" customHeight="1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  <c r="AD818" s="70"/>
      <c r="AE818" s="70"/>
      <c r="AF818" s="70"/>
      <c r="AG818" s="70"/>
      <c r="AH818" s="70"/>
      <c r="AI818" s="70"/>
      <c r="AJ818" s="70"/>
      <c r="AK818" s="70"/>
      <c r="AL818" s="70"/>
      <c r="AM818" s="70"/>
      <c r="AN818" s="70"/>
      <c r="AO818" s="70"/>
      <c r="AP818" s="70"/>
      <c r="AQ818" s="70"/>
      <c r="AR818" s="70"/>
      <c r="AS818" s="70"/>
      <c r="AT818" s="70"/>
      <c r="AU818" s="70"/>
      <c r="AV818" s="70"/>
      <c r="AW818" s="70"/>
      <c r="AX818" s="70"/>
      <c r="AY818" s="70"/>
      <c r="AZ818" s="70"/>
      <c r="BA818" s="70"/>
      <c r="BB818" s="70"/>
    </row>
    <row r="819" ht="14.25" customHeight="1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  <c r="AD819" s="70"/>
      <c r="AE819" s="70"/>
      <c r="AF819" s="70"/>
      <c r="AG819" s="70"/>
      <c r="AH819" s="70"/>
      <c r="AI819" s="70"/>
      <c r="AJ819" s="70"/>
      <c r="AK819" s="70"/>
      <c r="AL819" s="70"/>
      <c r="AM819" s="70"/>
      <c r="AN819" s="70"/>
      <c r="AO819" s="70"/>
      <c r="AP819" s="70"/>
      <c r="AQ819" s="70"/>
      <c r="AR819" s="70"/>
      <c r="AS819" s="70"/>
      <c r="AT819" s="70"/>
      <c r="AU819" s="70"/>
      <c r="AV819" s="70"/>
      <c r="AW819" s="70"/>
      <c r="AX819" s="70"/>
      <c r="AY819" s="70"/>
      <c r="AZ819" s="70"/>
      <c r="BA819" s="70"/>
      <c r="BB819" s="70"/>
    </row>
    <row r="820" ht="14.25" customHeight="1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  <c r="AD820" s="70"/>
      <c r="AE820" s="70"/>
      <c r="AF820" s="70"/>
      <c r="AG820" s="70"/>
      <c r="AH820" s="70"/>
      <c r="AI820" s="70"/>
      <c r="AJ820" s="70"/>
      <c r="AK820" s="70"/>
      <c r="AL820" s="70"/>
      <c r="AM820" s="70"/>
      <c r="AN820" s="70"/>
      <c r="AO820" s="70"/>
      <c r="AP820" s="70"/>
      <c r="AQ820" s="70"/>
      <c r="AR820" s="70"/>
      <c r="AS820" s="70"/>
      <c r="AT820" s="70"/>
      <c r="AU820" s="70"/>
      <c r="AV820" s="70"/>
      <c r="AW820" s="70"/>
      <c r="AX820" s="70"/>
      <c r="AY820" s="70"/>
      <c r="AZ820" s="70"/>
      <c r="BA820" s="70"/>
      <c r="BB820" s="70"/>
    </row>
    <row r="821" ht="14.25" customHeight="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  <c r="AD821" s="70"/>
      <c r="AE821" s="70"/>
      <c r="AF821" s="70"/>
      <c r="AG821" s="70"/>
      <c r="AH821" s="70"/>
      <c r="AI821" s="70"/>
      <c r="AJ821" s="70"/>
      <c r="AK821" s="70"/>
      <c r="AL821" s="70"/>
      <c r="AM821" s="70"/>
      <c r="AN821" s="70"/>
      <c r="AO821" s="70"/>
      <c r="AP821" s="70"/>
      <c r="AQ821" s="70"/>
      <c r="AR821" s="70"/>
      <c r="AS821" s="70"/>
      <c r="AT821" s="70"/>
      <c r="AU821" s="70"/>
      <c r="AV821" s="70"/>
      <c r="AW821" s="70"/>
      <c r="AX821" s="70"/>
      <c r="AY821" s="70"/>
      <c r="AZ821" s="70"/>
      <c r="BA821" s="70"/>
      <c r="BB821" s="70"/>
    </row>
    <row r="822" ht="14.25" customHeight="1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  <c r="AD822" s="70"/>
      <c r="AE822" s="70"/>
      <c r="AF822" s="70"/>
      <c r="AG822" s="70"/>
      <c r="AH822" s="70"/>
      <c r="AI822" s="70"/>
      <c r="AJ822" s="70"/>
      <c r="AK822" s="70"/>
      <c r="AL822" s="70"/>
      <c r="AM822" s="70"/>
      <c r="AN822" s="70"/>
      <c r="AO822" s="70"/>
      <c r="AP822" s="70"/>
      <c r="AQ822" s="70"/>
      <c r="AR822" s="70"/>
      <c r="AS822" s="70"/>
      <c r="AT822" s="70"/>
      <c r="AU822" s="70"/>
      <c r="AV822" s="70"/>
      <c r="AW822" s="70"/>
      <c r="AX822" s="70"/>
      <c r="AY822" s="70"/>
      <c r="AZ822" s="70"/>
      <c r="BA822" s="70"/>
      <c r="BB822" s="70"/>
    </row>
    <row r="823" ht="14.25" customHeight="1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  <c r="AD823" s="70"/>
      <c r="AE823" s="70"/>
      <c r="AF823" s="70"/>
      <c r="AG823" s="70"/>
      <c r="AH823" s="70"/>
      <c r="AI823" s="70"/>
      <c r="AJ823" s="70"/>
      <c r="AK823" s="70"/>
      <c r="AL823" s="70"/>
      <c r="AM823" s="70"/>
      <c r="AN823" s="70"/>
      <c r="AO823" s="70"/>
      <c r="AP823" s="70"/>
      <c r="AQ823" s="70"/>
      <c r="AR823" s="70"/>
      <c r="AS823" s="70"/>
      <c r="AT823" s="70"/>
      <c r="AU823" s="70"/>
      <c r="AV823" s="70"/>
      <c r="AW823" s="70"/>
      <c r="AX823" s="70"/>
      <c r="AY823" s="70"/>
      <c r="AZ823" s="70"/>
      <c r="BA823" s="70"/>
      <c r="BB823" s="70"/>
    </row>
    <row r="824" ht="14.25" customHeight="1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  <c r="AD824" s="70"/>
      <c r="AE824" s="70"/>
      <c r="AF824" s="70"/>
      <c r="AG824" s="70"/>
      <c r="AH824" s="70"/>
      <c r="AI824" s="70"/>
      <c r="AJ824" s="70"/>
      <c r="AK824" s="70"/>
      <c r="AL824" s="70"/>
      <c r="AM824" s="70"/>
      <c r="AN824" s="70"/>
      <c r="AO824" s="70"/>
      <c r="AP824" s="70"/>
      <c r="AQ824" s="70"/>
      <c r="AR824" s="70"/>
      <c r="AS824" s="70"/>
      <c r="AT824" s="70"/>
      <c r="AU824" s="70"/>
      <c r="AV824" s="70"/>
      <c r="AW824" s="70"/>
      <c r="AX824" s="70"/>
      <c r="AY824" s="70"/>
      <c r="AZ824" s="70"/>
      <c r="BA824" s="70"/>
      <c r="BB824" s="70"/>
    </row>
    <row r="825" ht="14.25" customHeight="1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  <c r="AD825" s="70"/>
      <c r="AE825" s="70"/>
      <c r="AF825" s="70"/>
      <c r="AG825" s="70"/>
      <c r="AH825" s="70"/>
      <c r="AI825" s="70"/>
      <c r="AJ825" s="70"/>
      <c r="AK825" s="70"/>
      <c r="AL825" s="70"/>
      <c r="AM825" s="70"/>
      <c r="AN825" s="70"/>
      <c r="AO825" s="70"/>
      <c r="AP825" s="70"/>
      <c r="AQ825" s="70"/>
      <c r="AR825" s="70"/>
      <c r="AS825" s="70"/>
      <c r="AT825" s="70"/>
      <c r="AU825" s="70"/>
      <c r="AV825" s="70"/>
      <c r="AW825" s="70"/>
      <c r="AX825" s="70"/>
      <c r="AY825" s="70"/>
      <c r="AZ825" s="70"/>
      <c r="BA825" s="70"/>
      <c r="BB825" s="70"/>
    </row>
    <row r="826" ht="14.25" customHeight="1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  <c r="AD826" s="70"/>
      <c r="AE826" s="70"/>
      <c r="AF826" s="70"/>
      <c r="AG826" s="70"/>
      <c r="AH826" s="70"/>
      <c r="AI826" s="70"/>
      <c r="AJ826" s="70"/>
      <c r="AK826" s="70"/>
      <c r="AL826" s="70"/>
      <c r="AM826" s="70"/>
      <c r="AN826" s="70"/>
      <c r="AO826" s="70"/>
      <c r="AP826" s="70"/>
      <c r="AQ826" s="70"/>
      <c r="AR826" s="70"/>
      <c r="AS826" s="70"/>
      <c r="AT826" s="70"/>
      <c r="AU826" s="70"/>
      <c r="AV826" s="70"/>
      <c r="AW826" s="70"/>
      <c r="AX826" s="70"/>
      <c r="AY826" s="70"/>
      <c r="AZ826" s="70"/>
      <c r="BA826" s="70"/>
      <c r="BB826" s="70"/>
    </row>
    <row r="827" ht="14.25" customHeight="1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  <c r="AD827" s="70"/>
      <c r="AE827" s="70"/>
      <c r="AF827" s="70"/>
      <c r="AG827" s="70"/>
      <c r="AH827" s="70"/>
      <c r="AI827" s="70"/>
      <c r="AJ827" s="70"/>
      <c r="AK827" s="70"/>
      <c r="AL827" s="70"/>
      <c r="AM827" s="70"/>
      <c r="AN827" s="70"/>
      <c r="AO827" s="70"/>
      <c r="AP827" s="70"/>
      <c r="AQ827" s="70"/>
      <c r="AR827" s="70"/>
      <c r="AS827" s="70"/>
      <c r="AT827" s="70"/>
      <c r="AU827" s="70"/>
      <c r="AV827" s="70"/>
      <c r="AW827" s="70"/>
      <c r="AX827" s="70"/>
      <c r="AY827" s="70"/>
      <c r="AZ827" s="70"/>
      <c r="BA827" s="70"/>
      <c r="BB827" s="70"/>
    </row>
    <row r="828" ht="14.25" customHeight="1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  <c r="AD828" s="70"/>
      <c r="AE828" s="70"/>
      <c r="AF828" s="70"/>
      <c r="AG828" s="70"/>
      <c r="AH828" s="70"/>
      <c r="AI828" s="70"/>
      <c r="AJ828" s="70"/>
      <c r="AK828" s="70"/>
      <c r="AL828" s="70"/>
      <c r="AM828" s="70"/>
      <c r="AN828" s="70"/>
      <c r="AO828" s="70"/>
      <c r="AP828" s="70"/>
      <c r="AQ828" s="70"/>
      <c r="AR828" s="70"/>
      <c r="AS828" s="70"/>
      <c r="AT828" s="70"/>
      <c r="AU828" s="70"/>
      <c r="AV828" s="70"/>
      <c r="AW828" s="70"/>
      <c r="AX828" s="70"/>
      <c r="AY828" s="70"/>
      <c r="AZ828" s="70"/>
      <c r="BA828" s="70"/>
      <c r="BB828" s="70"/>
    </row>
    <row r="829" ht="14.25" customHeight="1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  <c r="AD829" s="70"/>
      <c r="AE829" s="70"/>
      <c r="AF829" s="70"/>
      <c r="AG829" s="70"/>
      <c r="AH829" s="70"/>
      <c r="AI829" s="70"/>
      <c r="AJ829" s="70"/>
      <c r="AK829" s="70"/>
      <c r="AL829" s="70"/>
      <c r="AM829" s="70"/>
      <c r="AN829" s="70"/>
      <c r="AO829" s="70"/>
      <c r="AP829" s="70"/>
      <c r="AQ829" s="70"/>
      <c r="AR829" s="70"/>
      <c r="AS829" s="70"/>
      <c r="AT829" s="70"/>
      <c r="AU829" s="70"/>
      <c r="AV829" s="70"/>
      <c r="AW829" s="70"/>
      <c r="AX829" s="70"/>
      <c r="AY829" s="70"/>
      <c r="AZ829" s="70"/>
      <c r="BA829" s="70"/>
      <c r="BB829" s="70"/>
    </row>
    <row r="830" ht="14.25" customHeight="1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  <c r="AD830" s="70"/>
      <c r="AE830" s="70"/>
      <c r="AF830" s="70"/>
      <c r="AG830" s="70"/>
      <c r="AH830" s="70"/>
      <c r="AI830" s="70"/>
      <c r="AJ830" s="70"/>
      <c r="AK830" s="70"/>
      <c r="AL830" s="70"/>
      <c r="AM830" s="70"/>
      <c r="AN830" s="70"/>
      <c r="AO830" s="70"/>
      <c r="AP830" s="70"/>
      <c r="AQ830" s="70"/>
      <c r="AR830" s="70"/>
      <c r="AS830" s="70"/>
      <c r="AT830" s="70"/>
      <c r="AU830" s="70"/>
      <c r="AV830" s="70"/>
      <c r="AW830" s="70"/>
      <c r="AX830" s="70"/>
      <c r="AY830" s="70"/>
      <c r="AZ830" s="70"/>
      <c r="BA830" s="70"/>
      <c r="BB830" s="70"/>
    </row>
    <row r="831" ht="14.25" customHeight="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  <c r="AD831" s="70"/>
      <c r="AE831" s="70"/>
      <c r="AF831" s="70"/>
      <c r="AG831" s="70"/>
      <c r="AH831" s="70"/>
      <c r="AI831" s="70"/>
      <c r="AJ831" s="70"/>
      <c r="AK831" s="70"/>
      <c r="AL831" s="70"/>
      <c r="AM831" s="70"/>
      <c r="AN831" s="70"/>
      <c r="AO831" s="70"/>
      <c r="AP831" s="70"/>
      <c r="AQ831" s="70"/>
      <c r="AR831" s="70"/>
      <c r="AS831" s="70"/>
      <c r="AT831" s="70"/>
      <c r="AU831" s="70"/>
      <c r="AV831" s="70"/>
      <c r="AW831" s="70"/>
      <c r="AX831" s="70"/>
      <c r="AY831" s="70"/>
      <c r="AZ831" s="70"/>
      <c r="BA831" s="70"/>
      <c r="BB831" s="70"/>
    </row>
    <row r="832" ht="14.25" customHeight="1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  <c r="AD832" s="70"/>
      <c r="AE832" s="70"/>
      <c r="AF832" s="70"/>
      <c r="AG832" s="70"/>
      <c r="AH832" s="70"/>
      <c r="AI832" s="70"/>
      <c r="AJ832" s="70"/>
      <c r="AK832" s="70"/>
      <c r="AL832" s="70"/>
      <c r="AM832" s="70"/>
      <c r="AN832" s="70"/>
      <c r="AO832" s="70"/>
      <c r="AP832" s="70"/>
      <c r="AQ832" s="70"/>
      <c r="AR832" s="70"/>
      <c r="AS832" s="70"/>
      <c r="AT832" s="70"/>
      <c r="AU832" s="70"/>
      <c r="AV832" s="70"/>
      <c r="AW832" s="70"/>
      <c r="AX832" s="70"/>
      <c r="AY832" s="70"/>
      <c r="AZ832" s="70"/>
      <c r="BA832" s="70"/>
      <c r="BB832" s="70"/>
    </row>
    <row r="833" ht="14.25" customHeight="1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  <c r="AD833" s="70"/>
      <c r="AE833" s="70"/>
      <c r="AF833" s="70"/>
      <c r="AG833" s="70"/>
      <c r="AH833" s="70"/>
      <c r="AI833" s="70"/>
      <c r="AJ833" s="70"/>
      <c r="AK833" s="70"/>
      <c r="AL833" s="70"/>
      <c r="AM833" s="70"/>
      <c r="AN833" s="70"/>
      <c r="AO833" s="70"/>
      <c r="AP833" s="70"/>
      <c r="AQ833" s="70"/>
      <c r="AR833" s="70"/>
      <c r="AS833" s="70"/>
      <c r="AT833" s="70"/>
      <c r="AU833" s="70"/>
      <c r="AV833" s="70"/>
      <c r="AW833" s="70"/>
      <c r="AX833" s="70"/>
      <c r="AY833" s="70"/>
      <c r="AZ833" s="70"/>
      <c r="BA833" s="70"/>
      <c r="BB833" s="70"/>
    </row>
    <row r="834" ht="14.25" customHeight="1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  <c r="AD834" s="70"/>
      <c r="AE834" s="70"/>
      <c r="AF834" s="70"/>
      <c r="AG834" s="70"/>
      <c r="AH834" s="70"/>
      <c r="AI834" s="70"/>
      <c r="AJ834" s="70"/>
      <c r="AK834" s="70"/>
      <c r="AL834" s="70"/>
      <c r="AM834" s="70"/>
      <c r="AN834" s="70"/>
      <c r="AO834" s="70"/>
      <c r="AP834" s="70"/>
      <c r="AQ834" s="70"/>
      <c r="AR834" s="70"/>
      <c r="AS834" s="70"/>
      <c r="AT834" s="70"/>
      <c r="AU834" s="70"/>
      <c r="AV834" s="70"/>
      <c r="AW834" s="70"/>
      <c r="AX834" s="70"/>
      <c r="AY834" s="70"/>
      <c r="AZ834" s="70"/>
      <c r="BA834" s="70"/>
      <c r="BB834" s="70"/>
    </row>
    <row r="835" ht="14.25" customHeight="1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  <c r="AD835" s="70"/>
      <c r="AE835" s="70"/>
      <c r="AF835" s="70"/>
      <c r="AG835" s="70"/>
      <c r="AH835" s="70"/>
      <c r="AI835" s="70"/>
      <c r="AJ835" s="70"/>
      <c r="AK835" s="70"/>
      <c r="AL835" s="70"/>
      <c r="AM835" s="70"/>
      <c r="AN835" s="70"/>
      <c r="AO835" s="70"/>
      <c r="AP835" s="70"/>
      <c r="AQ835" s="70"/>
      <c r="AR835" s="70"/>
      <c r="AS835" s="70"/>
      <c r="AT835" s="70"/>
      <c r="AU835" s="70"/>
      <c r="AV835" s="70"/>
      <c r="AW835" s="70"/>
      <c r="AX835" s="70"/>
      <c r="AY835" s="70"/>
      <c r="AZ835" s="70"/>
      <c r="BA835" s="70"/>
      <c r="BB835" s="70"/>
    </row>
    <row r="836" ht="14.25" customHeight="1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  <c r="AD836" s="70"/>
      <c r="AE836" s="70"/>
      <c r="AF836" s="70"/>
      <c r="AG836" s="70"/>
      <c r="AH836" s="70"/>
      <c r="AI836" s="70"/>
      <c r="AJ836" s="70"/>
      <c r="AK836" s="70"/>
      <c r="AL836" s="70"/>
      <c r="AM836" s="70"/>
      <c r="AN836" s="70"/>
      <c r="AO836" s="70"/>
      <c r="AP836" s="70"/>
      <c r="AQ836" s="70"/>
      <c r="AR836" s="70"/>
      <c r="AS836" s="70"/>
      <c r="AT836" s="70"/>
      <c r="AU836" s="70"/>
      <c r="AV836" s="70"/>
      <c r="AW836" s="70"/>
      <c r="AX836" s="70"/>
      <c r="AY836" s="70"/>
      <c r="AZ836" s="70"/>
      <c r="BA836" s="70"/>
      <c r="BB836" s="70"/>
    </row>
    <row r="837" ht="14.25" customHeight="1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  <c r="AD837" s="70"/>
      <c r="AE837" s="70"/>
      <c r="AF837" s="70"/>
      <c r="AG837" s="70"/>
      <c r="AH837" s="70"/>
      <c r="AI837" s="70"/>
      <c r="AJ837" s="70"/>
      <c r="AK837" s="70"/>
      <c r="AL837" s="70"/>
      <c r="AM837" s="70"/>
      <c r="AN837" s="70"/>
      <c r="AO837" s="70"/>
      <c r="AP837" s="70"/>
      <c r="AQ837" s="70"/>
      <c r="AR837" s="70"/>
      <c r="AS837" s="70"/>
      <c r="AT837" s="70"/>
      <c r="AU837" s="70"/>
      <c r="AV837" s="70"/>
      <c r="AW837" s="70"/>
      <c r="AX837" s="70"/>
      <c r="AY837" s="70"/>
      <c r="AZ837" s="70"/>
      <c r="BA837" s="70"/>
      <c r="BB837" s="70"/>
    </row>
    <row r="838" ht="14.25" customHeight="1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  <c r="AD838" s="70"/>
      <c r="AE838" s="70"/>
      <c r="AF838" s="70"/>
      <c r="AG838" s="70"/>
      <c r="AH838" s="70"/>
      <c r="AI838" s="70"/>
      <c r="AJ838" s="70"/>
      <c r="AK838" s="70"/>
      <c r="AL838" s="70"/>
      <c r="AM838" s="70"/>
      <c r="AN838" s="70"/>
      <c r="AO838" s="70"/>
      <c r="AP838" s="70"/>
      <c r="AQ838" s="70"/>
      <c r="AR838" s="70"/>
      <c r="AS838" s="70"/>
      <c r="AT838" s="70"/>
      <c r="AU838" s="70"/>
      <c r="AV838" s="70"/>
      <c r="AW838" s="70"/>
      <c r="AX838" s="70"/>
      <c r="AY838" s="70"/>
      <c r="AZ838" s="70"/>
      <c r="BA838" s="70"/>
      <c r="BB838" s="70"/>
    </row>
    <row r="839" ht="14.25" customHeight="1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  <c r="AD839" s="70"/>
      <c r="AE839" s="70"/>
      <c r="AF839" s="70"/>
      <c r="AG839" s="70"/>
      <c r="AH839" s="70"/>
      <c r="AI839" s="70"/>
      <c r="AJ839" s="70"/>
      <c r="AK839" s="70"/>
      <c r="AL839" s="70"/>
      <c r="AM839" s="70"/>
      <c r="AN839" s="70"/>
      <c r="AO839" s="70"/>
      <c r="AP839" s="70"/>
      <c r="AQ839" s="70"/>
      <c r="AR839" s="70"/>
      <c r="AS839" s="70"/>
      <c r="AT839" s="70"/>
      <c r="AU839" s="70"/>
      <c r="AV839" s="70"/>
      <c r="AW839" s="70"/>
      <c r="AX839" s="70"/>
      <c r="AY839" s="70"/>
      <c r="AZ839" s="70"/>
      <c r="BA839" s="70"/>
      <c r="BB839" s="70"/>
    </row>
    <row r="840" ht="14.25" customHeight="1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  <c r="AD840" s="70"/>
      <c r="AE840" s="70"/>
      <c r="AF840" s="70"/>
      <c r="AG840" s="70"/>
      <c r="AH840" s="70"/>
      <c r="AI840" s="70"/>
      <c r="AJ840" s="70"/>
      <c r="AK840" s="70"/>
      <c r="AL840" s="70"/>
      <c r="AM840" s="70"/>
      <c r="AN840" s="70"/>
      <c r="AO840" s="70"/>
      <c r="AP840" s="70"/>
      <c r="AQ840" s="70"/>
      <c r="AR840" s="70"/>
      <c r="AS840" s="70"/>
      <c r="AT840" s="70"/>
      <c r="AU840" s="70"/>
      <c r="AV840" s="70"/>
      <c r="AW840" s="70"/>
      <c r="AX840" s="70"/>
      <c r="AY840" s="70"/>
      <c r="AZ840" s="70"/>
      <c r="BA840" s="70"/>
      <c r="BB840" s="70"/>
    </row>
    <row r="841" ht="14.25" customHeight="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  <c r="AD841" s="70"/>
      <c r="AE841" s="70"/>
      <c r="AF841" s="70"/>
      <c r="AG841" s="70"/>
      <c r="AH841" s="70"/>
      <c r="AI841" s="70"/>
      <c r="AJ841" s="70"/>
      <c r="AK841" s="70"/>
      <c r="AL841" s="70"/>
      <c r="AM841" s="70"/>
      <c r="AN841" s="70"/>
      <c r="AO841" s="70"/>
      <c r="AP841" s="70"/>
      <c r="AQ841" s="70"/>
      <c r="AR841" s="70"/>
      <c r="AS841" s="70"/>
      <c r="AT841" s="70"/>
      <c r="AU841" s="70"/>
      <c r="AV841" s="70"/>
      <c r="AW841" s="70"/>
      <c r="AX841" s="70"/>
      <c r="AY841" s="70"/>
      <c r="AZ841" s="70"/>
      <c r="BA841" s="70"/>
      <c r="BB841" s="70"/>
    </row>
    <row r="842" ht="14.25" customHeight="1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  <c r="AC842" s="70"/>
      <c r="AD842" s="70"/>
      <c r="AE842" s="70"/>
      <c r="AF842" s="70"/>
      <c r="AG842" s="70"/>
      <c r="AH842" s="70"/>
      <c r="AI842" s="70"/>
      <c r="AJ842" s="70"/>
      <c r="AK842" s="70"/>
      <c r="AL842" s="70"/>
      <c r="AM842" s="70"/>
      <c r="AN842" s="70"/>
      <c r="AO842" s="70"/>
      <c r="AP842" s="70"/>
      <c r="AQ842" s="70"/>
      <c r="AR842" s="70"/>
      <c r="AS842" s="70"/>
      <c r="AT842" s="70"/>
      <c r="AU842" s="70"/>
      <c r="AV842" s="70"/>
      <c r="AW842" s="70"/>
      <c r="AX842" s="70"/>
      <c r="AY842" s="70"/>
      <c r="AZ842" s="70"/>
      <c r="BA842" s="70"/>
      <c r="BB842" s="70"/>
    </row>
    <row r="843" ht="14.25" customHeight="1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  <c r="AD843" s="70"/>
      <c r="AE843" s="70"/>
      <c r="AF843" s="70"/>
      <c r="AG843" s="70"/>
      <c r="AH843" s="70"/>
      <c r="AI843" s="70"/>
      <c r="AJ843" s="70"/>
      <c r="AK843" s="70"/>
      <c r="AL843" s="70"/>
      <c r="AM843" s="70"/>
      <c r="AN843" s="70"/>
      <c r="AO843" s="70"/>
      <c r="AP843" s="70"/>
      <c r="AQ843" s="70"/>
      <c r="AR843" s="70"/>
      <c r="AS843" s="70"/>
      <c r="AT843" s="70"/>
      <c r="AU843" s="70"/>
      <c r="AV843" s="70"/>
      <c r="AW843" s="70"/>
      <c r="AX843" s="70"/>
      <c r="AY843" s="70"/>
      <c r="AZ843" s="70"/>
      <c r="BA843" s="70"/>
      <c r="BB843" s="70"/>
    </row>
    <row r="844" ht="14.25" customHeight="1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  <c r="AD844" s="70"/>
      <c r="AE844" s="70"/>
      <c r="AF844" s="70"/>
      <c r="AG844" s="70"/>
      <c r="AH844" s="70"/>
      <c r="AI844" s="70"/>
      <c r="AJ844" s="70"/>
      <c r="AK844" s="70"/>
      <c r="AL844" s="70"/>
      <c r="AM844" s="70"/>
      <c r="AN844" s="70"/>
      <c r="AO844" s="70"/>
      <c r="AP844" s="70"/>
      <c r="AQ844" s="70"/>
      <c r="AR844" s="70"/>
      <c r="AS844" s="70"/>
      <c r="AT844" s="70"/>
      <c r="AU844" s="70"/>
      <c r="AV844" s="70"/>
      <c r="AW844" s="70"/>
      <c r="AX844" s="70"/>
      <c r="AY844" s="70"/>
      <c r="AZ844" s="70"/>
      <c r="BA844" s="70"/>
      <c r="BB844" s="70"/>
    </row>
    <row r="845" ht="14.25" customHeight="1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  <c r="AD845" s="70"/>
      <c r="AE845" s="70"/>
      <c r="AF845" s="70"/>
      <c r="AG845" s="70"/>
      <c r="AH845" s="70"/>
      <c r="AI845" s="70"/>
      <c r="AJ845" s="70"/>
      <c r="AK845" s="70"/>
      <c r="AL845" s="70"/>
      <c r="AM845" s="70"/>
      <c r="AN845" s="70"/>
      <c r="AO845" s="70"/>
      <c r="AP845" s="70"/>
      <c r="AQ845" s="70"/>
      <c r="AR845" s="70"/>
      <c r="AS845" s="70"/>
      <c r="AT845" s="70"/>
      <c r="AU845" s="70"/>
      <c r="AV845" s="70"/>
      <c r="AW845" s="70"/>
      <c r="AX845" s="70"/>
      <c r="AY845" s="70"/>
      <c r="AZ845" s="70"/>
      <c r="BA845" s="70"/>
      <c r="BB845" s="70"/>
    </row>
    <row r="846" ht="14.25" customHeight="1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  <c r="AD846" s="70"/>
      <c r="AE846" s="70"/>
      <c r="AF846" s="70"/>
      <c r="AG846" s="70"/>
      <c r="AH846" s="70"/>
      <c r="AI846" s="70"/>
      <c r="AJ846" s="70"/>
      <c r="AK846" s="70"/>
      <c r="AL846" s="70"/>
      <c r="AM846" s="70"/>
      <c r="AN846" s="70"/>
      <c r="AO846" s="70"/>
      <c r="AP846" s="70"/>
      <c r="AQ846" s="70"/>
      <c r="AR846" s="70"/>
      <c r="AS846" s="70"/>
      <c r="AT846" s="70"/>
      <c r="AU846" s="70"/>
      <c r="AV846" s="70"/>
      <c r="AW846" s="70"/>
      <c r="AX846" s="70"/>
      <c r="AY846" s="70"/>
      <c r="AZ846" s="70"/>
      <c r="BA846" s="70"/>
      <c r="BB846" s="70"/>
    </row>
    <row r="847" ht="14.25" customHeight="1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  <c r="AD847" s="70"/>
      <c r="AE847" s="70"/>
      <c r="AF847" s="70"/>
      <c r="AG847" s="70"/>
      <c r="AH847" s="70"/>
      <c r="AI847" s="70"/>
      <c r="AJ847" s="70"/>
      <c r="AK847" s="70"/>
      <c r="AL847" s="70"/>
      <c r="AM847" s="70"/>
      <c r="AN847" s="70"/>
      <c r="AO847" s="70"/>
      <c r="AP847" s="70"/>
      <c r="AQ847" s="70"/>
      <c r="AR847" s="70"/>
      <c r="AS847" s="70"/>
      <c r="AT847" s="70"/>
      <c r="AU847" s="70"/>
      <c r="AV847" s="70"/>
      <c r="AW847" s="70"/>
      <c r="AX847" s="70"/>
      <c r="AY847" s="70"/>
      <c r="AZ847" s="70"/>
      <c r="BA847" s="70"/>
      <c r="BB847" s="70"/>
    </row>
    <row r="848" ht="14.25" customHeight="1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  <c r="AD848" s="70"/>
      <c r="AE848" s="70"/>
      <c r="AF848" s="70"/>
      <c r="AG848" s="70"/>
      <c r="AH848" s="70"/>
      <c r="AI848" s="70"/>
      <c r="AJ848" s="70"/>
      <c r="AK848" s="70"/>
      <c r="AL848" s="70"/>
      <c r="AM848" s="70"/>
      <c r="AN848" s="70"/>
      <c r="AO848" s="70"/>
      <c r="AP848" s="70"/>
      <c r="AQ848" s="70"/>
      <c r="AR848" s="70"/>
      <c r="AS848" s="70"/>
      <c r="AT848" s="70"/>
      <c r="AU848" s="70"/>
      <c r="AV848" s="70"/>
      <c r="AW848" s="70"/>
      <c r="AX848" s="70"/>
      <c r="AY848" s="70"/>
      <c r="AZ848" s="70"/>
      <c r="BA848" s="70"/>
      <c r="BB848" s="70"/>
    </row>
    <row r="849" ht="14.25" customHeight="1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  <c r="AD849" s="70"/>
      <c r="AE849" s="70"/>
      <c r="AF849" s="70"/>
      <c r="AG849" s="70"/>
      <c r="AH849" s="70"/>
      <c r="AI849" s="70"/>
      <c r="AJ849" s="70"/>
      <c r="AK849" s="70"/>
      <c r="AL849" s="70"/>
      <c r="AM849" s="70"/>
      <c r="AN849" s="70"/>
      <c r="AO849" s="70"/>
      <c r="AP849" s="70"/>
      <c r="AQ849" s="70"/>
      <c r="AR849" s="70"/>
      <c r="AS849" s="70"/>
      <c r="AT849" s="70"/>
      <c r="AU849" s="70"/>
      <c r="AV849" s="70"/>
      <c r="AW849" s="70"/>
      <c r="AX849" s="70"/>
      <c r="AY849" s="70"/>
      <c r="AZ849" s="70"/>
      <c r="BA849" s="70"/>
      <c r="BB849" s="70"/>
    </row>
    <row r="850" ht="14.25" customHeight="1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  <c r="AD850" s="70"/>
      <c r="AE850" s="70"/>
      <c r="AF850" s="70"/>
      <c r="AG850" s="70"/>
      <c r="AH850" s="70"/>
      <c r="AI850" s="70"/>
      <c r="AJ850" s="70"/>
      <c r="AK850" s="70"/>
      <c r="AL850" s="70"/>
      <c r="AM850" s="70"/>
      <c r="AN850" s="70"/>
      <c r="AO850" s="70"/>
      <c r="AP850" s="70"/>
      <c r="AQ850" s="70"/>
      <c r="AR850" s="70"/>
      <c r="AS850" s="70"/>
      <c r="AT850" s="70"/>
      <c r="AU850" s="70"/>
      <c r="AV850" s="70"/>
      <c r="AW850" s="70"/>
      <c r="AX850" s="70"/>
      <c r="AY850" s="70"/>
      <c r="AZ850" s="70"/>
      <c r="BA850" s="70"/>
      <c r="BB850" s="70"/>
    </row>
    <row r="851" ht="14.25" customHeight="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  <c r="AD851" s="70"/>
      <c r="AE851" s="70"/>
      <c r="AF851" s="70"/>
      <c r="AG851" s="70"/>
      <c r="AH851" s="70"/>
      <c r="AI851" s="70"/>
      <c r="AJ851" s="70"/>
      <c r="AK851" s="70"/>
      <c r="AL851" s="70"/>
      <c r="AM851" s="70"/>
      <c r="AN851" s="70"/>
      <c r="AO851" s="70"/>
      <c r="AP851" s="70"/>
      <c r="AQ851" s="70"/>
      <c r="AR851" s="70"/>
      <c r="AS851" s="70"/>
      <c r="AT851" s="70"/>
      <c r="AU851" s="70"/>
      <c r="AV851" s="70"/>
      <c r="AW851" s="70"/>
      <c r="AX851" s="70"/>
      <c r="AY851" s="70"/>
      <c r="AZ851" s="70"/>
      <c r="BA851" s="70"/>
      <c r="BB851" s="70"/>
    </row>
    <row r="852" ht="14.25" customHeight="1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  <c r="AD852" s="70"/>
      <c r="AE852" s="70"/>
      <c r="AF852" s="70"/>
      <c r="AG852" s="70"/>
      <c r="AH852" s="70"/>
      <c r="AI852" s="70"/>
      <c r="AJ852" s="70"/>
      <c r="AK852" s="70"/>
      <c r="AL852" s="70"/>
      <c r="AM852" s="70"/>
      <c r="AN852" s="70"/>
      <c r="AO852" s="70"/>
      <c r="AP852" s="70"/>
      <c r="AQ852" s="70"/>
      <c r="AR852" s="70"/>
      <c r="AS852" s="70"/>
      <c r="AT852" s="70"/>
      <c r="AU852" s="70"/>
      <c r="AV852" s="70"/>
      <c r="AW852" s="70"/>
      <c r="AX852" s="70"/>
      <c r="AY852" s="70"/>
      <c r="AZ852" s="70"/>
      <c r="BA852" s="70"/>
      <c r="BB852" s="70"/>
    </row>
    <row r="853" ht="14.25" customHeight="1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  <c r="AD853" s="70"/>
      <c r="AE853" s="70"/>
      <c r="AF853" s="70"/>
      <c r="AG853" s="70"/>
      <c r="AH853" s="70"/>
      <c r="AI853" s="70"/>
      <c r="AJ853" s="70"/>
      <c r="AK853" s="70"/>
      <c r="AL853" s="70"/>
      <c r="AM853" s="70"/>
      <c r="AN853" s="70"/>
      <c r="AO853" s="70"/>
      <c r="AP853" s="70"/>
      <c r="AQ853" s="70"/>
      <c r="AR853" s="70"/>
      <c r="AS853" s="70"/>
      <c r="AT853" s="70"/>
      <c r="AU853" s="70"/>
      <c r="AV853" s="70"/>
      <c r="AW853" s="70"/>
      <c r="AX853" s="70"/>
      <c r="AY853" s="70"/>
      <c r="AZ853" s="70"/>
      <c r="BA853" s="70"/>
      <c r="BB853" s="70"/>
    </row>
    <row r="854" ht="14.25" customHeight="1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  <c r="AD854" s="70"/>
      <c r="AE854" s="70"/>
      <c r="AF854" s="70"/>
      <c r="AG854" s="70"/>
      <c r="AH854" s="70"/>
      <c r="AI854" s="70"/>
      <c r="AJ854" s="70"/>
      <c r="AK854" s="70"/>
      <c r="AL854" s="70"/>
      <c r="AM854" s="70"/>
      <c r="AN854" s="70"/>
      <c r="AO854" s="70"/>
      <c r="AP854" s="70"/>
      <c r="AQ854" s="70"/>
      <c r="AR854" s="70"/>
      <c r="AS854" s="70"/>
      <c r="AT854" s="70"/>
      <c r="AU854" s="70"/>
      <c r="AV854" s="70"/>
      <c r="AW854" s="70"/>
      <c r="AX854" s="70"/>
      <c r="AY854" s="70"/>
      <c r="AZ854" s="70"/>
      <c r="BA854" s="70"/>
      <c r="BB854" s="70"/>
    </row>
    <row r="855" ht="14.25" customHeight="1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  <c r="AD855" s="70"/>
      <c r="AE855" s="70"/>
      <c r="AF855" s="70"/>
      <c r="AG855" s="70"/>
      <c r="AH855" s="70"/>
      <c r="AI855" s="70"/>
      <c r="AJ855" s="70"/>
      <c r="AK855" s="70"/>
      <c r="AL855" s="70"/>
      <c r="AM855" s="70"/>
      <c r="AN855" s="70"/>
      <c r="AO855" s="70"/>
      <c r="AP855" s="70"/>
      <c r="AQ855" s="70"/>
      <c r="AR855" s="70"/>
      <c r="AS855" s="70"/>
      <c r="AT855" s="70"/>
      <c r="AU855" s="70"/>
      <c r="AV855" s="70"/>
      <c r="AW855" s="70"/>
      <c r="AX855" s="70"/>
      <c r="AY855" s="70"/>
      <c r="AZ855" s="70"/>
      <c r="BA855" s="70"/>
      <c r="BB855" s="70"/>
    </row>
    <row r="856" ht="14.25" customHeight="1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  <c r="AD856" s="70"/>
      <c r="AE856" s="70"/>
      <c r="AF856" s="70"/>
      <c r="AG856" s="70"/>
      <c r="AH856" s="70"/>
      <c r="AI856" s="70"/>
      <c r="AJ856" s="70"/>
      <c r="AK856" s="70"/>
      <c r="AL856" s="70"/>
      <c r="AM856" s="70"/>
      <c r="AN856" s="70"/>
      <c r="AO856" s="70"/>
      <c r="AP856" s="70"/>
      <c r="AQ856" s="70"/>
      <c r="AR856" s="70"/>
      <c r="AS856" s="70"/>
      <c r="AT856" s="70"/>
      <c r="AU856" s="70"/>
      <c r="AV856" s="70"/>
      <c r="AW856" s="70"/>
      <c r="AX856" s="70"/>
      <c r="AY856" s="70"/>
      <c r="AZ856" s="70"/>
      <c r="BA856" s="70"/>
      <c r="BB856" s="70"/>
    </row>
    <row r="857" ht="14.25" customHeight="1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  <c r="AD857" s="70"/>
      <c r="AE857" s="70"/>
      <c r="AF857" s="70"/>
      <c r="AG857" s="70"/>
      <c r="AH857" s="70"/>
      <c r="AI857" s="70"/>
      <c r="AJ857" s="70"/>
      <c r="AK857" s="70"/>
      <c r="AL857" s="70"/>
      <c r="AM857" s="70"/>
      <c r="AN857" s="70"/>
      <c r="AO857" s="70"/>
      <c r="AP857" s="70"/>
      <c r="AQ857" s="70"/>
      <c r="AR857" s="70"/>
      <c r="AS857" s="70"/>
      <c r="AT857" s="70"/>
      <c r="AU857" s="70"/>
      <c r="AV857" s="70"/>
      <c r="AW857" s="70"/>
      <c r="AX857" s="70"/>
      <c r="AY857" s="70"/>
      <c r="AZ857" s="70"/>
      <c r="BA857" s="70"/>
      <c r="BB857" s="70"/>
    </row>
    <row r="858" ht="14.25" customHeight="1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  <c r="AD858" s="70"/>
      <c r="AE858" s="70"/>
      <c r="AF858" s="70"/>
      <c r="AG858" s="70"/>
      <c r="AH858" s="70"/>
      <c r="AI858" s="70"/>
      <c r="AJ858" s="70"/>
      <c r="AK858" s="70"/>
      <c r="AL858" s="70"/>
      <c r="AM858" s="70"/>
      <c r="AN858" s="70"/>
      <c r="AO858" s="70"/>
      <c r="AP858" s="70"/>
      <c r="AQ858" s="70"/>
      <c r="AR858" s="70"/>
      <c r="AS858" s="70"/>
      <c r="AT858" s="70"/>
      <c r="AU858" s="70"/>
      <c r="AV858" s="70"/>
      <c r="AW858" s="70"/>
      <c r="AX858" s="70"/>
      <c r="AY858" s="70"/>
      <c r="AZ858" s="70"/>
      <c r="BA858" s="70"/>
      <c r="BB858" s="70"/>
    </row>
    <row r="859" ht="14.25" customHeight="1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  <c r="AD859" s="70"/>
      <c r="AE859" s="70"/>
      <c r="AF859" s="70"/>
      <c r="AG859" s="70"/>
      <c r="AH859" s="70"/>
      <c r="AI859" s="70"/>
      <c r="AJ859" s="70"/>
      <c r="AK859" s="70"/>
      <c r="AL859" s="70"/>
      <c r="AM859" s="70"/>
      <c r="AN859" s="70"/>
      <c r="AO859" s="70"/>
      <c r="AP859" s="70"/>
      <c r="AQ859" s="70"/>
      <c r="AR859" s="70"/>
      <c r="AS859" s="70"/>
      <c r="AT859" s="70"/>
      <c r="AU859" s="70"/>
      <c r="AV859" s="70"/>
      <c r="AW859" s="70"/>
      <c r="AX859" s="70"/>
      <c r="AY859" s="70"/>
      <c r="AZ859" s="70"/>
      <c r="BA859" s="70"/>
      <c r="BB859" s="70"/>
    </row>
    <row r="860" ht="14.25" customHeight="1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  <c r="AD860" s="70"/>
      <c r="AE860" s="70"/>
      <c r="AF860" s="70"/>
      <c r="AG860" s="70"/>
      <c r="AH860" s="70"/>
      <c r="AI860" s="70"/>
      <c r="AJ860" s="70"/>
      <c r="AK860" s="70"/>
      <c r="AL860" s="70"/>
      <c r="AM860" s="70"/>
      <c r="AN860" s="70"/>
      <c r="AO860" s="70"/>
      <c r="AP860" s="70"/>
      <c r="AQ860" s="70"/>
      <c r="AR860" s="70"/>
      <c r="AS860" s="70"/>
      <c r="AT860" s="70"/>
      <c r="AU860" s="70"/>
      <c r="AV860" s="70"/>
      <c r="AW860" s="70"/>
      <c r="AX860" s="70"/>
      <c r="AY860" s="70"/>
      <c r="AZ860" s="70"/>
      <c r="BA860" s="70"/>
      <c r="BB860" s="70"/>
    </row>
    <row r="861" ht="14.25" customHeight="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  <c r="AD861" s="70"/>
      <c r="AE861" s="70"/>
      <c r="AF861" s="70"/>
      <c r="AG861" s="70"/>
      <c r="AH861" s="70"/>
      <c r="AI861" s="70"/>
      <c r="AJ861" s="70"/>
      <c r="AK861" s="70"/>
      <c r="AL861" s="70"/>
      <c r="AM861" s="70"/>
      <c r="AN861" s="70"/>
      <c r="AO861" s="70"/>
      <c r="AP861" s="70"/>
      <c r="AQ861" s="70"/>
      <c r="AR861" s="70"/>
      <c r="AS861" s="70"/>
      <c r="AT861" s="70"/>
      <c r="AU861" s="70"/>
      <c r="AV861" s="70"/>
      <c r="AW861" s="70"/>
      <c r="AX861" s="70"/>
      <c r="AY861" s="70"/>
      <c r="AZ861" s="70"/>
      <c r="BA861" s="70"/>
      <c r="BB861" s="70"/>
    </row>
    <row r="862" ht="14.25" customHeight="1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  <c r="AD862" s="70"/>
      <c r="AE862" s="70"/>
      <c r="AF862" s="70"/>
      <c r="AG862" s="70"/>
      <c r="AH862" s="70"/>
      <c r="AI862" s="70"/>
      <c r="AJ862" s="70"/>
      <c r="AK862" s="70"/>
      <c r="AL862" s="70"/>
      <c r="AM862" s="70"/>
      <c r="AN862" s="70"/>
      <c r="AO862" s="70"/>
      <c r="AP862" s="70"/>
      <c r="AQ862" s="70"/>
      <c r="AR862" s="70"/>
      <c r="AS862" s="70"/>
      <c r="AT862" s="70"/>
      <c r="AU862" s="70"/>
      <c r="AV862" s="70"/>
      <c r="AW862" s="70"/>
      <c r="AX862" s="70"/>
      <c r="AY862" s="70"/>
      <c r="AZ862" s="70"/>
      <c r="BA862" s="70"/>
      <c r="BB862" s="70"/>
    </row>
    <row r="863" ht="14.25" customHeight="1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  <c r="AD863" s="70"/>
      <c r="AE863" s="70"/>
      <c r="AF863" s="70"/>
      <c r="AG863" s="70"/>
      <c r="AH863" s="70"/>
      <c r="AI863" s="70"/>
      <c r="AJ863" s="70"/>
      <c r="AK863" s="70"/>
      <c r="AL863" s="70"/>
      <c r="AM863" s="70"/>
      <c r="AN863" s="70"/>
      <c r="AO863" s="70"/>
      <c r="AP863" s="70"/>
      <c r="AQ863" s="70"/>
      <c r="AR863" s="70"/>
      <c r="AS863" s="70"/>
      <c r="AT863" s="70"/>
      <c r="AU863" s="70"/>
      <c r="AV863" s="70"/>
      <c r="AW863" s="70"/>
      <c r="AX863" s="70"/>
      <c r="AY863" s="70"/>
      <c r="AZ863" s="70"/>
      <c r="BA863" s="70"/>
      <c r="BB863" s="70"/>
    </row>
    <row r="864" ht="14.25" customHeight="1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  <c r="AD864" s="70"/>
      <c r="AE864" s="70"/>
      <c r="AF864" s="70"/>
      <c r="AG864" s="70"/>
      <c r="AH864" s="70"/>
      <c r="AI864" s="70"/>
      <c r="AJ864" s="70"/>
      <c r="AK864" s="70"/>
      <c r="AL864" s="70"/>
      <c r="AM864" s="70"/>
      <c r="AN864" s="70"/>
      <c r="AO864" s="70"/>
      <c r="AP864" s="70"/>
      <c r="AQ864" s="70"/>
      <c r="AR864" s="70"/>
      <c r="AS864" s="70"/>
      <c r="AT864" s="70"/>
      <c r="AU864" s="70"/>
      <c r="AV864" s="70"/>
      <c r="AW864" s="70"/>
      <c r="AX864" s="70"/>
      <c r="AY864" s="70"/>
      <c r="AZ864" s="70"/>
      <c r="BA864" s="70"/>
      <c r="BB864" s="70"/>
    </row>
    <row r="865" ht="14.25" customHeight="1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  <c r="AD865" s="70"/>
      <c r="AE865" s="70"/>
      <c r="AF865" s="70"/>
      <c r="AG865" s="70"/>
      <c r="AH865" s="70"/>
      <c r="AI865" s="70"/>
      <c r="AJ865" s="70"/>
      <c r="AK865" s="70"/>
      <c r="AL865" s="70"/>
      <c r="AM865" s="70"/>
      <c r="AN865" s="70"/>
      <c r="AO865" s="70"/>
      <c r="AP865" s="70"/>
      <c r="AQ865" s="70"/>
      <c r="AR865" s="70"/>
      <c r="AS865" s="70"/>
      <c r="AT865" s="70"/>
      <c r="AU865" s="70"/>
      <c r="AV865" s="70"/>
      <c r="AW865" s="70"/>
      <c r="AX865" s="70"/>
      <c r="AY865" s="70"/>
      <c r="AZ865" s="70"/>
      <c r="BA865" s="70"/>
      <c r="BB865" s="70"/>
    </row>
    <row r="866" ht="14.25" customHeight="1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  <c r="AC866" s="70"/>
      <c r="AD866" s="70"/>
      <c r="AE866" s="70"/>
      <c r="AF866" s="70"/>
      <c r="AG866" s="70"/>
      <c r="AH866" s="70"/>
      <c r="AI866" s="70"/>
      <c r="AJ866" s="70"/>
      <c r="AK866" s="70"/>
      <c r="AL866" s="70"/>
      <c r="AM866" s="70"/>
      <c r="AN866" s="70"/>
      <c r="AO866" s="70"/>
      <c r="AP866" s="70"/>
      <c r="AQ866" s="70"/>
      <c r="AR866" s="70"/>
      <c r="AS866" s="70"/>
      <c r="AT866" s="70"/>
      <c r="AU866" s="70"/>
      <c r="AV866" s="70"/>
      <c r="AW866" s="70"/>
      <c r="AX866" s="70"/>
      <c r="AY866" s="70"/>
      <c r="AZ866" s="70"/>
      <c r="BA866" s="70"/>
      <c r="BB866" s="70"/>
    </row>
    <row r="867" ht="14.25" customHeight="1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  <c r="AD867" s="70"/>
      <c r="AE867" s="70"/>
      <c r="AF867" s="70"/>
      <c r="AG867" s="70"/>
      <c r="AH867" s="70"/>
      <c r="AI867" s="70"/>
      <c r="AJ867" s="70"/>
      <c r="AK867" s="70"/>
      <c r="AL867" s="70"/>
      <c r="AM867" s="70"/>
      <c r="AN867" s="70"/>
      <c r="AO867" s="70"/>
      <c r="AP867" s="70"/>
      <c r="AQ867" s="70"/>
      <c r="AR867" s="70"/>
      <c r="AS867" s="70"/>
      <c r="AT867" s="70"/>
      <c r="AU867" s="70"/>
      <c r="AV867" s="70"/>
      <c r="AW867" s="70"/>
      <c r="AX867" s="70"/>
      <c r="AY867" s="70"/>
      <c r="AZ867" s="70"/>
      <c r="BA867" s="70"/>
      <c r="BB867" s="70"/>
    </row>
    <row r="868" ht="14.25" customHeight="1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  <c r="AD868" s="70"/>
      <c r="AE868" s="70"/>
      <c r="AF868" s="70"/>
      <c r="AG868" s="70"/>
      <c r="AH868" s="70"/>
      <c r="AI868" s="70"/>
      <c r="AJ868" s="70"/>
      <c r="AK868" s="70"/>
      <c r="AL868" s="70"/>
      <c r="AM868" s="70"/>
      <c r="AN868" s="70"/>
      <c r="AO868" s="70"/>
      <c r="AP868" s="70"/>
      <c r="AQ868" s="70"/>
      <c r="AR868" s="70"/>
      <c r="AS868" s="70"/>
      <c r="AT868" s="70"/>
      <c r="AU868" s="70"/>
      <c r="AV868" s="70"/>
      <c r="AW868" s="70"/>
      <c r="AX868" s="70"/>
      <c r="AY868" s="70"/>
      <c r="AZ868" s="70"/>
      <c r="BA868" s="70"/>
      <c r="BB868" s="70"/>
    </row>
    <row r="869" ht="14.25" customHeight="1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  <c r="AD869" s="70"/>
      <c r="AE869" s="70"/>
      <c r="AF869" s="70"/>
      <c r="AG869" s="70"/>
      <c r="AH869" s="70"/>
      <c r="AI869" s="70"/>
      <c r="AJ869" s="70"/>
      <c r="AK869" s="70"/>
      <c r="AL869" s="70"/>
      <c r="AM869" s="70"/>
      <c r="AN869" s="70"/>
      <c r="AO869" s="70"/>
      <c r="AP869" s="70"/>
      <c r="AQ869" s="70"/>
      <c r="AR869" s="70"/>
      <c r="AS869" s="70"/>
      <c r="AT869" s="70"/>
      <c r="AU869" s="70"/>
      <c r="AV869" s="70"/>
      <c r="AW869" s="70"/>
      <c r="AX869" s="70"/>
      <c r="AY869" s="70"/>
      <c r="AZ869" s="70"/>
      <c r="BA869" s="70"/>
      <c r="BB869" s="70"/>
    </row>
    <row r="870" ht="14.25" customHeight="1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  <c r="AC870" s="70"/>
      <c r="AD870" s="70"/>
      <c r="AE870" s="70"/>
      <c r="AF870" s="70"/>
      <c r="AG870" s="70"/>
      <c r="AH870" s="70"/>
      <c r="AI870" s="70"/>
      <c r="AJ870" s="70"/>
      <c r="AK870" s="70"/>
      <c r="AL870" s="70"/>
      <c r="AM870" s="70"/>
      <c r="AN870" s="70"/>
      <c r="AO870" s="70"/>
      <c r="AP870" s="70"/>
      <c r="AQ870" s="70"/>
      <c r="AR870" s="70"/>
      <c r="AS870" s="70"/>
      <c r="AT870" s="70"/>
      <c r="AU870" s="70"/>
      <c r="AV870" s="70"/>
      <c r="AW870" s="70"/>
      <c r="AX870" s="70"/>
      <c r="AY870" s="70"/>
      <c r="AZ870" s="70"/>
      <c r="BA870" s="70"/>
      <c r="BB870" s="70"/>
    </row>
    <row r="871" ht="14.25" customHeight="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  <c r="AD871" s="70"/>
      <c r="AE871" s="70"/>
      <c r="AF871" s="70"/>
      <c r="AG871" s="70"/>
      <c r="AH871" s="70"/>
      <c r="AI871" s="70"/>
      <c r="AJ871" s="70"/>
      <c r="AK871" s="70"/>
      <c r="AL871" s="70"/>
      <c r="AM871" s="70"/>
      <c r="AN871" s="70"/>
      <c r="AO871" s="70"/>
      <c r="AP871" s="70"/>
      <c r="AQ871" s="70"/>
      <c r="AR871" s="70"/>
      <c r="AS871" s="70"/>
      <c r="AT871" s="70"/>
      <c r="AU871" s="70"/>
      <c r="AV871" s="70"/>
      <c r="AW871" s="70"/>
      <c r="AX871" s="70"/>
      <c r="AY871" s="70"/>
      <c r="AZ871" s="70"/>
      <c r="BA871" s="70"/>
      <c r="BB871" s="70"/>
    </row>
    <row r="872" ht="14.25" customHeight="1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  <c r="AC872" s="70"/>
      <c r="AD872" s="70"/>
      <c r="AE872" s="70"/>
      <c r="AF872" s="70"/>
      <c r="AG872" s="70"/>
      <c r="AH872" s="70"/>
      <c r="AI872" s="70"/>
      <c r="AJ872" s="70"/>
      <c r="AK872" s="70"/>
      <c r="AL872" s="70"/>
      <c r="AM872" s="70"/>
      <c r="AN872" s="70"/>
      <c r="AO872" s="70"/>
      <c r="AP872" s="70"/>
      <c r="AQ872" s="70"/>
      <c r="AR872" s="70"/>
      <c r="AS872" s="70"/>
      <c r="AT872" s="70"/>
      <c r="AU872" s="70"/>
      <c r="AV872" s="70"/>
      <c r="AW872" s="70"/>
      <c r="AX872" s="70"/>
      <c r="AY872" s="70"/>
      <c r="AZ872" s="70"/>
      <c r="BA872" s="70"/>
      <c r="BB872" s="70"/>
    </row>
    <row r="873" ht="14.25" customHeight="1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  <c r="AD873" s="70"/>
      <c r="AE873" s="70"/>
      <c r="AF873" s="70"/>
      <c r="AG873" s="70"/>
      <c r="AH873" s="70"/>
      <c r="AI873" s="70"/>
      <c r="AJ873" s="70"/>
      <c r="AK873" s="70"/>
      <c r="AL873" s="70"/>
      <c r="AM873" s="70"/>
      <c r="AN873" s="70"/>
      <c r="AO873" s="70"/>
      <c r="AP873" s="70"/>
      <c r="AQ873" s="70"/>
      <c r="AR873" s="70"/>
      <c r="AS873" s="70"/>
      <c r="AT873" s="70"/>
      <c r="AU873" s="70"/>
      <c r="AV873" s="70"/>
      <c r="AW873" s="70"/>
      <c r="AX873" s="70"/>
      <c r="AY873" s="70"/>
      <c r="AZ873" s="70"/>
      <c r="BA873" s="70"/>
      <c r="BB873" s="70"/>
    </row>
    <row r="874" ht="14.25" customHeight="1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  <c r="AD874" s="70"/>
      <c r="AE874" s="70"/>
      <c r="AF874" s="70"/>
      <c r="AG874" s="70"/>
      <c r="AH874" s="70"/>
      <c r="AI874" s="70"/>
      <c r="AJ874" s="70"/>
      <c r="AK874" s="70"/>
      <c r="AL874" s="70"/>
      <c r="AM874" s="70"/>
      <c r="AN874" s="70"/>
      <c r="AO874" s="70"/>
      <c r="AP874" s="70"/>
      <c r="AQ874" s="70"/>
      <c r="AR874" s="70"/>
      <c r="AS874" s="70"/>
      <c r="AT874" s="70"/>
      <c r="AU874" s="70"/>
      <c r="AV874" s="70"/>
      <c r="AW874" s="70"/>
      <c r="AX874" s="70"/>
      <c r="AY874" s="70"/>
      <c r="AZ874" s="70"/>
      <c r="BA874" s="70"/>
      <c r="BB874" s="70"/>
    </row>
    <row r="875" ht="14.25" customHeight="1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  <c r="AD875" s="70"/>
      <c r="AE875" s="70"/>
      <c r="AF875" s="70"/>
      <c r="AG875" s="70"/>
      <c r="AH875" s="70"/>
      <c r="AI875" s="70"/>
      <c r="AJ875" s="70"/>
      <c r="AK875" s="70"/>
      <c r="AL875" s="70"/>
      <c r="AM875" s="70"/>
      <c r="AN875" s="70"/>
      <c r="AO875" s="70"/>
      <c r="AP875" s="70"/>
      <c r="AQ875" s="70"/>
      <c r="AR875" s="70"/>
      <c r="AS875" s="70"/>
      <c r="AT875" s="70"/>
      <c r="AU875" s="70"/>
      <c r="AV875" s="70"/>
      <c r="AW875" s="70"/>
      <c r="AX875" s="70"/>
      <c r="AY875" s="70"/>
      <c r="AZ875" s="70"/>
      <c r="BA875" s="70"/>
      <c r="BB875" s="70"/>
    </row>
    <row r="876" ht="14.25" customHeight="1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  <c r="AD876" s="70"/>
      <c r="AE876" s="70"/>
      <c r="AF876" s="70"/>
      <c r="AG876" s="70"/>
      <c r="AH876" s="70"/>
      <c r="AI876" s="70"/>
      <c r="AJ876" s="70"/>
      <c r="AK876" s="70"/>
      <c r="AL876" s="70"/>
      <c r="AM876" s="70"/>
      <c r="AN876" s="70"/>
      <c r="AO876" s="70"/>
      <c r="AP876" s="70"/>
      <c r="AQ876" s="70"/>
      <c r="AR876" s="70"/>
      <c r="AS876" s="70"/>
      <c r="AT876" s="70"/>
      <c r="AU876" s="70"/>
      <c r="AV876" s="70"/>
      <c r="AW876" s="70"/>
      <c r="AX876" s="70"/>
      <c r="AY876" s="70"/>
      <c r="AZ876" s="70"/>
      <c r="BA876" s="70"/>
      <c r="BB876" s="70"/>
    </row>
    <row r="877" ht="14.25" customHeight="1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  <c r="AD877" s="70"/>
      <c r="AE877" s="70"/>
      <c r="AF877" s="70"/>
      <c r="AG877" s="70"/>
      <c r="AH877" s="70"/>
      <c r="AI877" s="70"/>
      <c r="AJ877" s="70"/>
      <c r="AK877" s="70"/>
      <c r="AL877" s="70"/>
      <c r="AM877" s="70"/>
      <c r="AN877" s="70"/>
      <c r="AO877" s="70"/>
      <c r="AP877" s="70"/>
      <c r="AQ877" s="70"/>
      <c r="AR877" s="70"/>
      <c r="AS877" s="70"/>
      <c r="AT877" s="70"/>
      <c r="AU877" s="70"/>
      <c r="AV877" s="70"/>
      <c r="AW877" s="70"/>
      <c r="AX877" s="70"/>
      <c r="AY877" s="70"/>
      <c r="AZ877" s="70"/>
      <c r="BA877" s="70"/>
      <c r="BB877" s="70"/>
    </row>
    <row r="878" ht="14.25" customHeight="1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  <c r="AD878" s="70"/>
      <c r="AE878" s="70"/>
      <c r="AF878" s="70"/>
      <c r="AG878" s="70"/>
      <c r="AH878" s="70"/>
      <c r="AI878" s="70"/>
      <c r="AJ878" s="70"/>
      <c r="AK878" s="70"/>
      <c r="AL878" s="70"/>
      <c r="AM878" s="70"/>
      <c r="AN878" s="70"/>
      <c r="AO878" s="70"/>
      <c r="AP878" s="70"/>
      <c r="AQ878" s="70"/>
      <c r="AR878" s="70"/>
      <c r="AS878" s="70"/>
      <c r="AT878" s="70"/>
      <c r="AU878" s="70"/>
      <c r="AV878" s="70"/>
      <c r="AW878" s="70"/>
      <c r="AX878" s="70"/>
      <c r="AY878" s="70"/>
      <c r="AZ878" s="70"/>
      <c r="BA878" s="70"/>
      <c r="BB878" s="70"/>
    </row>
    <row r="879" ht="14.25" customHeight="1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  <c r="AD879" s="70"/>
      <c r="AE879" s="70"/>
      <c r="AF879" s="70"/>
      <c r="AG879" s="70"/>
      <c r="AH879" s="70"/>
      <c r="AI879" s="70"/>
      <c r="AJ879" s="70"/>
      <c r="AK879" s="70"/>
      <c r="AL879" s="70"/>
      <c r="AM879" s="70"/>
      <c r="AN879" s="70"/>
      <c r="AO879" s="70"/>
      <c r="AP879" s="70"/>
      <c r="AQ879" s="70"/>
      <c r="AR879" s="70"/>
      <c r="AS879" s="70"/>
      <c r="AT879" s="70"/>
      <c r="AU879" s="70"/>
      <c r="AV879" s="70"/>
      <c r="AW879" s="70"/>
      <c r="AX879" s="70"/>
      <c r="AY879" s="70"/>
      <c r="AZ879" s="70"/>
      <c r="BA879" s="70"/>
      <c r="BB879" s="70"/>
    </row>
    <row r="880" ht="14.25" customHeight="1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  <c r="AD880" s="70"/>
      <c r="AE880" s="70"/>
      <c r="AF880" s="70"/>
      <c r="AG880" s="70"/>
      <c r="AH880" s="70"/>
      <c r="AI880" s="70"/>
      <c r="AJ880" s="70"/>
      <c r="AK880" s="70"/>
      <c r="AL880" s="70"/>
      <c r="AM880" s="70"/>
      <c r="AN880" s="70"/>
      <c r="AO880" s="70"/>
      <c r="AP880" s="70"/>
      <c r="AQ880" s="70"/>
      <c r="AR880" s="70"/>
      <c r="AS880" s="70"/>
      <c r="AT880" s="70"/>
      <c r="AU880" s="70"/>
      <c r="AV880" s="70"/>
      <c r="AW880" s="70"/>
      <c r="AX880" s="70"/>
      <c r="AY880" s="70"/>
      <c r="AZ880" s="70"/>
      <c r="BA880" s="70"/>
      <c r="BB880" s="70"/>
    </row>
    <row r="881" ht="14.25" customHeight="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  <c r="AD881" s="70"/>
      <c r="AE881" s="70"/>
      <c r="AF881" s="70"/>
      <c r="AG881" s="70"/>
      <c r="AH881" s="70"/>
      <c r="AI881" s="70"/>
      <c r="AJ881" s="70"/>
      <c r="AK881" s="70"/>
      <c r="AL881" s="70"/>
      <c r="AM881" s="70"/>
      <c r="AN881" s="70"/>
      <c r="AO881" s="70"/>
      <c r="AP881" s="70"/>
      <c r="AQ881" s="70"/>
      <c r="AR881" s="70"/>
      <c r="AS881" s="70"/>
      <c r="AT881" s="70"/>
      <c r="AU881" s="70"/>
      <c r="AV881" s="70"/>
      <c r="AW881" s="70"/>
      <c r="AX881" s="70"/>
      <c r="AY881" s="70"/>
      <c r="AZ881" s="70"/>
      <c r="BA881" s="70"/>
      <c r="BB881" s="70"/>
    </row>
    <row r="882" ht="14.25" customHeight="1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  <c r="AD882" s="70"/>
      <c r="AE882" s="70"/>
      <c r="AF882" s="70"/>
      <c r="AG882" s="70"/>
      <c r="AH882" s="70"/>
      <c r="AI882" s="70"/>
      <c r="AJ882" s="70"/>
      <c r="AK882" s="70"/>
      <c r="AL882" s="70"/>
      <c r="AM882" s="70"/>
      <c r="AN882" s="70"/>
      <c r="AO882" s="70"/>
      <c r="AP882" s="70"/>
      <c r="AQ882" s="70"/>
      <c r="AR882" s="70"/>
      <c r="AS882" s="70"/>
      <c r="AT882" s="70"/>
      <c r="AU882" s="70"/>
      <c r="AV882" s="70"/>
      <c r="AW882" s="70"/>
      <c r="AX882" s="70"/>
      <c r="AY882" s="70"/>
      <c r="AZ882" s="70"/>
      <c r="BA882" s="70"/>
      <c r="BB882" s="70"/>
    </row>
    <row r="883" ht="14.25" customHeight="1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  <c r="AD883" s="70"/>
      <c r="AE883" s="70"/>
      <c r="AF883" s="70"/>
      <c r="AG883" s="70"/>
      <c r="AH883" s="70"/>
      <c r="AI883" s="70"/>
      <c r="AJ883" s="70"/>
      <c r="AK883" s="70"/>
      <c r="AL883" s="70"/>
      <c r="AM883" s="70"/>
      <c r="AN883" s="70"/>
      <c r="AO883" s="70"/>
      <c r="AP883" s="70"/>
      <c r="AQ883" s="70"/>
      <c r="AR883" s="70"/>
      <c r="AS883" s="70"/>
      <c r="AT883" s="70"/>
      <c r="AU883" s="70"/>
      <c r="AV883" s="70"/>
      <c r="AW883" s="70"/>
      <c r="AX883" s="70"/>
      <c r="AY883" s="70"/>
      <c r="AZ883" s="70"/>
      <c r="BA883" s="70"/>
      <c r="BB883" s="70"/>
    </row>
    <row r="884" ht="14.25" customHeight="1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  <c r="AD884" s="70"/>
      <c r="AE884" s="70"/>
      <c r="AF884" s="70"/>
      <c r="AG884" s="70"/>
      <c r="AH884" s="70"/>
      <c r="AI884" s="70"/>
      <c r="AJ884" s="70"/>
      <c r="AK884" s="70"/>
      <c r="AL884" s="70"/>
      <c r="AM884" s="70"/>
      <c r="AN884" s="70"/>
      <c r="AO884" s="70"/>
      <c r="AP884" s="70"/>
      <c r="AQ884" s="70"/>
      <c r="AR884" s="70"/>
      <c r="AS884" s="70"/>
      <c r="AT884" s="70"/>
      <c r="AU884" s="70"/>
      <c r="AV884" s="70"/>
      <c r="AW884" s="70"/>
      <c r="AX884" s="70"/>
      <c r="AY884" s="70"/>
      <c r="AZ884" s="70"/>
      <c r="BA884" s="70"/>
      <c r="BB884" s="70"/>
    </row>
    <row r="885" ht="14.25" customHeight="1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  <c r="AD885" s="70"/>
      <c r="AE885" s="70"/>
      <c r="AF885" s="70"/>
      <c r="AG885" s="70"/>
      <c r="AH885" s="70"/>
      <c r="AI885" s="70"/>
      <c r="AJ885" s="70"/>
      <c r="AK885" s="70"/>
      <c r="AL885" s="70"/>
      <c r="AM885" s="70"/>
      <c r="AN885" s="70"/>
      <c r="AO885" s="70"/>
      <c r="AP885" s="70"/>
      <c r="AQ885" s="70"/>
      <c r="AR885" s="70"/>
      <c r="AS885" s="70"/>
      <c r="AT885" s="70"/>
      <c r="AU885" s="70"/>
      <c r="AV885" s="70"/>
      <c r="AW885" s="70"/>
      <c r="AX885" s="70"/>
      <c r="AY885" s="70"/>
      <c r="AZ885" s="70"/>
      <c r="BA885" s="70"/>
      <c r="BB885" s="70"/>
    </row>
    <row r="886" ht="14.25" customHeight="1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  <c r="AC886" s="70"/>
      <c r="AD886" s="70"/>
      <c r="AE886" s="70"/>
      <c r="AF886" s="70"/>
      <c r="AG886" s="70"/>
      <c r="AH886" s="70"/>
      <c r="AI886" s="70"/>
      <c r="AJ886" s="70"/>
      <c r="AK886" s="70"/>
      <c r="AL886" s="70"/>
      <c r="AM886" s="70"/>
      <c r="AN886" s="70"/>
      <c r="AO886" s="70"/>
      <c r="AP886" s="70"/>
      <c r="AQ886" s="70"/>
      <c r="AR886" s="70"/>
      <c r="AS886" s="70"/>
      <c r="AT886" s="70"/>
      <c r="AU886" s="70"/>
      <c r="AV886" s="70"/>
      <c r="AW886" s="70"/>
      <c r="AX886" s="70"/>
      <c r="AY886" s="70"/>
      <c r="AZ886" s="70"/>
      <c r="BA886" s="70"/>
      <c r="BB886" s="70"/>
    </row>
    <row r="887" ht="14.25" customHeight="1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  <c r="AD887" s="70"/>
      <c r="AE887" s="70"/>
      <c r="AF887" s="70"/>
      <c r="AG887" s="70"/>
      <c r="AH887" s="70"/>
      <c r="AI887" s="70"/>
      <c r="AJ887" s="70"/>
      <c r="AK887" s="70"/>
      <c r="AL887" s="70"/>
      <c r="AM887" s="70"/>
      <c r="AN887" s="70"/>
      <c r="AO887" s="70"/>
      <c r="AP887" s="70"/>
      <c r="AQ887" s="70"/>
      <c r="AR887" s="70"/>
      <c r="AS887" s="70"/>
      <c r="AT887" s="70"/>
      <c r="AU887" s="70"/>
      <c r="AV887" s="70"/>
      <c r="AW887" s="70"/>
      <c r="AX887" s="70"/>
      <c r="AY887" s="70"/>
      <c r="AZ887" s="70"/>
      <c r="BA887" s="70"/>
      <c r="BB887" s="70"/>
    </row>
    <row r="888" ht="14.25" customHeight="1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  <c r="AC888" s="70"/>
      <c r="AD888" s="70"/>
      <c r="AE888" s="70"/>
      <c r="AF888" s="70"/>
      <c r="AG888" s="70"/>
      <c r="AH888" s="70"/>
      <c r="AI888" s="70"/>
      <c r="AJ888" s="70"/>
      <c r="AK888" s="70"/>
      <c r="AL888" s="70"/>
      <c r="AM888" s="70"/>
      <c r="AN888" s="70"/>
      <c r="AO888" s="70"/>
      <c r="AP888" s="70"/>
      <c r="AQ888" s="70"/>
      <c r="AR888" s="70"/>
      <c r="AS888" s="70"/>
      <c r="AT888" s="70"/>
      <c r="AU888" s="70"/>
      <c r="AV888" s="70"/>
      <c r="AW888" s="70"/>
      <c r="AX888" s="70"/>
      <c r="AY888" s="70"/>
      <c r="AZ888" s="70"/>
      <c r="BA888" s="70"/>
      <c r="BB888" s="70"/>
    </row>
    <row r="889" ht="14.25" customHeight="1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  <c r="AD889" s="70"/>
      <c r="AE889" s="70"/>
      <c r="AF889" s="70"/>
      <c r="AG889" s="70"/>
      <c r="AH889" s="70"/>
      <c r="AI889" s="70"/>
      <c r="AJ889" s="70"/>
      <c r="AK889" s="70"/>
      <c r="AL889" s="70"/>
      <c r="AM889" s="70"/>
      <c r="AN889" s="70"/>
      <c r="AO889" s="70"/>
      <c r="AP889" s="70"/>
      <c r="AQ889" s="70"/>
      <c r="AR889" s="70"/>
      <c r="AS889" s="70"/>
      <c r="AT889" s="70"/>
      <c r="AU889" s="70"/>
      <c r="AV889" s="70"/>
      <c r="AW889" s="70"/>
      <c r="AX889" s="70"/>
      <c r="AY889" s="70"/>
      <c r="AZ889" s="70"/>
      <c r="BA889" s="70"/>
      <c r="BB889" s="70"/>
    </row>
    <row r="890" ht="14.25" customHeight="1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  <c r="AC890" s="70"/>
      <c r="AD890" s="70"/>
      <c r="AE890" s="70"/>
      <c r="AF890" s="70"/>
      <c r="AG890" s="70"/>
      <c r="AH890" s="70"/>
      <c r="AI890" s="70"/>
      <c r="AJ890" s="70"/>
      <c r="AK890" s="70"/>
      <c r="AL890" s="70"/>
      <c r="AM890" s="70"/>
      <c r="AN890" s="70"/>
      <c r="AO890" s="70"/>
      <c r="AP890" s="70"/>
      <c r="AQ890" s="70"/>
      <c r="AR890" s="70"/>
      <c r="AS890" s="70"/>
      <c r="AT890" s="70"/>
      <c r="AU890" s="70"/>
      <c r="AV890" s="70"/>
      <c r="AW890" s="70"/>
      <c r="AX890" s="70"/>
      <c r="AY890" s="70"/>
      <c r="AZ890" s="70"/>
      <c r="BA890" s="70"/>
      <c r="BB890" s="70"/>
    </row>
    <row r="891" ht="14.25" customHeight="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  <c r="AD891" s="70"/>
      <c r="AE891" s="70"/>
      <c r="AF891" s="70"/>
      <c r="AG891" s="70"/>
      <c r="AH891" s="70"/>
      <c r="AI891" s="70"/>
      <c r="AJ891" s="70"/>
      <c r="AK891" s="70"/>
      <c r="AL891" s="70"/>
      <c r="AM891" s="70"/>
      <c r="AN891" s="70"/>
      <c r="AO891" s="70"/>
      <c r="AP891" s="70"/>
      <c r="AQ891" s="70"/>
      <c r="AR891" s="70"/>
      <c r="AS891" s="70"/>
      <c r="AT891" s="70"/>
      <c r="AU891" s="70"/>
      <c r="AV891" s="70"/>
      <c r="AW891" s="70"/>
      <c r="AX891" s="70"/>
      <c r="AY891" s="70"/>
      <c r="AZ891" s="70"/>
      <c r="BA891" s="70"/>
      <c r="BB891" s="70"/>
    </row>
    <row r="892" ht="14.25" customHeight="1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  <c r="AC892" s="70"/>
      <c r="AD892" s="70"/>
      <c r="AE892" s="70"/>
      <c r="AF892" s="70"/>
      <c r="AG892" s="70"/>
      <c r="AH892" s="70"/>
      <c r="AI892" s="70"/>
      <c r="AJ892" s="70"/>
      <c r="AK892" s="70"/>
      <c r="AL892" s="70"/>
      <c r="AM892" s="70"/>
      <c r="AN892" s="70"/>
      <c r="AO892" s="70"/>
      <c r="AP892" s="70"/>
      <c r="AQ892" s="70"/>
      <c r="AR892" s="70"/>
      <c r="AS892" s="70"/>
      <c r="AT892" s="70"/>
      <c r="AU892" s="70"/>
      <c r="AV892" s="70"/>
      <c r="AW892" s="70"/>
      <c r="AX892" s="70"/>
      <c r="AY892" s="70"/>
      <c r="AZ892" s="70"/>
      <c r="BA892" s="70"/>
      <c r="BB892" s="70"/>
    </row>
    <row r="893" ht="14.25" customHeight="1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  <c r="AD893" s="70"/>
      <c r="AE893" s="70"/>
      <c r="AF893" s="70"/>
      <c r="AG893" s="70"/>
      <c r="AH893" s="70"/>
      <c r="AI893" s="70"/>
      <c r="AJ893" s="70"/>
      <c r="AK893" s="70"/>
      <c r="AL893" s="70"/>
      <c r="AM893" s="70"/>
      <c r="AN893" s="70"/>
      <c r="AO893" s="70"/>
      <c r="AP893" s="70"/>
      <c r="AQ893" s="70"/>
      <c r="AR893" s="70"/>
      <c r="AS893" s="70"/>
      <c r="AT893" s="70"/>
      <c r="AU893" s="70"/>
      <c r="AV893" s="70"/>
      <c r="AW893" s="70"/>
      <c r="AX893" s="70"/>
      <c r="AY893" s="70"/>
      <c r="AZ893" s="70"/>
      <c r="BA893" s="70"/>
      <c r="BB893" s="70"/>
    </row>
    <row r="894" ht="14.25" customHeight="1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  <c r="AC894" s="70"/>
      <c r="AD894" s="70"/>
      <c r="AE894" s="70"/>
      <c r="AF894" s="70"/>
      <c r="AG894" s="70"/>
      <c r="AH894" s="70"/>
      <c r="AI894" s="70"/>
      <c r="AJ894" s="70"/>
      <c r="AK894" s="70"/>
      <c r="AL894" s="70"/>
      <c r="AM894" s="70"/>
      <c r="AN894" s="70"/>
      <c r="AO894" s="70"/>
      <c r="AP894" s="70"/>
      <c r="AQ894" s="70"/>
      <c r="AR894" s="70"/>
      <c r="AS894" s="70"/>
      <c r="AT894" s="70"/>
      <c r="AU894" s="70"/>
      <c r="AV894" s="70"/>
      <c r="AW894" s="70"/>
      <c r="AX894" s="70"/>
      <c r="AY894" s="70"/>
      <c r="AZ894" s="70"/>
      <c r="BA894" s="70"/>
      <c r="BB894" s="70"/>
    </row>
    <row r="895" ht="14.25" customHeight="1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  <c r="AD895" s="70"/>
      <c r="AE895" s="70"/>
      <c r="AF895" s="70"/>
      <c r="AG895" s="70"/>
      <c r="AH895" s="70"/>
      <c r="AI895" s="70"/>
      <c r="AJ895" s="70"/>
      <c r="AK895" s="70"/>
      <c r="AL895" s="70"/>
      <c r="AM895" s="70"/>
      <c r="AN895" s="70"/>
      <c r="AO895" s="70"/>
      <c r="AP895" s="70"/>
      <c r="AQ895" s="70"/>
      <c r="AR895" s="70"/>
      <c r="AS895" s="70"/>
      <c r="AT895" s="70"/>
      <c r="AU895" s="70"/>
      <c r="AV895" s="70"/>
      <c r="AW895" s="70"/>
      <c r="AX895" s="70"/>
      <c r="AY895" s="70"/>
      <c r="AZ895" s="70"/>
      <c r="BA895" s="70"/>
      <c r="BB895" s="70"/>
    </row>
    <row r="896" ht="14.25" customHeight="1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  <c r="AC896" s="70"/>
      <c r="AD896" s="70"/>
      <c r="AE896" s="70"/>
      <c r="AF896" s="70"/>
      <c r="AG896" s="70"/>
      <c r="AH896" s="70"/>
      <c r="AI896" s="70"/>
      <c r="AJ896" s="70"/>
      <c r="AK896" s="70"/>
      <c r="AL896" s="70"/>
      <c r="AM896" s="70"/>
      <c r="AN896" s="70"/>
      <c r="AO896" s="70"/>
      <c r="AP896" s="70"/>
      <c r="AQ896" s="70"/>
      <c r="AR896" s="70"/>
      <c r="AS896" s="70"/>
      <c r="AT896" s="70"/>
      <c r="AU896" s="70"/>
      <c r="AV896" s="70"/>
      <c r="AW896" s="70"/>
      <c r="AX896" s="70"/>
      <c r="AY896" s="70"/>
      <c r="AZ896" s="70"/>
      <c r="BA896" s="70"/>
      <c r="BB896" s="70"/>
    </row>
    <row r="897" ht="14.25" customHeight="1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  <c r="AD897" s="70"/>
      <c r="AE897" s="70"/>
      <c r="AF897" s="70"/>
      <c r="AG897" s="70"/>
      <c r="AH897" s="70"/>
      <c r="AI897" s="70"/>
      <c r="AJ897" s="70"/>
      <c r="AK897" s="70"/>
      <c r="AL897" s="70"/>
      <c r="AM897" s="70"/>
      <c r="AN897" s="70"/>
      <c r="AO897" s="70"/>
      <c r="AP897" s="70"/>
      <c r="AQ897" s="70"/>
      <c r="AR897" s="70"/>
      <c r="AS897" s="70"/>
      <c r="AT897" s="70"/>
      <c r="AU897" s="70"/>
      <c r="AV897" s="70"/>
      <c r="AW897" s="70"/>
      <c r="AX897" s="70"/>
      <c r="AY897" s="70"/>
      <c r="AZ897" s="70"/>
      <c r="BA897" s="70"/>
      <c r="BB897" s="70"/>
    </row>
    <row r="898" ht="14.25" customHeight="1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  <c r="AD898" s="70"/>
      <c r="AE898" s="70"/>
      <c r="AF898" s="70"/>
      <c r="AG898" s="70"/>
      <c r="AH898" s="70"/>
      <c r="AI898" s="70"/>
      <c r="AJ898" s="70"/>
      <c r="AK898" s="70"/>
      <c r="AL898" s="70"/>
      <c r="AM898" s="70"/>
      <c r="AN898" s="70"/>
      <c r="AO898" s="70"/>
      <c r="AP898" s="70"/>
      <c r="AQ898" s="70"/>
      <c r="AR898" s="70"/>
      <c r="AS898" s="70"/>
      <c r="AT898" s="70"/>
      <c r="AU898" s="70"/>
      <c r="AV898" s="70"/>
      <c r="AW898" s="70"/>
      <c r="AX898" s="70"/>
      <c r="AY898" s="70"/>
      <c r="AZ898" s="70"/>
      <c r="BA898" s="70"/>
      <c r="BB898" s="70"/>
    </row>
    <row r="899" ht="14.25" customHeight="1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  <c r="AD899" s="70"/>
      <c r="AE899" s="70"/>
      <c r="AF899" s="70"/>
      <c r="AG899" s="70"/>
      <c r="AH899" s="70"/>
      <c r="AI899" s="70"/>
      <c r="AJ899" s="70"/>
      <c r="AK899" s="70"/>
      <c r="AL899" s="70"/>
      <c r="AM899" s="70"/>
      <c r="AN899" s="70"/>
      <c r="AO899" s="70"/>
      <c r="AP899" s="70"/>
      <c r="AQ899" s="70"/>
      <c r="AR899" s="70"/>
      <c r="AS899" s="70"/>
      <c r="AT899" s="70"/>
      <c r="AU899" s="70"/>
      <c r="AV899" s="70"/>
      <c r="AW899" s="70"/>
      <c r="AX899" s="70"/>
      <c r="AY899" s="70"/>
      <c r="AZ899" s="70"/>
      <c r="BA899" s="70"/>
      <c r="BB899" s="70"/>
    </row>
    <row r="900" ht="14.25" customHeight="1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  <c r="AC900" s="70"/>
      <c r="AD900" s="70"/>
      <c r="AE900" s="70"/>
      <c r="AF900" s="70"/>
      <c r="AG900" s="70"/>
      <c r="AH900" s="70"/>
      <c r="AI900" s="70"/>
      <c r="AJ900" s="70"/>
      <c r="AK900" s="70"/>
      <c r="AL900" s="70"/>
      <c r="AM900" s="70"/>
      <c r="AN900" s="70"/>
      <c r="AO900" s="70"/>
      <c r="AP900" s="70"/>
      <c r="AQ900" s="70"/>
      <c r="AR900" s="70"/>
      <c r="AS900" s="70"/>
      <c r="AT900" s="70"/>
      <c r="AU900" s="70"/>
      <c r="AV900" s="70"/>
      <c r="AW900" s="70"/>
      <c r="AX900" s="70"/>
      <c r="AY900" s="70"/>
      <c r="AZ900" s="70"/>
      <c r="BA900" s="70"/>
      <c r="BB900" s="70"/>
    </row>
    <row r="901" ht="14.25" customHeight="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  <c r="AC901" s="70"/>
      <c r="AD901" s="70"/>
      <c r="AE901" s="70"/>
      <c r="AF901" s="70"/>
      <c r="AG901" s="70"/>
      <c r="AH901" s="70"/>
      <c r="AI901" s="70"/>
      <c r="AJ901" s="70"/>
      <c r="AK901" s="70"/>
      <c r="AL901" s="70"/>
      <c r="AM901" s="70"/>
      <c r="AN901" s="70"/>
      <c r="AO901" s="70"/>
      <c r="AP901" s="70"/>
      <c r="AQ901" s="70"/>
      <c r="AR901" s="70"/>
      <c r="AS901" s="70"/>
      <c r="AT901" s="70"/>
      <c r="AU901" s="70"/>
      <c r="AV901" s="70"/>
      <c r="AW901" s="70"/>
      <c r="AX901" s="70"/>
      <c r="AY901" s="70"/>
      <c r="AZ901" s="70"/>
      <c r="BA901" s="70"/>
      <c r="BB901" s="70"/>
    </row>
    <row r="902" ht="14.25" customHeight="1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  <c r="AC902" s="70"/>
      <c r="AD902" s="70"/>
      <c r="AE902" s="70"/>
      <c r="AF902" s="70"/>
      <c r="AG902" s="70"/>
      <c r="AH902" s="70"/>
      <c r="AI902" s="70"/>
      <c r="AJ902" s="70"/>
      <c r="AK902" s="70"/>
      <c r="AL902" s="70"/>
      <c r="AM902" s="70"/>
      <c r="AN902" s="70"/>
      <c r="AO902" s="70"/>
      <c r="AP902" s="70"/>
      <c r="AQ902" s="70"/>
      <c r="AR902" s="70"/>
      <c r="AS902" s="70"/>
      <c r="AT902" s="70"/>
      <c r="AU902" s="70"/>
      <c r="AV902" s="70"/>
      <c r="AW902" s="70"/>
      <c r="AX902" s="70"/>
      <c r="AY902" s="70"/>
      <c r="AZ902" s="70"/>
      <c r="BA902" s="70"/>
      <c r="BB902" s="70"/>
    </row>
    <row r="903" ht="14.25" customHeight="1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  <c r="AC903" s="70"/>
      <c r="AD903" s="70"/>
      <c r="AE903" s="70"/>
      <c r="AF903" s="70"/>
      <c r="AG903" s="70"/>
      <c r="AH903" s="70"/>
      <c r="AI903" s="70"/>
      <c r="AJ903" s="70"/>
      <c r="AK903" s="70"/>
      <c r="AL903" s="70"/>
      <c r="AM903" s="70"/>
      <c r="AN903" s="70"/>
      <c r="AO903" s="70"/>
      <c r="AP903" s="70"/>
      <c r="AQ903" s="70"/>
      <c r="AR903" s="70"/>
      <c r="AS903" s="70"/>
      <c r="AT903" s="70"/>
      <c r="AU903" s="70"/>
      <c r="AV903" s="70"/>
      <c r="AW903" s="70"/>
      <c r="AX903" s="70"/>
      <c r="AY903" s="70"/>
      <c r="AZ903" s="70"/>
      <c r="BA903" s="70"/>
      <c r="BB903" s="70"/>
    </row>
    <row r="904" ht="14.25" customHeight="1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  <c r="AC904" s="70"/>
      <c r="AD904" s="70"/>
      <c r="AE904" s="70"/>
      <c r="AF904" s="70"/>
      <c r="AG904" s="70"/>
      <c r="AH904" s="70"/>
      <c r="AI904" s="70"/>
      <c r="AJ904" s="70"/>
      <c r="AK904" s="70"/>
      <c r="AL904" s="70"/>
      <c r="AM904" s="70"/>
      <c r="AN904" s="70"/>
      <c r="AO904" s="70"/>
      <c r="AP904" s="70"/>
      <c r="AQ904" s="70"/>
      <c r="AR904" s="70"/>
      <c r="AS904" s="70"/>
      <c r="AT904" s="70"/>
      <c r="AU904" s="70"/>
      <c r="AV904" s="70"/>
      <c r="AW904" s="70"/>
      <c r="AX904" s="70"/>
      <c r="AY904" s="70"/>
      <c r="AZ904" s="70"/>
      <c r="BA904" s="70"/>
      <c r="BB904" s="70"/>
    </row>
    <row r="905" ht="14.25" customHeight="1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  <c r="AC905" s="70"/>
      <c r="AD905" s="70"/>
      <c r="AE905" s="70"/>
      <c r="AF905" s="70"/>
      <c r="AG905" s="70"/>
      <c r="AH905" s="70"/>
      <c r="AI905" s="70"/>
      <c r="AJ905" s="70"/>
      <c r="AK905" s="70"/>
      <c r="AL905" s="70"/>
      <c r="AM905" s="70"/>
      <c r="AN905" s="70"/>
      <c r="AO905" s="70"/>
      <c r="AP905" s="70"/>
      <c r="AQ905" s="70"/>
      <c r="AR905" s="70"/>
      <c r="AS905" s="70"/>
      <c r="AT905" s="70"/>
      <c r="AU905" s="70"/>
      <c r="AV905" s="70"/>
      <c r="AW905" s="70"/>
      <c r="AX905" s="70"/>
      <c r="AY905" s="70"/>
      <c r="AZ905" s="70"/>
      <c r="BA905" s="70"/>
      <c r="BB905" s="70"/>
    </row>
    <row r="906" ht="14.25" customHeight="1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  <c r="AC906" s="70"/>
      <c r="AD906" s="70"/>
      <c r="AE906" s="70"/>
      <c r="AF906" s="70"/>
      <c r="AG906" s="70"/>
      <c r="AH906" s="70"/>
      <c r="AI906" s="70"/>
      <c r="AJ906" s="70"/>
      <c r="AK906" s="70"/>
      <c r="AL906" s="70"/>
      <c r="AM906" s="70"/>
      <c r="AN906" s="70"/>
      <c r="AO906" s="70"/>
      <c r="AP906" s="70"/>
      <c r="AQ906" s="70"/>
      <c r="AR906" s="70"/>
      <c r="AS906" s="70"/>
      <c r="AT906" s="70"/>
      <c r="AU906" s="70"/>
      <c r="AV906" s="70"/>
      <c r="AW906" s="70"/>
      <c r="AX906" s="70"/>
      <c r="AY906" s="70"/>
      <c r="AZ906" s="70"/>
      <c r="BA906" s="70"/>
      <c r="BB906" s="70"/>
    </row>
    <row r="907" ht="14.25" customHeight="1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  <c r="AC907" s="70"/>
      <c r="AD907" s="70"/>
      <c r="AE907" s="70"/>
      <c r="AF907" s="70"/>
      <c r="AG907" s="70"/>
      <c r="AH907" s="70"/>
      <c r="AI907" s="70"/>
      <c r="AJ907" s="70"/>
      <c r="AK907" s="70"/>
      <c r="AL907" s="70"/>
      <c r="AM907" s="70"/>
      <c r="AN907" s="70"/>
      <c r="AO907" s="70"/>
      <c r="AP907" s="70"/>
      <c r="AQ907" s="70"/>
      <c r="AR907" s="70"/>
      <c r="AS907" s="70"/>
      <c r="AT907" s="70"/>
      <c r="AU907" s="70"/>
      <c r="AV907" s="70"/>
      <c r="AW907" s="70"/>
      <c r="AX907" s="70"/>
      <c r="AY907" s="70"/>
      <c r="AZ907" s="70"/>
      <c r="BA907" s="70"/>
      <c r="BB907" s="70"/>
    </row>
    <row r="908" ht="14.25" customHeight="1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  <c r="AC908" s="70"/>
      <c r="AD908" s="70"/>
      <c r="AE908" s="70"/>
      <c r="AF908" s="70"/>
      <c r="AG908" s="70"/>
      <c r="AH908" s="70"/>
      <c r="AI908" s="70"/>
      <c r="AJ908" s="70"/>
      <c r="AK908" s="70"/>
      <c r="AL908" s="70"/>
      <c r="AM908" s="70"/>
      <c r="AN908" s="70"/>
      <c r="AO908" s="70"/>
      <c r="AP908" s="70"/>
      <c r="AQ908" s="70"/>
      <c r="AR908" s="70"/>
      <c r="AS908" s="70"/>
      <c r="AT908" s="70"/>
      <c r="AU908" s="70"/>
      <c r="AV908" s="70"/>
      <c r="AW908" s="70"/>
      <c r="AX908" s="70"/>
      <c r="AY908" s="70"/>
      <c r="AZ908" s="70"/>
      <c r="BA908" s="70"/>
      <c r="BB908" s="70"/>
    </row>
    <row r="909" ht="14.25" customHeight="1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  <c r="AC909" s="70"/>
      <c r="AD909" s="70"/>
      <c r="AE909" s="70"/>
      <c r="AF909" s="70"/>
      <c r="AG909" s="70"/>
      <c r="AH909" s="70"/>
      <c r="AI909" s="70"/>
      <c r="AJ909" s="70"/>
      <c r="AK909" s="70"/>
      <c r="AL909" s="70"/>
      <c r="AM909" s="70"/>
      <c r="AN909" s="70"/>
      <c r="AO909" s="70"/>
      <c r="AP909" s="70"/>
      <c r="AQ909" s="70"/>
      <c r="AR909" s="70"/>
      <c r="AS909" s="70"/>
      <c r="AT909" s="70"/>
      <c r="AU909" s="70"/>
      <c r="AV909" s="70"/>
      <c r="AW909" s="70"/>
      <c r="AX909" s="70"/>
      <c r="AY909" s="70"/>
      <c r="AZ909" s="70"/>
      <c r="BA909" s="70"/>
      <c r="BB909" s="70"/>
    </row>
    <row r="910" ht="14.25" customHeight="1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  <c r="AC910" s="70"/>
      <c r="AD910" s="70"/>
      <c r="AE910" s="70"/>
      <c r="AF910" s="70"/>
      <c r="AG910" s="70"/>
      <c r="AH910" s="70"/>
      <c r="AI910" s="70"/>
      <c r="AJ910" s="70"/>
      <c r="AK910" s="70"/>
      <c r="AL910" s="70"/>
      <c r="AM910" s="70"/>
      <c r="AN910" s="70"/>
      <c r="AO910" s="70"/>
      <c r="AP910" s="70"/>
      <c r="AQ910" s="70"/>
      <c r="AR910" s="70"/>
      <c r="AS910" s="70"/>
      <c r="AT910" s="70"/>
      <c r="AU910" s="70"/>
      <c r="AV910" s="70"/>
      <c r="AW910" s="70"/>
      <c r="AX910" s="70"/>
      <c r="AY910" s="70"/>
      <c r="AZ910" s="70"/>
      <c r="BA910" s="70"/>
      <c r="BB910" s="70"/>
    </row>
    <row r="911" ht="14.25" customHeight="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  <c r="AC911" s="70"/>
      <c r="AD911" s="70"/>
      <c r="AE911" s="70"/>
      <c r="AF911" s="70"/>
      <c r="AG911" s="70"/>
      <c r="AH911" s="70"/>
      <c r="AI911" s="70"/>
      <c r="AJ911" s="70"/>
      <c r="AK911" s="70"/>
      <c r="AL911" s="70"/>
      <c r="AM911" s="70"/>
      <c r="AN911" s="70"/>
      <c r="AO911" s="70"/>
      <c r="AP911" s="70"/>
      <c r="AQ911" s="70"/>
      <c r="AR911" s="70"/>
      <c r="AS911" s="70"/>
      <c r="AT911" s="70"/>
      <c r="AU911" s="70"/>
      <c r="AV911" s="70"/>
      <c r="AW911" s="70"/>
      <c r="AX911" s="70"/>
      <c r="AY911" s="70"/>
      <c r="AZ911" s="70"/>
      <c r="BA911" s="70"/>
      <c r="BB911" s="70"/>
    </row>
    <row r="912" ht="14.25" customHeight="1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  <c r="AC912" s="70"/>
      <c r="AD912" s="70"/>
      <c r="AE912" s="70"/>
      <c r="AF912" s="70"/>
      <c r="AG912" s="70"/>
      <c r="AH912" s="70"/>
      <c r="AI912" s="70"/>
      <c r="AJ912" s="70"/>
      <c r="AK912" s="70"/>
      <c r="AL912" s="70"/>
      <c r="AM912" s="70"/>
      <c r="AN912" s="70"/>
      <c r="AO912" s="70"/>
      <c r="AP912" s="70"/>
      <c r="AQ912" s="70"/>
      <c r="AR912" s="70"/>
      <c r="AS912" s="70"/>
      <c r="AT912" s="70"/>
      <c r="AU912" s="70"/>
      <c r="AV912" s="70"/>
      <c r="AW912" s="70"/>
      <c r="AX912" s="70"/>
      <c r="AY912" s="70"/>
      <c r="AZ912" s="70"/>
      <c r="BA912" s="70"/>
      <c r="BB912" s="70"/>
    </row>
    <row r="913" ht="14.25" customHeight="1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  <c r="AC913" s="70"/>
      <c r="AD913" s="70"/>
      <c r="AE913" s="70"/>
      <c r="AF913" s="70"/>
      <c r="AG913" s="70"/>
      <c r="AH913" s="70"/>
      <c r="AI913" s="70"/>
      <c r="AJ913" s="70"/>
      <c r="AK913" s="70"/>
      <c r="AL913" s="70"/>
      <c r="AM913" s="70"/>
      <c r="AN913" s="70"/>
      <c r="AO913" s="70"/>
      <c r="AP913" s="70"/>
      <c r="AQ913" s="70"/>
      <c r="AR913" s="70"/>
      <c r="AS913" s="70"/>
      <c r="AT913" s="70"/>
      <c r="AU913" s="70"/>
      <c r="AV913" s="70"/>
      <c r="AW913" s="70"/>
      <c r="AX913" s="70"/>
      <c r="AY913" s="70"/>
      <c r="AZ913" s="70"/>
      <c r="BA913" s="70"/>
      <c r="BB913" s="70"/>
    </row>
    <row r="914" ht="14.25" customHeight="1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  <c r="AC914" s="70"/>
      <c r="AD914" s="70"/>
      <c r="AE914" s="70"/>
      <c r="AF914" s="70"/>
      <c r="AG914" s="70"/>
      <c r="AH914" s="70"/>
      <c r="AI914" s="70"/>
      <c r="AJ914" s="70"/>
      <c r="AK914" s="70"/>
      <c r="AL914" s="70"/>
      <c r="AM914" s="70"/>
      <c r="AN914" s="70"/>
      <c r="AO914" s="70"/>
      <c r="AP914" s="70"/>
      <c r="AQ914" s="70"/>
      <c r="AR914" s="70"/>
      <c r="AS914" s="70"/>
      <c r="AT914" s="70"/>
      <c r="AU914" s="70"/>
      <c r="AV914" s="70"/>
      <c r="AW914" s="70"/>
      <c r="AX914" s="70"/>
      <c r="AY914" s="70"/>
      <c r="AZ914" s="70"/>
      <c r="BA914" s="70"/>
      <c r="BB914" s="70"/>
    </row>
    <row r="915" ht="14.25" customHeight="1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  <c r="AC915" s="70"/>
      <c r="AD915" s="70"/>
      <c r="AE915" s="70"/>
      <c r="AF915" s="70"/>
      <c r="AG915" s="70"/>
      <c r="AH915" s="70"/>
      <c r="AI915" s="70"/>
      <c r="AJ915" s="70"/>
      <c r="AK915" s="70"/>
      <c r="AL915" s="70"/>
      <c r="AM915" s="70"/>
      <c r="AN915" s="70"/>
      <c r="AO915" s="70"/>
      <c r="AP915" s="70"/>
      <c r="AQ915" s="70"/>
      <c r="AR915" s="70"/>
      <c r="AS915" s="70"/>
      <c r="AT915" s="70"/>
      <c r="AU915" s="70"/>
      <c r="AV915" s="70"/>
      <c r="AW915" s="70"/>
      <c r="AX915" s="70"/>
      <c r="AY915" s="70"/>
      <c r="AZ915" s="70"/>
      <c r="BA915" s="70"/>
      <c r="BB915" s="70"/>
    </row>
    <row r="916" ht="14.25" customHeight="1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  <c r="AC916" s="70"/>
      <c r="AD916" s="70"/>
      <c r="AE916" s="70"/>
      <c r="AF916" s="70"/>
      <c r="AG916" s="70"/>
      <c r="AH916" s="70"/>
      <c r="AI916" s="70"/>
      <c r="AJ916" s="70"/>
      <c r="AK916" s="70"/>
      <c r="AL916" s="70"/>
      <c r="AM916" s="70"/>
      <c r="AN916" s="70"/>
      <c r="AO916" s="70"/>
      <c r="AP916" s="70"/>
      <c r="AQ916" s="70"/>
      <c r="AR916" s="70"/>
      <c r="AS916" s="70"/>
      <c r="AT916" s="70"/>
      <c r="AU916" s="70"/>
      <c r="AV916" s="70"/>
      <c r="AW916" s="70"/>
      <c r="AX916" s="70"/>
      <c r="AY916" s="70"/>
      <c r="AZ916" s="70"/>
      <c r="BA916" s="70"/>
      <c r="BB916" s="70"/>
    </row>
    <row r="917" ht="14.25" customHeight="1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  <c r="AC917" s="70"/>
      <c r="AD917" s="70"/>
      <c r="AE917" s="70"/>
      <c r="AF917" s="70"/>
      <c r="AG917" s="70"/>
      <c r="AH917" s="70"/>
      <c r="AI917" s="70"/>
      <c r="AJ917" s="70"/>
      <c r="AK917" s="70"/>
      <c r="AL917" s="70"/>
      <c r="AM917" s="70"/>
      <c r="AN917" s="70"/>
      <c r="AO917" s="70"/>
      <c r="AP917" s="70"/>
      <c r="AQ917" s="70"/>
      <c r="AR917" s="70"/>
      <c r="AS917" s="70"/>
      <c r="AT917" s="70"/>
      <c r="AU917" s="70"/>
      <c r="AV917" s="70"/>
      <c r="AW917" s="70"/>
      <c r="AX917" s="70"/>
      <c r="AY917" s="70"/>
      <c r="AZ917" s="70"/>
      <c r="BA917" s="70"/>
      <c r="BB917" s="70"/>
    </row>
    <row r="918" ht="14.25" customHeight="1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  <c r="AA918" s="70"/>
      <c r="AB918" s="70"/>
      <c r="AC918" s="70"/>
      <c r="AD918" s="70"/>
      <c r="AE918" s="70"/>
      <c r="AF918" s="70"/>
      <c r="AG918" s="70"/>
      <c r="AH918" s="70"/>
      <c r="AI918" s="70"/>
      <c r="AJ918" s="70"/>
      <c r="AK918" s="70"/>
      <c r="AL918" s="70"/>
      <c r="AM918" s="70"/>
      <c r="AN918" s="70"/>
      <c r="AO918" s="70"/>
      <c r="AP918" s="70"/>
      <c r="AQ918" s="70"/>
      <c r="AR918" s="70"/>
      <c r="AS918" s="70"/>
      <c r="AT918" s="70"/>
      <c r="AU918" s="70"/>
      <c r="AV918" s="70"/>
      <c r="AW918" s="70"/>
      <c r="AX918" s="70"/>
      <c r="AY918" s="70"/>
      <c r="AZ918" s="70"/>
      <c r="BA918" s="70"/>
      <c r="BB918" s="70"/>
    </row>
    <row r="919" ht="14.25" customHeight="1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  <c r="AC919" s="70"/>
      <c r="AD919" s="70"/>
      <c r="AE919" s="70"/>
      <c r="AF919" s="70"/>
      <c r="AG919" s="70"/>
      <c r="AH919" s="70"/>
      <c r="AI919" s="70"/>
      <c r="AJ919" s="70"/>
      <c r="AK919" s="70"/>
      <c r="AL919" s="70"/>
      <c r="AM919" s="70"/>
      <c r="AN919" s="70"/>
      <c r="AO919" s="70"/>
      <c r="AP919" s="70"/>
      <c r="AQ919" s="70"/>
      <c r="AR919" s="70"/>
      <c r="AS919" s="70"/>
      <c r="AT919" s="70"/>
      <c r="AU919" s="70"/>
      <c r="AV919" s="70"/>
      <c r="AW919" s="70"/>
      <c r="AX919" s="70"/>
      <c r="AY919" s="70"/>
      <c r="AZ919" s="70"/>
      <c r="BA919" s="70"/>
      <c r="BB919" s="70"/>
    </row>
    <row r="920" ht="14.25" customHeight="1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  <c r="AA920" s="70"/>
      <c r="AB920" s="70"/>
      <c r="AC920" s="70"/>
      <c r="AD920" s="70"/>
      <c r="AE920" s="70"/>
      <c r="AF920" s="70"/>
      <c r="AG920" s="70"/>
      <c r="AH920" s="70"/>
      <c r="AI920" s="70"/>
      <c r="AJ920" s="70"/>
      <c r="AK920" s="70"/>
      <c r="AL920" s="70"/>
      <c r="AM920" s="70"/>
      <c r="AN920" s="70"/>
      <c r="AO920" s="70"/>
      <c r="AP920" s="70"/>
      <c r="AQ920" s="70"/>
      <c r="AR920" s="70"/>
      <c r="AS920" s="70"/>
      <c r="AT920" s="70"/>
      <c r="AU920" s="70"/>
      <c r="AV920" s="70"/>
      <c r="AW920" s="70"/>
      <c r="AX920" s="70"/>
      <c r="AY920" s="70"/>
      <c r="AZ920" s="70"/>
      <c r="BA920" s="70"/>
      <c r="BB920" s="70"/>
    </row>
    <row r="921" ht="14.25" customHeight="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  <c r="AC921" s="70"/>
      <c r="AD921" s="70"/>
      <c r="AE921" s="70"/>
      <c r="AF921" s="70"/>
      <c r="AG921" s="70"/>
      <c r="AH921" s="70"/>
      <c r="AI921" s="70"/>
      <c r="AJ921" s="70"/>
      <c r="AK921" s="70"/>
      <c r="AL921" s="70"/>
      <c r="AM921" s="70"/>
      <c r="AN921" s="70"/>
      <c r="AO921" s="70"/>
      <c r="AP921" s="70"/>
      <c r="AQ921" s="70"/>
      <c r="AR921" s="70"/>
      <c r="AS921" s="70"/>
      <c r="AT921" s="70"/>
      <c r="AU921" s="70"/>
      <c r="AV921" s="70"/>
      <c r="AW921" s="70"/>
      <c r="AX921" s="70"/>
      <c r="AY921" s="70"/>
      <c r="AZ921" s="70"/>
      <c r="BA921" s="70"/>
      <c r="BB921" s="70"/>
    </row>
    <row r="922" ht="14.25" customHeight="1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  <c r="AA922" s="70"/>
      <c r="AB922" s="70"/>
      <c r="AC922" s="70"/>
      <c r="AD922" s="70"/>
      <c r="AE922" s="70"/>
      <c r="AF922" s="70"/>
      <c r="AG922" s="70"/>
      <c r="AH922" s="70"/>
      <c r="AI922" s="70"/>
      <c r="AJ922" s="70"/>
      <c r="AK922" s="70"/>
      <c r="AL922" s="70"/>
      <c r="AM922" s="70"/>
      <c r="AN922" s="70"/>
      <c r="AO922" s="70"/>
      <c r="AP922" s="70"/>
      <c r="AQ922" s="70"/>
      <c r="AR922" s="70"/>
      <c r="AS922" s="70"/>
      <c r="AT922" s="70"/>
      <c r="AU922" s="70"/>
      <c r="AV922" s="70"/>
      <c r="AW922" s="70"/>
      <c r="AX922" s="70"/>
      <c r="AY922" s="70"/>
      <c r="AZ922" s="70"/>
      <c r="BA922" s="70"/>
      <c r="BB922" s="70"/>
    </row>
    <row r="923" ht="14.25" customHeight="1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  <c r="AC923" s="70"/>
      <c r="AD923" s="70"/>
      <c r="AE923" s="70"/>
      <c r="AF923" s="70"/>
      <c r="AG923" s="70"/>
      <c r="AH923" s="70"/>
      <c r="AI923" s="70"/>
      <c r="AJ923" s="70"/>
      <c r="AK923" s="70"/>
      <c r="AL923" s="70"/>
      <c r="AM923" s="70"/>
      <c r="AN923" s="70"/>
      <c r="AO923" s="70"/>
      <c r="AP923" s="70"/>
      <c r="AQ923" s="70"/>
      <c r="AR923" s="70"/>
      <c r="AS923" s="70"/>
      <c r="AT923" s="70"/>
      <c r="AU923" s="70"/>
      <c r="AV923" s="70"/>
      <c r="AW923" s="70"/>
      <c r="AX923" s="70"/>
      <c r="AY923" s="70"/>
      <c r="AZ923" s="70"/>
      <c r="BA923" s="70"/>
      <c r="BB923" s="70"/>
    </row>
    <row r="924" ht="14.25" customHeight="1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  <c r="AA924" s="70"/>
      <c r="AB924" s="70"/>
      <c r="AC924" s="70"/>
      <c r="AD924" s="70"/>
      <c r="AE924" s="70"/>
      <c r="AF924" s="70"/>
      <c r="AG924" s="70"/>
      <c r="AH924" s="70"/>
      <c r="AI924" s="70"/>
      <c r="AJ924" s="70"/>
      <c r="AK924" s="70"/>
      <c r="AL924" s="70"/>
      <c r="AM924" s="70"/>
      <c r="AN924" s="70"/>
      <c r="AO924" s="70"/>
      <c r="AP924" s="70"/>
      <c r="AQ924" s="70"/>
      <c r="AR924" s="70"/>
      <c r="AS924" s="70"/>
      <c r="AT924" s="70"/>
      <c r="AU924" s="70"/>
      <c r="AV924" s="70"/>
      <c r="AW924" s="70"/>
      <c r="AX924" s="70"/>
      <c r="AY924" s="70"/>
      <c r="AZ924" s="70"/>
      <c r="BA924" s="70"/>
      <c r="BB924" s="70"/>
    </row>
    <row r="925" ht="14.25" customHeight="1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  <c r="AC925" s="70"/>
      <c r="AD925" s="70"/>
      <c r="AE925" s="70"/>
      <c r="AF925" s="70"/>
      <c r="AG925" s="70"/>
      <c r="AH925" s="70"/>
      <c r="AI925" s="70"/>
      <c r="AJ925" s="70"/>
      <c r="AK925" s="70"/>
      <c r="AL925" s="70"/>
      <c r="AM925" s="70"/>
      <c r="AN925" s="70"/>
      <c r="AO925" s="70"/>
      <c r="AP925" s="70"/>
      <c r="AQ925" s="70"/>
      <c r="AR925" s="70"/>
      <c r="AS925" s="70"/>
      <c r="AT925" s="70"/>
      <c r="AU925" s="70"/>
      <c r="AV925" s="70"/>
      <c r="AW925" s="70"/>
      <c r="AX925" s="70"/>
      <c r="AY925" s="70"/>
      <c r="AZ925" s="70"/>
      <c r="BA925" s="70"/>
      <c r="BB925" s="70"/>
    </row>
    <row r="926" ht="14.25" customHeight="1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  <c r="AA926" s="70"/>
      <c r="AB926" s="70"/>
      <c r="AC926" s="70"/>
      <c r="AD926" s="70"/>
      <c r="AE926" s="70"/>
      <c r="AF926" s="70"/>
      <c r="AG926" s="70"/>
      <c r="AH926" s="70"/>
      <c r="AI926" s="70"/>
      <c r="AJ926" s="70"/>
      <c r="AK926" s="70"/>
      <c r="AL926" s="70"/>
      <c r="AM926" s="70"/>
      <c r="AN926" s="70"/>
      <c r="AO926" s="70"/>
      <c r="AP926" s="70"/>
      <c r="AQ926" s="70"/>
      <c r="AR926" s="70"/>
      <c r="AS926" s="70"/>
      <c r="AT926" s="70"/>
      <c r="AU926" s="70"/>
      <c r="AV926" s="70"/>
      <c r="AW926" s="70"/>
      <c r="AX926" s="70"/>
      <c r="AY926" s="70"/>
      <c r="AZ926" s="70"/>
      <c r="BA926" s="70"/>
      <c r="BB926" s="70"/>
    </row>
    <row r="927" ht="14.25" customHeight="1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  <c r="AC927" s="70"/>
      <c r="AD927" s="70"/>
      <c r="AE927" s="70"/>
      <c r="AF927" s="70"/>
      <c r="AG927" s="70"/>
      <c r="AH927" s="70"/>
      <c r="AI927" s="70"/>
      <c r="AJ927" s="70"/>
      <c r="AK927" s="70"/>
      <c r="AL927" s="70"/>
      <c r="AM927" s="70"/>
      <c r="AN927" s="70"/>
      <c r="AO927" s="70"/>
      <c r="AP927" s="70"/>
      <c r="AQ927" s="70"/>
      <c r="AR927" s="70"/>
      <c r="AS927" s="70"/>
      <c r="AT927" s="70"/>
      <c r="AU927" s="70"/>
      <c r="AV927" s="70"/>
      <c r="AW927" s="70"/>
      <c r="AX927" s="70"/>
      <c r="AY927" s="70"/>
      <c r="AZ927" s="70"/>
      <c r="BA927" s="70"/>
      <c r="BB927" s="70"/>
    </row>
    <row r="928" ht="14.25" customHeight="1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  <c r="AA928" s="70"/>
      <c r="AB928" s="70"/>
      <c r="AC928" s="70"/>
      <c r="AD928" s="70"/>
      <c r="AE928" s="70"/>
      <c r="AF928" s="70"/>
      <c r="AG928" s="70"/>
      <c r="AH928" s="70"/>
      <c r="AI928" s="70"/>
      <c r="AJ928" s="70"/>
      <c r="AK928" s="70"/>
      <c r="AL928" s="70"/>
      <c r="AM928" s="70"/>
      <c r="AN928" s="70"/>
      <c r="AO928" s="70"/>
      <c r="AP928" s="70"/>
      <c r="AQ928" s="70"/>
      <c r="AR928" s="70"/>
      <c r="AS928" s="70"/>
      <c r="AT928" s="70"/>
      <c r="AU928" s="70"/>
      <c r="AV928" s="70"/>
      <c r="AW928" s="70"/>
      <c r="AX928" s="70"/>
      <c r="AY928" s="70"/>
      <c r="AZ928" s="70"/>
      <c r="BA928" s="70"/>
      <c r="BB928" s="70"/>
    </row>
    <row r="929" ht="14.25" customHeight="1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  <c r="AC929" s="70"/>
      <c r="AD929" s="70"/>
      <c r="AE929" s="70"/>
      <c r="AF929" s="70"/>
      <c r="AG929" s="70"/>
      <c r="AH929" s="70"/>
      <c r="AI929" s="70"/>
      <c r="AJ929" s="70"/>
      <c r="AK929" s="70"/>
      <c r="AL929" s="70"/>
      <c r="AM929" s="70"/>
      <c r="AN929" s="70"/>
      <c r="AO929" s="70"/>
      <c r="AP929" s="70"/>
      <c r="AQ929" s="70"/>
      <c r="AR929" s="70"/>
      <c r="AS929" s="70"/>
      <c r="AT929" s="70"/>
      <c r="AU929" s="70"/>
      <c r="AV929" s="70"/>
      <c r="AW929" s="70"/>
      <c r="AX929" s="70"/>
      <c r="AY929" s="70"/>
      <c r="AZ929" s="70"/>
      <c r="BA929" s="70"/>
      <c r="BB929" s="70"/>
    </row>
    <row r="930" ht="14.25" customHeight="1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  <c r="AA930" s="70"/>
      <c r="AB930" s="70"/>
      <c r="AC930" s="70"/>
      <c r="AD930" s="70"/>
      <c r="AE930" s="70"/>
      <c r="AF930" s="70"/>
      <c r="AG930" s="70"/>
      <c r="AH930" s="70"/>
      <c r="AI930" s="70"/>
      <c r="AJ930" s="70"/>
      <c r="AK930" s="70"/>
      <c r="AL930" s="70"/>
      <c r="AM930" s="70"/>
      <c r="AN930" s="70"/>
      <c r="AO930" s="70"/>
      <c r="AP930" s="70"/>
      <c r="AQ930" s="70"/>
      <c r="AR930" s="70"/>
      <c r="AS930" s="70"/>
      <c r="AT930" s="70"/>
      <c r="AU930" s="70"/>
      <c r="AV930" s="70"/>
      <c r="AW930" s="70"/>
      <c r="AX930" s="70"/>
      <c r="AY930" s="70"/>
      <c r="AZ930" s="70"/>
      <c r="BA930" s="70"/>
      <c r="BB930" s="70"/>
    </row>
    <row r="931" ht="14.25" customHeight="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  <c r="AC931" s="70"/>
      <c r="AD931" s="70"/>
      <c r="AE931" s="70"/>
      <c r="AF931" s="70"/>
      <c r="AG931" s="70"/>
      <c r="AH931" s="70"/>
      <c r="AI931" s="70"/>
      <c r="AJ931" s="70"/>
      <c r="AK931" s="70"/>
      <c r="AL931" s="70"/>
      <c r="AM931" s="70"/>
      <c r="AN931" s="70"/>
      <c r="AO931" s="70"/>
      <c r="AP931" s="70"/>
      <c r="AQ931" s="70"/>
      <c r="AR931" s="70"/>
      <c r="AS931" s="70"/>
      <c r="AT931" s="70"/>
      <c r="AU931" s="70"/>
      <c r="AV931" s="70"/>
      <c r="AW931" s="70"/>
      <c r="AX931" s="70"/>
      <c r="AY931" s="70"/>
      <c r="AZ931" s="70"/>
      <c r="BA931" s="70"/>
      <c r="BB931" s="70"/>
    </row>
    <row r="932" ht="14.25" customHeight="1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  <c r="AA932" s="70"/>
      <c r="AB932" s="70"/>
      <c r="AC932" s="70"/>
      <c r="AD932" s="70"/>
      <c r="AE932" s="70"/>
      <c r="AF932" s="70"/>
      <c r="AG932" s="70"/>
      <c r="AH932" s="70"/>
      <c r="AI932" s="70"/>
      <c r="AJ932" s="70"/>
      <c r="AK932" s="70"/>
      <c r="AL932" s="70"/>
      <c r="AM932" s="70"/>
      <c r="AN932" s="70"/>
      <c r="AO932" s="70"/>
      <c r="AP932" s="70"/>
      <c r="AQ932" s="70"/>
      <c r="AR932" s="70"/>
      <c r="AS932" s="70"/>
      <c r="AT932" s="70"/>
      <c r="AU932" s="70"/>
      <c r="AV932" s="70"/>
      <c r="AW932" s="70"/>
      <c r="AX932" s="70"/>
      <c r="AY932" s="70"/>
      <c r="AZ932" s="70"/>
      <c r="BA932" s="70"/>
      <c r="BB932" s="70"/>
    </row>
    <row r="933" ht="14.25" customHeight="1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  <c r="AC933" s="70"/>
      <c r="AD933" s="70"/>
      <c r="AE933" s="70"/>
      <c r="AF933" s="70"/>
      <c r="AG933" s="70"/>
      <c r="AH933" s="70"/>
      <c r="AI933" s="70"/>
      <c r="AJ933" s="70"/>
      <c r="AK933" s="70"/>
      <c r="AL933" s="70"/>
      <c r="AM933" s="70"/>
      <c r="AN933" s="70"/>
      <c r="AO933" s="70"/>
      <c r="AP933" s="70"/>
      <c r="AQ933" s="70"/>
      <c r="AR933" s="70"/>
      <c r="AS933" s="70"/>
      <c r="AT933" s="70"/>
      <c r="AU933" s="70"/>
      <c r="AV933" s="70"/>
      <c r="AW933" s="70"/>
      <c r="AX933" s="70"/>
      <c r="AY933" s="70"/>
      <c r="AZ933" s="70"/>
      <c r="BA933" s="70"/>
      <c r="BB933" s="70"/>
    </row>
    <row r="934" ht="14.25" customHeight="1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  <c r="AC934" s="70"/>
      <c r="AD934" s="70"/>
      <c r="AE934" s="70"/>
      <c r="AF934" s="70"/>
      <c r="AG934" s="70"/>
      <c r="AH934" s="70"/>
      <c r="AI934" s="70"/>
      <c r="AJ934" s="70"/>
      <c r="AK934" s="70"/>
      <c r="AL934" s="70"/>
      <c r="AM934" s="70"/>
      <c r="AN934" s="70"/>
      <c r="AO934" s="70"/>
      <c r="AP934" s="70"/>
      <c r="AQ934" s="70"/>
      <c r="AR934" s="70"/>
      <c r="AS934" s="70"/>
      <c r="AT934" s="70"/>
      <c r="AU934" s="70"/>
      <c r="AV934" s="70"/>
      <c r="AW934" s="70"/>
      <c r="AX934" s="70"/>
      <c r="AY934" s="70"/>
      <c r="AZ934" s="70"/>
      <c r="BA934" s="70"/>
      <c r="BB934" s="70"/>
    </row>
    <row r="935" ht="14.25" customHeight="1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  <c r="AC935" s="70"/>
      <c r="AD935" s="70"/>
      <c r="AE935" s="70"/>
      <c r="AF935" s="70"/>
      <c r="AG935" s="70"/>
      <c r="AH935" s="70"/>
      <c r="AI935" s="70"/>
      <c r="AJ935" s="70"/>
      <c r="AK935" s="70"/>
      <c r="AL935" s="70"/>
      <c r="AM935" s="70"/>
      <c r="AN935" s="70"/>
      <c r="AO935" s="70"/>
      <c r="AP935" s="70"/>
      <c r="AQ935" s="70"/>
      <c r="AR935" s="70"/>
      <c r="AS935" s="70"/>
      <c r="AT935" s="70"/>
      <c r="AU935" s="70"/>
      <c r="AV935" s="70"/>
      <c r="AW935" s="70"/>
      <c r="AX935" s="70"/>
      <c r="AY935" s="70"/>
      <c r="AZ935" s="70"/>
      <c r="BA935" s="70"/>
      <c r="BB935" s="70"/>
    </row>
    <row r="936" ht="14.25" customHeight="1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  <c r="AA936" s="70"/>
      <c r="AB936" s="70"/>
      <c r="AC936" s="70"/>
      <c r="AD936" s="70"/>
      <c r="AE936" s="70"/>
      <c r="AF936" s="70"/>
      <c r="AG936" s="70"/>
      <c r="AH936" s="70"/>
      <c r="AI936" s="70"/>
      <c r="AJ936" s="70"/>
      <c r="AK936" s="70"/>
      <c r="AL936" s="70"/>
      <c r="AM936" s="70"/>
      <c r="AN936" s="70"/>
      <c r="AO936" s="70"/>
      <c r="AP936" s="70"/>
      <c r="AQ936" s="70"/>
      <c r="AR936" s="70"/>
      <c r="AS936" s="70"/>
      <c r="AT936" s="70"/>
      <c r="AU936" s="70"/>
      <c r="AV936" s="70"/>
      <c r="AW936" s="70"/>
      <c r="AX936" s="70"/>
      <c r="AY936" s="70"/>
      <c r="AZ936" s="70"/>
      <c r="BA936" s="70"/>
      <c r="BB936" s="70"/>
    </row>
    <row r="937" ht="14.25" customHeight="1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  <c r="AA937" s="70"/>
      <c r="AB937" s="70"/>
      <c r="AC937" s="70"/>
      <c r="AD937" s="70"/>
      <c r="AE937" s="70"/>
      <c r="AF937" s="70"/>
      <c r="AG937" s="70"/>
      <c r="AH937" s="70"/>
      <c r="AI937" s="70"/>
      <c r="AJ937" s="70"/>
      <c r="AK937" s="70"/>
      <c r="AL937" s="70"/>
      <c r="AM937" s="70"/>
      <c r="AN937" s="70"/>
      <c r="AO937" s="70"/>
      <c r="AP937" s="70"/>
      <c r="AQ937" s="70"/>
      <c r="AR937" s="70"/>
      <c r="AS937" s="70"/>
      <c r="AT937" s="70"/>
      <c r="AU937" s="70"/>
      <c r="AV937" s="70"/>
      <c r="AW937" s="70"/>
      <c r="AX937" s="70"/>
      <c r="AY937" s="70"/>
      <c r="AZ937" s="70"/>
      <c r="BA937" s="70"/>
      <c r="BB937" s="70"/>
    </row>
    <row r="938" ht="14.25" customHeight="1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  <c r="AA938" s="70"/>
      <c r="AB938" s="70"/>
      <c r="AC938" s="70"/>
      <c r="AD938" s="70"/>
      <c r="AE938" s="70"/>
      <c r="AF938" s="70"/>
      <c r="AG938" s="70"/>
      <c r="AH938" s="70"/>
      <c r="AI938" s="70"/>
      <c r="AJ938" s="70"/>
      <c r="AK938" s="70"/>
      <c r="AL938" s="70"/>
      <c r="AM938" s="70"/>
      <c r="AN938" s="70"/>
      <c r="AO938" s="70"/>
      <c r="AP938" s="70"/>
      <c r="AQ938" s="70"/>
      <c r="AR938" s="70"/>
      <c r="AS938" s="70"/>
      <c r="AT938" s="70"/>
      <c r="AU938" s="70"/>
      <c r="AV938" s="70"/>
      <c r="AW938" s="70"/>
      <c r="AX938" s="70"/>
      <c r="AY938" s="70"/>
      <c r="AZ938" s="70"/>
      <c r="BA938" s="70"/>
      <c r="BB938" s="70"/>
    </row>
    <row r="939" ht="14.25" customHeight="1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  <c r="AA939" s="70"/>
      <c r="AB939" s="70"/>
      <c r="AC939" s="70"/>
      <c r="AD939" s="70"/>
      <c r="AE939" s="70"/>
      <c r="AF939" s="70"/>
      <c r="AG939" s="70"/>
      <c r="AH939" s="70"/>
      <c r="AI939" s="70"/>
      <c r="AJ939" s="70"/>
      <c r="AK939" s="70"/>
      <c r="AL939" s="70"/>
      <c r="AM939" s="70"/>
      <c r="AN939" s="70"/>
      <c r="AO939" s="70"/>
      <c r="AP939" s="70"/>
      <c r="AQ939" s="70"/>
      <c r="AR939" s="70"/>
      <c r="AS939" s="70"/>
      <c r="AT939" s="70"/>
      <c r="AU939" s="70"/>
      <c r="AV939" s="70"/>
      <c r="AW939" s="70"/>
      <c r="AX939" s="70"/>
      <c r="AY939" s="70"/>
      <c r="AZ939" s="70"/>
      <c r="BA939" s="70"/>
      <c r="BB939" s="70"/>
    </row>
    <row r="940" ht="14.25" customHeight="1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  <c r="AA940" s="70"/>
      <c r="AB940" s="70"/>
      <c r="AC940" s="70"/>
      <c r="AD940" s="70"/>
      <c r="AE940" s="70"/>
      <c r="AF940" s="70"/>
      <c r="AG940" s="70"/>
      <c r="AH940" s="70"/>
      <c r="AI940" s="70"/>
      <c r="AJ940" s="70"/>
      <c r="AK940" s="70"/>
      <c r="AL940" s="70"/>
      <c r="AM940" s="70"/>
      <c r="AN940" s="70"/>
      <c r="AO940" s="70"/>
      <c r="AP940" s="70"/>
      <c r="AQ940" s="70"/>
      <c r="AR940" s="70"/>
      <c r="AS940" s="70"/>
      <c r="AT940" s="70"/>
      <c r="AU940" s="70"/>
      <c r="AV940" s="70"/>
      <c r="AW940" s="70"/>
      <c r="AX940" s="70"/>
      <c r="AY940" s="70"/>
      <c r="AZ940" s="70"/>
      <c r="BA940" s="70"/>
      <c r="BB940" s="70"/>
    </row>
    <row r="941" ht="14.25" customHeight="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  <c r="AA941" s="70"/>
      <c r="AB941" s="70"/>
      <c r="AC941" s="70"/>
      <c r="AD941" s="70"/>
      <c r="AE941" s="70"/>
      <c r="AF941" s="70"/>
      <c r="AG941" s="70"/>
      <c r="AH941" s="70"/>
      <c r="AI941" s="70"/>
      <c r="AJ941" s="70"/>
      <c r="AK941" s="70"/>
      <c r="AL941" s="70"/>
      <c r="AM941" s="70"/>
      <c r="AN941" s="70"/>
      <c r="AO941" s="70"/>
      <c r="AP941" s="70"/>
      <c r="AQ941" s="70"/>
      <c r="AR941" s="70"/>
      <c r="AS941" s="70"/>
      <c r="AT941" s="70"/>
      <c r="AU941" s="70"/>
      <c r="AV941" s="70"/>
      <c r="AW941" s="70"/>
      <c r="AX941" s="70"/>
      <c r="AY941" s="70"/>
      <c r="AZ941" s="70"/>
      <c r="BA941" s="70"/>
      <c r="BB941" s="70"/>
    </row>
    <row r="942" ht="14.25" customHeight="1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  <c r="AA942" s="70"/>
      <c r="AB942" s="70"/>
      <c r="AC942" s="70"/>
      <c r="AD942" s="70"/>
      <c r="AE942" s="70"/>
      <c r="AF942" s="70"/>
      <c r="AG942" s="70"/>
      <c r="AH942" s="70"/>
      <c r="AI942" s="70"/>
      <c r="AJ942" s="70"/>
      <c r="AK942" s="70"/>
      <c r="AL942" s="70"/>
      <c r="AM942" s="70"/>
      <c r="AN942" s="70"/>
      <c r="AO942" s="70"/>
      <c r="AP942" s="70"/>
      <c r="AQ942" s="70"/>
      <c r="AR942" s="70"/>
      <c r="AS942" s="70"/>
      <c r="AT942" s="70"/>
      <c r="AU942" s="70"/>
      <c r="AV942" s="70"/>
      <c r="AW942" s="70"/>
      <c r="AX942" s="70"/>
      <c r="AY942" s="70"/>
      <c r="AZ942" s="70"/>
      <c r="BA942" s="70"/>
      <c r="BB942" s="70"/>
    </row>
    <row r="943" ht="14.25" customHeight="1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  <c r="AA943" s="70"/>
      <c r="AB943" s="70"/>
      <c r="AC943" s="70"/>
      <c r="AD943" s="70"/>
      <c r="AE943" s="70"/>
      <c r="AF943" s="70"/>
      <c r="AG943" s="70"/>
      <c r="AH943" s="70"/>
      <c r="AI943" s="70"/>
      <c r="AJ943" s="70"/>
      <c r="AK943" s="70"/>
      <c r="AL943" s="70"/>
      <c r="AM943" s="70"/>
      <c r="AN943" s="70"/>
      <c r="AO943" s="70"/>
      <c r="AP943" s="70"/>
      <c r="AQ943" s="70"/>
      <c r="AR943" s="70"/>
      <c r="AS943" s="70"/>
      <c r="AT943" s="70"/>
      <c r="AU943" s="70"/>
      <c r="AV943" s="70"/>
      <c r="AW943" s="70"/>
      <c r="AX943" s="70"/>
      <c r="AY943" s="70"/>
      <c r="AZ943" s="70"/>
      <c r="BA943" s="70"/>
      <c r="BB943" s="70"/>
    </row>
    <row r="944" ht="14.25" customHeight="1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  <c r="AA944" s="70"/>
      <c r="AB944" s="70"/>
      <c r="AC944" s="70"/>
      <c r="AD944" s="70"/>
      <c r="AE944" s="70"/>
      <c r="AF944" s="70"/>
      <c r="AG944" s="70"/>
      <c r="AH944" s="70"/>
      <c r="AI944" s="70"/>
      <c r="AJ944" s="70"/>
      <c r="AK944" s="70"/>
      <c r="AL944" s="70"/>
      <c r="AM944" s="70"/>
      <c r="AN944" s="70"/>
      <c r="AO944" s="70"/>
      <c r="AP944" s="70"/>
      <c r="AQ944" s="70"/>
      <c r="AR944" s="70"/>
      <c r="AS944" s="70"/>
      <c r="AT944" s="70"/>
      <c r="AU944" s="70"/>
      <c r="AV944" s="70"/>
      <c r="AW944" s="70"/>
      <c r="AX944" s="70"/>
      <c r="AY944" s="70"/>
      <c r="AZ944" s="70"/>
      <c r="BA944" s="70"/>
      <c r="BB944" s="70"/>
    </row>
    <row r="945" ht="14.25" customHeight="1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  <c r="AA945" s="70"/>
      <c r="AB945" s="70"/>
      <c r="AC945" s="70"/>
      <c r="AD945" s="70"/>
      <c r="AE945" s="70"/>
      <c r="AF945" s="70"/>
      <c r="AG945" s="70"/>
      <c r="AH945" s="70"/>
      <c r="AI945" s="70"/>
      <c r="AJ945" s="70"/>
      <c r="AK945" s="70"/>
      <c r="AL945" s="70"/>
      <c r="AM945" s="70"/>
      <c r="AN945" s="70"/>
      <c r="AO945" s="70"/>
      <c r="AP945" s="70"/>
      <c r="AQ945" s="70"/>
      <c r="AR945" s="70"/>
      <c r="AS945" s="70"/>
      <c r="AT945" s="70"/>
      <c r="AU945" s="70"/>
      <c r="AV945" s="70"/>
      <c r="AW945" s="70"/>
      <c r="AX945" s="70"/>
      <c r="AY945" s="70"/>
      <c r="AZ945" s="70"/>
      <c r="BA945" s="70"/>
      <c r="BB945" s="70"/>
    </row>
    <row r="946" ht="14.25" customHeight="1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  <c r="AA946" s="70"/>
      <c r="AB946" s="70"/>
      <c r="AC946" s="70"/>
      <c r="AD946" s="70"/>
      <c r="AE946" s="70"/>
      <c r="AF946" s="70"/>
      <c r="AG946" s="70"/>
      <c r="AH946" s="70"/>
      <c r="AI946" s="70"/>
      <c r="AJ946" s="70"/>
      <c r="AK946" s="70"/>
      <c r="AL946" s="70"/>
      <c r="AM946" s="70"/>
      <c r="AN946" s="70"/>
      <c r="AO946" s="70"/>
      <c r="AP946" s="70"/>
      <c r="AQ946" s="70"/>
      <c r="AR946" s="70"/>
      <c r="AS946" s="70"/>
      <c r="AT946" s="70"/>
      <c r="AU946" s="70"/>
      <c r="AV946" s="70"/>
      <c r="AW946" s="70"/>
      <c r="AX946" s="70"/>
      <c r="AY946" s="70"/>
      <c r="AZ946" s="70"/>
      <c r="BA946" s="70"/>
      <c r="BB946" s="70"/>
    </row>
    <row r="947" ht="14.25" customHeight="1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  <c r="AA947" s="70"/>
      <c r="AB947" s="70"/>
      <c r="AC947" s="70"/>
      <c r="AD947" s="70"/>
      <c r="AE947" s="70"/>
      <c r="AF947" s="70"/>
      <c r="AG947" s="70"/>
      <c r="AH947" s="70"/>
      <c r="AI947" s="70"/>
      <c r="AJ947" s="70"/>
      <c r="AK947" s="70"/>
      <c r="AL947" s="70"/>
      <c r="AM947" s="70"/>
      <c r="AN947" s="70"/>
      <c r="AO947" s="70"/>
      <c r="AP947" s="70"/>
      <c r="AQ947" s="70"/>
      <c r="AR947" s="70"/>
      <c r="AS947" s="70"/>
      <c r="AT947" s="70"/>
      <c r="AU947" s="70"/>
      <c r="AV947" s="70"/>
      <c r="AW947" s="70"/>
      <c r="AX947" s="70"/>
      <c r="AY947" s="70"/>
      <c r="AZ947" s="70"/>
      <c r="BA947" s="70"/>
      <c r="BB947" s="70"/>
    </row>
    <row r="948" ht="14.25" customHeight="1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  <c r="AA948" s="70"/>
      <c r="AB948" s="70"/>
      <c r="AC948" s="70"/>
      <c r="AD948" s="70"/>
      <c r="AE948" s="70"/>
      <c r="AF948" s="70"/>
      <c r="AG948" s="70"/>
      <c r="AH948" s="70"/>
      <c r="AI948" s="70"/>
      <c r="AJ948" s="70"/>
      <c r="AK948" s="70"/>
      <c r="AL948" s="70"/>
      <c r="AM948" s="70"/>
      <c r="AN948" s="70"/>
      <c r="AO948" s="70"/>
      <c r="AP948" s="70"/>
      <c r="AQ948" s="70"/>
      <c r="AR948" s="70"/>
      <c r="AS948" s="70"/>
      <c r="AT948" s="70"/>
      <c r="AU948" s="70"/>
      <c r="AV948" s="70"/>
      <c r="AW948" s="70"/>
      <c r="AX948" s="70"/>
      <c r="AY948" s="70"/>
      <c r="AZ948" s="70"/>
      <c r="BA948" s="70"/>
      <c r="BB948" s="70"/>
    </row>
    <row r="949" ht="14.25" customHeight="1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  <c r="AA949" s="70"/>
      <c r="AB949" s="70"/>
      <c r="AC949" s="70"/>
      <c r="AD949" s="70"/>
      <c r="AE949" s="70"/>
      <c r="AF949" s="70"/>
      <c r="AG949" s="70"/>
      <c r="AH949" s="70"/>
      <c r="AI949" s="70"/>
      <c r="AJ949" s="70"/>
      <c r="AK949" s="70"/>
      <c r="AL949" s="70"/>
      <c r="AM949" s="70"/>
      <c r="AN949" s="70"/>
      <c r="AO949" s="70"/>
      <c r="AP949" s="70"/>
      <c r="AQ949" s="70"/>
      <c r="AR949" s="70"/>
      <c r="AS949" s="70"/>
      <c r="AT949" s="70"/>
      <c r="AU949" s="70"/>
      <c r="AV949" s="70"/>
      <c r="AW949" s="70"/>
      <c r="AX949" s="70"/>
      <c r="AY949" s="70"/>
      <c r="AZ949" s="70"/>
      <c r="BA949" s="70"/>
      <c r="BB949" s="70"/>
    </row>
    <row r="950" ht="14.25" customHeight="1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  <c r="AA950" s="70"/>
      <c r="AB950" s="70"/>
      <c r="AC950" s="70"/>
      <c r="AD950" s="70"/>
      <c r="AE950" s="70"/>
      <c r="AF950" s="70"/>
      <c r="AG950" s="70"/>
      <c r="AH950" s="70"/>
      <c r="AI950" s="70"/>
      <c r="AJ950" s="70"/>
      <c r="AK950" s="70"/>
      <c r="AL950" s="70"/>
      <c r="AM950" s="70"/>
      <c r="AN950" s="70"/>
      <c r="AO950" s="70"/>
      <c r="AP950" s="70"/>
      <c r="AQ950" s="70"/>
      <c r="AR950" s="70"/>
      <c r="AS950" s="70"/>
      <c r="AT950" s="70"/>
      <c r="AU950" s="70"/>
      <c r="AV950" s="70"/>
      <c r="AW950" s="70"/>
      <c r="AX950" s="70"/>
      <c r="AY950" s="70"/>
      <c r="AZ950" s="70"/>
      <c r="BA950" s="70"/>
      <c r="BB950" s="70"/>
    </row>
    <row r="951" ht="14.25" customHeight="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  <c r="AC951" s="70"/>
      <c r="AD951" s="70"/>
      <c r="AE951" s="70"/>
      <c r="AF951" s="70"/>
      <c r="AG951" s="70"/>
      <c r="AH951" s="70"/>
      <c r="AI951" s="70"/>
      <c r="AJ951" s="70"/>
      <c r="AK951" s="70"/>
      <c r="AL951" s="70"/>
      <c r="AM951" s="70"/>
      <c r="AN951" s="70"/>
      <c r="AO951" s="70"/>
      <c r="AP951" s="70"/>
      <c r="AQ951" s="70"/>
      <c r="AR951" s="70"/>
      <c r="AS951" s="70"/>
      <c r="AT951" s="70"/>
      <c r="AU951" s="70"/>
      <c r="AV951" s="70"/>
      <c r="AW951" s="70"/>
      <c r="AX951" s="70"/>
      <c r="AY951" s="70"/>
      <c r="AZ951" s="70"/>
      <c r="BA951" s="70"/>
      <c r="BB951" s="70"/>
    </row>
    <row r="952" ht="14.25" customHeight="1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  <c r="AA952" s="70"/>
      <c r="AB952" s="70"/>
      <c r="AC952" s="70"/>
      <c r="AD952" s="70"/>
      <c r="AE952" s="70"/>
      <c r="AF952" s="70"/>
      <c r="AG952" s="70"/>
      <c r="AH952" s="70"/>
      <c r="AI952" s="70"/>
      <c r="AJ952" s="70"/>
      <c r="AK952" s="70"/>
      <c r="AL952" s="70"/>
      <c r="AM952" s="70"/>
      <c r="AN952" s="70"/>
      <c r="AO952" s="70"/>
      <c r="AP952" s="70"/>
      <c r="AQ952" s="70"/>
      <c r="AR952" s="70"/>
      <c r="AS952" s="70"/>
      <c r="AT952" s="70"/>
      <c r="AU952" s="70"/>
      <c r="AV952" s="70"/>
      <c r="AW952" s="70"/>
      <c r="AX952" s="70"/>
      <c r="AY952" s="70"/>
      <c r="AZ952" s="70"/>
      <c r="BA952" s="70"/>
      <c r="BB952" s="70"/>
    </row>
    <row r="953" ht="14.25" customHeight="1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  <c r="AA953" s="70"/>
      <c r="AB953" s="70"/>
      <c r="AC953" s="70"/>
      <c r="AD953" s="70"/>
      <c r="AE953" s="70"/>
      <c r="AF953" s="70"/>
      <c r="AG953" s="70"/>
      <c r="AH953" s="70"/>
      <c r="AI953" s="70"/>
      <c r="AJ953" s="70"/>
      <c r="AK953" s="70"/>
      <c r="AL953" s="70"/>
      <c r="AM953" s="70"/>
      <c r="AN953" s="70"/>
      <c r="AO953" s="70"/>
      <c r="AP953" s="70"/>
      <c r="AQ953" s="70"/>
      <c r="AR953" s="70"/>
      <c r="AS953" s="70"/>
      <c r="AT953" s="70"/>
      <c r="AU953" s="70"/>
      <c r="AV953" s="70"/>
      <c r="AW953" s="70"/>
      <c r="AX953" s="70"/>
      <c r="AY953" s="70"/>
      <c r="AZ953" s="70"/>
      <c r="BA953" s="70"/>
      <c r="BB953" s="70"/>
    </row>
    <row r="954" ht="14.25" customHeight="1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  <c r="AA954" s="70"/>
      <c r="AB954" s="70"/>
      <c r="AC954" s="70"/>
      <c r="AD954" s="70"/>
      <c r="AE954" s="70"/>
      <c r="AF954" s="70"/>
      <c r="AG954" s="70"/>
      <c r="AH954" s="70"/>
      <c r="AI954" s="70"/>
      <c r="AJ954" s="70"/>
      <c r="AK954" s="70"/>
      <c r="AL954" s="70"/>
      <c r="AM954" s="70"/>
      <c r="AN954" s="70"/>
      <c r="AO954" s="70"/>
      <c r="AP954" s="70"/>
      <c r="AQ954" s="70"/>
      <c r="AR954" s="70"/>
      <c r="AS954" s="70"/>
      <c r="AT954" s="70"/>
      <c r="AU954" s="70"/>
      <c r="AV954" s="70"/>
      <c r="AW954" s="70"/>
      <c r="AX954" s="70"/>
      <c r="AY954" s="70"/>
      <c r="AZ954" s="70"/>
      <c r="BA954" s="70"/>
      <c r="BB954" s="70"/>
    </row>
    <row r="955" ht="14.25" customHeight="1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  <c r="AA955" s="70"/>
      <c r="AB955" s="70"/>
      <c r="AC955" s="70"/>
      <c r="AD955" s="70"/>
      <c r="AE955" s="70"/>
      <c r="AF955" s="70"/>
      <c r="AG955" s="70"/>
      <c r="AH955" s="70"/>
      <c r="AI955" s="70"/>
      <c r="AJ955" s="70"/>
      <c r="AK955" s="70"/>
      <c r="AL955" s="70"/>
      <c r="AM955" s="70"/>
      <c r="AN955" s="70"/>
      <c r="AO955" s="70"/>
      <c r="AP955" s="70"/>
      <c r="AQ955" s="70"/>
      <c r="AR955" s="70"/>
      <c r="AS955" s="70"/>
      <c r="AT955" s="70"/>
      <c r="AU955" s="70"/>
      <c r="AV955" s="70"/>
      <c r="AW955" s="70"/>
      <c r="AX955" s="70"/>
      <c r="AY955" s="70"/>
      <c r="AZ955" s="70"/>
      <c r="BA955" s="70"/>
      <c r="BB955" s="70"/>
    </row>
    <row r="956" ht="14.25" customHeight="1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  <c r="AA956" s="70"/>
      <c r="AB956" s="70"/>
      <c r="AC956" s="70"/>
      <c r="AD956" s="70"/>
      <c r="AE956" s="70"/>
      <c r="AF956" s="70"/>
      <c r="AG956" s="70"/>
      <c r="AH956" s="70"/>
      <c r="AI956" s="70"/>
      <c r="AJ956" s="70"/>
      <c r="AK956" s="70"/>
      <c r="AL956" s="70"/>
      <c r="AM956" s="70"/>
      <c r="AN956" s="70"/>
      <c r="AO956" s="70"/>
      <c r="AP956" s="70"/>
      <c r="AQ956" s="70"/>
      <c r="AR956" s="70"/>
      <c r="AS956" s="70"/>
      <c r="AT956" s="70"/>
      <c r="AU956" s="70"/>
      <c r="AV956" s="70"/>
      <c r="AW956" s="70"/>
      <c r="AX956" s="70"/>
      <c r="AY956" s="70"/>
      <c r="AZ956" s="70"/>
      <c r="BA956" s="70"/>
      <c r="BB956" s="70"/>
    </row>
    <row r="957" ht="14.25" customHeight="1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0"/>
      <c r="AC957" s="70"/>
      <c r="AD957" s="70"/>
      <c r="AE957" s="70"/>
      <c r="AF957" s="70"/>
      <c r="AG957" s="70"/>
      <c r="AH957" s="70"/>
      <c r="AI957" s="70"/>
      <c r="AJ957" s="70"/>
      <c r="AK957" s="70"/>
      <c r="AL957" s="70"/>
      <c r="AM957" s="70"/>
      <c r="AN957" s="70"/>
      <c r="AO957" s="70"/>
      <c r="AP957" s="70"/>
      <c r="AQ957" s="70"/>
      <c r="AR957" s="70"/>
      <c r="AS957" s="70"/>
      <c r="AT957" s="70"/>
      <c r="AU957" s="70"/>
      <c r="AV957" s="70"/>
      <c r="AW957" s="70"/>
      <c r="AX957" s="70"/>
      <c r="AY957" s="70"/>
      <c r="AZ957" s="70"/>
      <c r="BA957" s="70"/>
      <c r="BB957" s="70"/>
    </row>
    <row r="958" ht="14.25" customHeight="1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  <c r="AA958" s="70"/>
      <c r="AB958" s="70"/>
      <c r="AC958" s="70"/>
      <c r="AD958" s="70"/>
      <c r="AE958" s="70"/>
      <c r="AF958" s="70"/>
      <c r="AG958" s="70"/>
      <c r="AH958" s="70"/>
      <c r="AI958" s="70"/>
      <c r="AJ958" s="70"/>
      <c r="AK958" s="70"/>
      <c r="AL958" s="70"/>
      <c r="AM958" s="70"/>
      <c r="AN958" s="70"/>
      <c r="AO958" s="70"/>
      <c r="AP958" s="70"/>
      <c r="AQ958" s="70"/>
      <c r="AR958" s="70"/>
      <c r="AS958" s="70"/>
      <c r="AT958" s="70"/>
      <c r="AU958" s="70"/>
      <c r="AV958" s="70"/>
      <c r="AW958" s="70"/>
      <c r="AX958" s="70"/>
      <c r="AY958" s="70"/>
      <c r="AZ958" s="70"/>
      <c r="BA958" s="70"/>
      <c r="BB958" s="70"/>
    </row>
    <row r="959" ht="14.25" customHeight="1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  <c r="AA959" s="70"/>
      <c r="AB959" s="70"/>
      <c r="AC959" s="70"/>
      <c r="AD959" s="70"/>
      <c r="AE959" s="70"/>
      <c r="AF959" s="70"/>
      <c r="AG959" s="70"/>
      <c r="AH959" s="70"/>
      <c r="AI959" s="70"/>
      <c r="AJ959" s="70"/>
      <c r="AK959" s="70"/>
      <c r="AL959" s="70"/>
      <c r="AM959" s="70"/>
      <c r="AN959" s="70"/>
      <c r="AO959" s="70"/>
      <c r="AP959" s="70"/>
      <c r="AQ959" s="70"/>
      <c r="AR959" s="70"/>
      <c r="AS959" s="70"/>
      <c r="AT959" s="70"/>
      <c r="AU959" s="70"/>
      <c r="AV959" s="70"/>
      <c r="AW959" s="70"/>
      <c r="AX959" s="70"/>
      <c r="AY959" s="70"/>
      <c r="AZ959" s="70"/>
      <c r="BA959" s="70"/>
      <c r="BB959" s="70"/>
    </row>
    <row r="960" ht="14.25" customHeight="1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  <c r="AA960" s="70"/>
      <c r="AB960" s="70"/>
      <c r="AC960" s="70"/>
      <c r="AD960" s="70"/>
      <c r="AE960" s="70"/>
      <c r="AF960" s="70"/>
      <c r="AG960" s="70"/>
      <c r="AH960" s="70"/>
      <c r="AI960" s="70"/>
      <c r="AJ960" s="70"/>
      <c r="AK960" s="70"/>
      <c r="AL960" s="70"/>
      <c r="AM960" s="70"/>
      <c r="AN960" s="70"/>
      <c r="AO960" s="70"/>
      <c r="AP960" s="70"/>
      <c r="AQ960" s="70"/>
      <c r="AR960" s="70"/>
      <c r="AS960" s="70"/>
      <c r="AT960" s="70"/>
      <c r="AU960" s="70"/>
      <c r="AV960" s="70"/>
      <c r="AW960" s="70"/>
      <c r="AX960" s="70"/>
      <c r="AY960" s="70"/>
      <c r="AZ960" s="70"/>
      <c r="BA960" s="70"/>
      <c r="BB960" s="70"/>
    </row>
    <row r="961" ht="14.25" customHeight="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  <c r="AA961" s="70"/>
      <c r="AB961" s="70"/>
      <c r="AC961" s="70"/>
      <c r="AD961" s="70"/>
      <c r="AE961" s="70"/>
      <c r="AF961" s="70"/>
      <c r="AG961" s="70"/>
      <c r="AH961" s="70"/>
      <c r="AI961" s="70"/>
      <c r="AJ961" s="70"/>
      <c r="AK961" s="70"/>
      <c r="AL961" s="70"/>
      <c r="AM961" s="70"/>
      <c r="AN961" s="70"/>
      <c r="AO961" s="70"/>
      <c r="AP961" s="70"/>
      <c r="AQ961" s="70"/>
      <c r="AR961" s="70"/>
      <c r="AS961" s="70"/>
      <c r="AT961" s="70"/>
      <c r="AU961" s="70"/>
      <c r="AV961" s="70"/>
      <c r="AW961" s="70"/>
      <c r="AX961" s="70"/>
      <c r="AY961" s="70"/>
      <c r="AZ961" s="70"/>
      <c r="BA961" s="70"/>
      <c r="BB961" s="70"/>
    </row>
    <row r="962" ht="14.25" customHeight="1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  <c r="AA962" s="70"/>
      <c r="AB962" s="70"/>
      <c r="AC962" s="70"/>
      <c r="AD962" s="70"/>
      <c r="AE962" s="70"/>
      <c r="AF962" s="70"/>
      <c r="AG962" s="70"/>
      <c r="AH962" s="70"/>
      <c r="AI962" s="70"/>
      <c r="AJ962" s="70"/>
      <c r="AK962" s="70"/>
      <c r="AL962" s="70"/>
      <c r="AM962" s="70"/>
      <c r="AN962" s="70"/>
      <c r="AO962" s="70"/>
      <c r="AP962" s="70"/>
      <c r="AQ962" s="70"/>
      <c r="AR962" s="70"/>
      <c r="AS962" s="70"/>
      <c r="AT962" s="70"/>
      <c r="AU962" s="70"/>
      <c r="AV962" s="70"/>
      <c r="AW962" s="70"/>
      <c r="AX962" s="70"/>
      <c r="AY962" s="70"/>
      <c r="AZ962" s="70"/>
      <c r="BA962" s="70"/>
      <c r="BB962" s="70"/>
    </row>
    <row r="963" ht="14.25" customHeight="1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  <c r="AA963" s="70"/>
      <c r="AB963" s="70"/>
      <c r="AC963" s="70"/>
      <c r="AD963" s="70"/>
      <c r="AE963" s="70"/>
      <c r="AF963" s="70"/>
      <c r="AG963" s="70"/>
      <c r="AH963" s="70"/>
      <c r="AI963" s="70"/>
      <c r="AJ963" s="70"/>
      <c r="AK963" s="70"/>
      <c r="AL963" s="70"/>
      <c r="AM963" s="70"/>
      <c r="AN963" s="70"/>
      <c r="AO963" s="70"/>
      <c r="AP963" s="70"/>
      <c r="AQ963" s="70"/>
      <c r="AR963" s="70"/>
      <c r="AS963" s="70"/>
      <c r="AT963" s="70"/>
      <c r="AU963" s="70"/>
      <c r="AV963" s="70"/>
      <c r="AW963" s="70"/>
      <c r="AX963" s="70"/>
      <c r="AY963" s="70"/>
      <c r="AZ963" s="70"/>
      <c r="BA963" s="70"/>
      <c r="BB963" s="70"/>
    </row>
    <row r="964" ht="14.25" customHeight="1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  <c r="AA964" s="70"/>
      <c r="AB964" s="70"/>
      <c r="AC964" s="70"/>
      <c r="AD964" s="70"/>
      <c r="AE964" s="70"/>
      <c r="AF964" s="70"/>
      <c r="AG964" s="70"/>
      <c r="AH964" s="70"/>
      <c r="AI964" s="70"/>
      <c r="AJ964" s="70"/>
      <c r="AK964" s="70"/>
      <c r="AL964" s="70"/>
      <c r="AM964" s="70"/>
      <c r="AN964" s="70"/>
      <c r="AO964" s="70"/>
      <c r="AP964" s="70"/>
      <c r="AQ964" s="70"/>
      <c r="AR964" s="70"/>
      <c r="AS964" s="70"/>
      <c r="AT964" s="70"/>
      <c r="AU964" s="70"/>
      <c r="AV964" s="70"/>
      <c r="AW964" s="70"/>
      <c r="AX964" s="70"/>
      <c r="AY964" s="70"/>
      <c r="AZ964" s="70"/>
      <c r="BA964" s="70"/>
      <c r="BB964" s="70"/>
    </row>
    <row r="965" ht="14.25" customHeight="1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  <c r="AA965" s="70"/>
      <c r="AB965" s="70"/>
      <c r="AC965" s="70"/>
      <c r="AD965" s="70"/>
      <c r="AE965" s="70"/>
      <c r="AF965" s="70"/>
      <c r="AG965" s="70"/>
      <c r="AH965" s="70"/>
      <c r="AI965" s="70"/>
      <c r="AJ965" s="70"/>
      <c r="AK965" s="70"/>
      <c r="AL965" s="70"/>
      <c r="AM965" s="70"/>
      <c r="AN965" s="70"/>
      <c r="AO965" s="70"/>
      <c r="AP965" s="70"/>
      <c r="AQ965" s="70"/>
      <c r="AR965" s="70"/>
      <c r="AS965" s="70"/>
      <c r="AT965" s="70"/>
      <c r="AU965" s="70"/>
      <c r="AV965" s="70"/>
      <c r="AW965" s="70"/>
      <c r="AX965" s="70"/>
      <c r="AY965" s="70"/>
      <c r="AZ965" s="70"/>
      <c r="BA965" s="70"/>
      <c r="BB965" s="70"/>
    </row>
    <row r="966" ht="14.25" customHeight="1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  <c r="AA966" s="70"/>
      <c r="AB966" s="70"/>
      <c r="AC966" s="70"/>
      <c r="AD966" s="70"/>
      <c r="AE966" s="70"/>
      <c r="AF966" s="70"/>
      <c r="AG966" s="70"/>
      <c r="AH966" s="70"/>
      <c r="AI966" s="70"/>
      <c r="AJ966" s="70"/>
      <c r="AK966" s="70"/>
      <c r="AL966" s="70"/>
      <c r="AM966" s="70"/>
      <c r="AN966" s="70"/>
      <c r="AO966" s="70"/>
      <c r="AP966" s="70"/>
      <c r="AQ966" s="70"/>
      <c r="AR966" s="70"/>
      <c r="AS966" s="70"/>
      <c r="AT966" s="70"/>
      <c r="AU966" s="70"/>
      <c r="AV966" s="70"/>
      <c r="AW966" s="70"/>
      <c r="AX966" s="70"/>
      <c r="AY966" s="70"/>
      <c r="AZ966" s="70"/>
      <c r="BA966" s="70"/>
      <c r="BB966" s="70"/>
    </row>
    <row r="967" ht="14.25" customHeight="1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  <c r="AA967" s="70"/>
      <c r="AB967" s="70"/>
      <c r="AC967" s="70"/>
      <c r="AD967" s="70"/>
      <c r="AE967" s="70"/>
      <c r="AF967" s="70"/>
      <c r="AG967" s="70"/>
      <c r="AH967" s="70"/>
      <c r="AI967" s="70"/>
      <c r="AJ967" s="70"/>
      <c r="AK967" s="70"/>
      <c r="AL967" s="70"/>
      <c r="AM967" s="70"/>
      <c r="AN967" s="70"/>
      <c r="AO967" s="70"/>
      <c r="AP967" s="70"/>
      <c r="AQ967" s="70"/>
      <c r="AR967" s="70"/>
      <c r="AS967" s="70"/>
      <c r="AT967" s="70"/>
      <c r="AU967" s="70"/>
      <c r="AV967" s="70"/>
      <c r="AW967" s="70"/>
      <c r="AX967" s="70"/>
      <c r="AY967" s="70"/>
      <c r="AZ967" s="70"/>
      <c r="BA967" s="70"/>
      <c r="BB967" s="70"/>
    </row>
    <row r="968" ht="14.25" customHeight="1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  <c r="AA968" s="70"/>
      <c r="AB968" s="70"/>
      <c r="AC968" s="70"/>
      <c r="AD968" s="70"/>
      <c r="AE968" s="70"/>
      <c r="AF968" s="70"/>
      <c r="AG968" s="70"/>
      <c r="AH968" s="70"/>
      <c r="AI968" s="70"/>
      <c r="AJ968" s="70"/>
      <c r="AK968" s="70"/>
      <c r="AL968" s="70"/>
      <c r="AM968" s="70"/>
      <c r="AN968" s="70"/>
      <c r="AO968" s="70"/>
      <c r="AP968" s="70"/>
      <c r="AQ968" s="70"/>
      <c r="AR968" s="70"/>
      <c r="AS968" s="70"/>
      <c r="AT968" s="70"/>
      <c r="AU968" s="70"/>
      <c r="AV968" s="70"/>
      <c r="AW968" s="70"/>
      <c r="AX968" s="70"/>
      <c r="AY968" s="70"/>
      <c r="AZ968" s="70"/>
      <c r="BA968" s="70"/>
      <c r="BB968" s="70"/>
    </row>
    <row r="969" ht="14.25" customHeight="1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  <c r="AC969" s="70"/>
      <c r="AD969" s="70"/>
      <c r="AE969" s="70"/>
      <c r="AF969" s="70"/>
      <c r="AG969" s="70"/>
      <c r="AH969" s="70"/>
      <c r="AI969" s="70"/>
      <c r="AJ969" s="70"/>
      <c r="AK969" s="70"/>
      <c r="AL969" s="70"/>
      <c r="AM969" s="70"/>
      <c r="AN969" s="70"/>
      <c r="AO969" s="70"/>
      <c r="AP969" s="70"/>
      <c r="AQ969" s="70"/>
      <c r="AR969" s="70"/>
      <c r="AS969" s="70"/>
      <c r="AT969" s="70"/>
      <c r="AU969" s="70"/>
      <c r="AV969" s="70"/>
      <c r="AW969" s="70"/>
      <c r="AX969" s="70"/>
      <c r="AY969" s="70"/>
      <c r="AZ969" s="70"/>
      <c r="BA969" s="70"/>
      <c r="BB969" s="70"/>
    </row>
    <row r="970" ht="14.25" customHeight="1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  <c r="AA970" s="70"/>
      <c r="AB970" s="70"/>
      <c r="AC970" s="70"/>
      <c r="AD970" s="70"/>
      <c r="AE970" s="70"/>
      <c r="AF970" s="70"/>
      <c r="AG970" s="70"/>
      <c r="AH970" s="70"/>
      <c r="AI970" s="70"/>
      <c r="AJ970" s="70"/>
      <c r="AK970" s="70"/>
      <c r="AL970" s="70"/>
      <c r="AM970" s="70"/>
      <c r="AN970" s="70"/>
      <c r="AO970" s="70"/>
      <c r="AP970" s="70"/>
      <c r="AQ970" s="70"/>
      <c r="AR970" s="70"/>
      <c r="AS970" s="70"/>
      <c r="AT970" s="70"/>
      <c r="AU970" s="70"/>
      <c r="AV970" s="70"/>
      <c r="AW970" s="70"/>
      <c r="AX970" s="70"/>
      <c r="AY970" s="70"/>
      <c r="AZ970" s="70"/>
      <c r="BA970" s="70"/>
      <c r="BB970" s="70"/>
    </row>
    <row r="971" ht="14.25" customHeight="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  <c r="AA971" s="70"/>
      <c r="AB971" s="70"/>
      <c r="AC971" s="70"/>
      <c r="AD971" s="70"/>
      <c r="AE971" s="70"/>
      <c r="AF971" s="70"/>
      <c r="AG971" s="70"/>
      <c r="AH971" s="70"/>
      <c r="AI971" s="70"/>
      <c r="AJ971" s="70"/>
      <c r="AK971" s="70"/>
      <c r="AL971" s="70"/>
      <c r="AM971" s="70"/>
      <c r="AN971" s="70"/>
      <c r="AO971" s="70"/>
      <c r="AP971" s="70"/>
      <c r="AQ971" s="70"/>
      <c r="AR971" s="70"/>
      <c r="AS971" s="70"/>
      <c r="AT971" s="70"/>
      <c r="AU971" s="70"/>
      <c r="AV971" s="70"/>
      <c r="AW971" s="70"/>
      <c r="AX971" s="70"/>
      <c r="AY971" s="70"/>
      <c r="AZ971" s="70"/>
      <c r="BA971" s="70"/>
      <c r="BB971" s="70"/>
    </row>
    <row r="972" ht="14.25" customHeight="1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  <c r="AA972" s="70"/>
      <c r="AB972" s="70"/>
      <c r="AC972" s="70"/>
      <c r="AD972" s="70"/>
      <c r="AE972" s="70"/>
      <c r="AF972" s="70"/>
      <c r="AG972" s="70"/>
      <c r="AH972" s="70"/>
      <c r="AI972" s="70"/>
      <c r="AJ972" s="70"/>
      <c r="AK972" s="70"/>
      <c r="AL972" s="70"/>
      <c r="AM972" s="70"/>
      <c r="AN972" s="70"/>
      <c r="AO972" s="70"/>
      <c r="AP972" s="70"/>
      <c r="AQ972" s="70"/>
      <c r="AR972" s="70"/>
      <c r="AS972" s="70"/>
      <c r="AT972" s="70"/>
      <c r="AU972" s="70"/>
      <c r="AV972" s="70"/>
      <c r="AW972" s="70"/>
      <c r="AX972" s="70"/>
      <c r="AY972" s="70"/>
      <c r="AZ972" s="70"/>
      <c r="BA972" s="70"/>
      <c r="BB972" s="70"/>
    </row>
    <row r="973" ht="14.25" customHeight="1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  <c r="AA973" s="70"/>
      <c r="AB973" s="70"/>
      <c r="AC973" s="70"/>
      <c r="AD973" s="70"/>
      <c r="AE973" s="70"/>
      <c r="AF973" s="70"/>
      <c r="AG973" s="70"/>
      <c r="AH973" s="70"/>
      <c r="AI973" s="70"/>
      <c r="AJ973" s="70"/>
      <c r="AK973" s="70"/>
      <c r="AL973" s="70"/>
      <c r="AM973" s="70"/>
      <c r="AN973" s="70"/>
      <c r="AO973" s="70"/>
      <c r="AP973" s="70"/>
      <c r="AQ973" s="70"/>
      <c r="AR973" s="70"/>
      <c r="AS973" s="70"/>
      <c r="AT973" s="70"/>
      <c r="AU973" s="70"/>
      <c r="AV973" s="70"/>
      <c r="AW973" s="70"/>
      <c r="AX973" s="70"/>
      <c r="AY973" s="70"/>
      <c r="AZ973" s="70"/>
      <c r="BA973" s="70"/>
      <c r="BB973" s="70"/>
    </row>
    <row r="974" ht="14.25" customHeight="1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  <c r="AA974" s="70"/>
      <c r="AB974" s="70"/>
      <c r="AC974" s="70"/>
      <c r="AD974" s="70"/>
      <c r="AE974" s="70"/>
      <c r="AF974" s="70"/>
      <c r="AG974" s="70"/>
      <c r="AH974" s="70"/>
      <c r="AI974" s="70"/>
      <c r="AJ974" s="70"/>
      <c r="AK974" s="70"/>
      <c r="AL974" s="70"/>
      <c r="AM974" s="70"/>
      <c r="AN974" s="70"/>
      <c r="AO974" s="70"/>
      <c r="AP974" s="70"/>
      <c r="AQ974" s="70"/>
      <c r="AR974" s="70"/>
      <c r="AS974" s="70"/>
      <c r="AT974" s="70"/>
      <c r="AU974" s="70"/>
      <c r="AV974" s="70"/>
      <c r="AW974" s="70"/>
      <c r="AX974" s="70"/>
      <c r="AY974" s="70"/>
      <c r="AZ974" s="70"/>
      <c r="BA974" s="70"/>
      <c r="BB974" s="70"/>
    </row>
    <row r="975" ht="14.25" customHeight="1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  <c r="AA975" s="70"/>
      <c r="AB975" s="70"/>
      <c r="AC975" s="70"/>
      <c r="AD975" s="70"/>
      <c r="AE975" s="70"/>
      <c r="AF975" s="70"/>
      <c r="AG975" s="70"/>
      <c r="AH975" s="70"/>
      <c r="AI975" s="70"/>
      <c r="AJ975" s="70"/>
      <c r="AK975" s="70"/>
      <c r="AL975" s="70"/>
      <c r="AM975" s="70"/>
      <c r="AN975" s="70"/>
      <c r="AO975" s="70"/>
      <c r="AP975" s="70"/>
      <c r="AQ975" s="70"/>
      <c r="AR975" s="70"/>
      <c r="AS975" s="70"/>
      <c r="AT975" s="70"/>
      <c r="AU975" s="70"/>
      <c r="AV975" s="70"/>
      <c r="AW975" s="70"/>
      <c r="AX975" s="70"/>
      <c r="AY975" s="70"/>
      <c r="AZ975" s="70"/>
      <c r="BA975" s="70"/>
      <c r="BB975" s="70"/>
    </row>
    <row r="976" ht="14.25" customHeight="1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  <c r="AA976" s="70"/>
      <c r="AB976" s="70"/>
      <c r="AC976" s="70"/>
      <c r="AD976" s="70"/>
      <c r="AE976" s="70"/>
      <c r="AF976" s="70"/>
      <c r="AG976" s="70"/>
      <c r="AH976" s="70"/>
      <c r="AI976" s="70"/>
      <c r="AJ976" s="70"/>
      <c r="AK976" s="70"/>
      <c r="AL976" s="70"/>
      <c r="AM976" s="70"/>
      <c r="AN976" s="70"/>
      <c r="AO976" s="70"/>
      <c r="AP976" s="70"/>
      <c r="AQ976" s="70"/>
      <c r="AR976" s="70"/>
      <c r="AS976" s="70"/>
      <c r="AT976" s="70"/>
      <c r="AU976" s="70"/>
      <c r="AV976" s="70"/>
      <c r="AW976" s="70"/>
      <c r="AX976" s="70"/>
      <c r="AY976" s="70"/>
      <c r="AZ976" s="70"/>
      <c r="BA976" s="70"/>
      <c r="BB976" s="70"/>
    </row>
    <row r="977" ht="14.25" customHeight="1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  <c r="AA977" s="70"/>
      <c r="AB977" s="70"/>
      <c r="AC977" s="70"/>
      <c r="AD977" s="70"/>
      <c r="AE977" s="70"/>
      <c r="AF977" s="70"/>
      <c r="AG977" s="70"/>
      <c r="AH977" s="70"/>
      <c r="AI977" s="70"/>
      <c r="AJ977" s="70"/>
      <c r="AK977" s="70"/>
      <c r="AL977" s="70"/>
      <c r="AM977" s="70"/>
      <c r="AN977" s="70"/>
      <c r="AO977" s="70"/>
      <c r="AP977" s="70"/>
      <c r="AQ977" s="70"/>
      <c r="AR977" s="70"/>
      <c r="AS977" s="70"/>
      <c r="AT977" s="70"/>
      <c r="AU977" s="70"/>
      <c r="AV977" s="70"/>
      <c r="AW977" s="70"/>
      <c r="AX977" s="70"/>
      <c r="AY977" s="70"/>
      <c r="AZ977" s="70"/>
      <c r="BA977" s="70"/>
      <c r="BB977" s="70"/>
    </row>
    <row r="978" ht="14.25" customHeight="1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  <c r="AA978" s="70"/>
      <c r="AB978" s="70"/>
      <c r="AC978" s="70"/>
      <c r="AD978" s="70"/>
      <c r="AE978" s="70"/>
      <c r="AF978" s="70"/>
      <c r="AG978" s="70"/>
      <c r="AH978" s="70"/>
      <c r="AI978" s="70"/>
      <c r="AJ978" s="70"/>
      <c r="AK978" s="70"/>
      <c r="AL978" s="70"/>
      <c r="AM978" s="70"/>
      <c r="AN978" s="70"/>
      <c r="AO978" s="70"/>
      <c r="AP978" s="70"/>
      <c r="AQ978" s="70"/>
      <c r="AR978" s="70"/>
      <c r="AS978" s="70"/>
      <c r="AT978" s="70"/>
      <c r="AU978" s="70"/>
      <c r="AV978" s="70"/>
      <c r="AW978" s="70"/>
      <c r="AX978" s="70"/>
      <c r="AY978" s="70"/>
      <c r="AZ978" s="70"/>
      <c r="BA978" s="70"/>
      <c r="BB978" s="70"/>
    </row>
    <row r="979" ht="14.25" customHeight="1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  <c r="AA979" s="70"/>
      <c r="AB979" s="70"/>
      <c r="AC979" s="70"/>
      <c r="AD979" s="70"/>
      <c r="AE979" s="70"/>
      <c r="AF979" s="70"/>
      <c r="AG979" s="70"/>
      <c r="AH979" s="70"/>
      <c r="AI979" s="70"/>
      <c r="AJ979" s="70"/>
      <c r="AK979" s="70"/>
      <c r="AL979" s="70"/>
      <c r="AM979" s="70"/>
      <c r="AN979" s="70"/>
      <c r="AO979" s="70"/>
      <c r="AP979" s="70"/>
      <c r="AQ979" s="70"/>
      <c r="AR979" s="70"/>
      <c r="AS979" s="70"/>
      <c r="AT979" s="70"/>
      <c r="AU979" s="70"/>
      <c r="AV979" s="70"/>
      <c r="AW979" s="70"/>
      <c r="AX979" s="70"/>
      <c r="AY979" s="70"/>
      <c r="AZ979" s="70"/>
      <c r="BA979" s="70"/>
      <c r="BB979" s="70"/>
    </row>
    <row r="980" ht="14.25" customHeight="1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  <c r="AA980" s="70"/>
      <c r="AB980" s="70"/>
      <c r="AC980" s="70"/>
      <c r="AD980" s="70"/>
      <c r="AE980" s="70"/>
      <c r="AF980" s="70"/>
      <c r="AG980" s="70"/>
      <c r="AH980" s="70"/>
      <c r="AI980" s="70"/>
      <c r="AJ980" s="70"/>
      <c r="AK980" s="70"/>
      <c r="AL980" s="70"/>
      <c r="AM980" s="70"/>
      <c r="AN980" s="70"/>
      <c r="AO980" s="70"/>
      <c r="AP980" s="70"/>
      <c r="AQ980" s="70"/>
      <c r="AR980" s="70"/>
      <c r="AS980" s="70"/>
      <c r="AT980" s="70"/>
      <c r="AU980" s="70"/>
      <c r="AV980" s="70"/>
      <c r="AW980" s="70"/>
      <c r="AX980" s="70"/>
      <c r="AY980" s="70"/>
      <c r="AZ980" s="70"/>
      <c r="BA980" s="70"/>
      <c r="BB980" s="70"/>
    </row>
    <row r="981" ht="14.25" customHeight="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  <c r="AA981" s="70"/>
      <c r="AB981" s="70"/>
      <c r="AC981" s="70"/>
      <c r="AD981" s="70"/>
      <c r="AE981" s="70"/>
      <c r="AF981" s="70"/>
      <c r="AG981" s="70"/>
      <c r="AH981" s="70"/>
      <c r="AI981" s="70"/>
      <c r="AJ981" s="70"/>
      <c r="AK981" s="70"/>
      <c r="AL981" s="70"/>
      <c r="AM981" s="70"/>
      <c r="AN981" s="70"/>
      <c r="AO981" s="70"/>
      <c r="AP981" s="70"/>
      <c r="AQ981" s="70"/>
      <c r="AR981" s="70"/>
      <c r="AS981" s="70"/>
      <c r="AT981" s="70"/>
      <c r="AU981" s="70"/>
      <c r="AV981" s="70"/>
      <c r="AW981" s="70"/>
      <c r="AX981" s="70"/>
      <c r="AY981" s="70"/>
      <c r="AZ981" s="70"/>
      <c r="BA981" s="70"/>
      <c r="BB981" s="70"/>
    </row>
    <row r="982" ht="14.25" customHeight="1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  <c r="AA982" s="70"/>
      <c r="AB982" s="70"/>
      <c r="AC982" s="70"/>
      <c r="AD982" s="70"/>
      <c r="AE982" s="70"/>
      <c r="AF982" s="70"/>
      <c r="AG982" s="70"/>
      <c r="AH982" s="70"/>
      <c r="AI982" s="70"/>
      <c r="AJ982" s="70"/>
      <c r="AK982" s="70"/>
      <c r="AL982" s="70"/>
      <c r="AM982" s="70"/>
      <c r="AN982" s="70"/>
      <c r="AO982" s="70"/>
      <c r="AP982" s="70"/>
      <c r="AQ982" s="70"/>
      <c r="AR982" s="70"/>
      <c r="AS982" s="70"/>
      <c r="AT982" s="70"/>
      <c r="AU982" s="70"/>
      <c r="AV982" s="70"/>
      <c r="AW982" s="70"/>
      <c r="AX982" s="70"/>
      <c r="AY982" s="70"/>
      <c r="AZ982" s="70"/>
      <c r="BA982" s="70"/>
      <c r="BB982" s="70"/>
    </row>
    <row r="983" ht="14.25" customHeight="1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  <c r="AA983" s="70"/>
      <c r="AB983" s="70"/>
      <c r="AC983" s="70"/>
      <c r="AD983" s="70"/>
      <c r="AE983" s="70"/>
      <c r="AF983" s="70"/>
      <c r="AG983" s="70"/>
      <c r="AH983" s="70"/>
      <c r="AI983" s="70"/>
      <c r="AJ983" s="70"/>
      <c r="AK983" s="70"/>
      <c r="AL983" s="70"/>
      <c r="AM983" s="70"/>
      <c r="AN983" s="70"/>
      <c r="AO983" s="70"/>
      <c r="AP983" s="70"/>
      <c r="AQ983" s="70"/>
      <c r="AR983" s="70"/>
      <c r="AS983" s="70"/>
      <c r="AT983" s="70"/>
      <c r="AU983" s="70"/>
      <c r="AV983" s="70"/>
      <c r="AW983" s="70"/>
      <c r="AX983" s="70"/>
      <c r="AY983" s="70"/>
      <c r="AZ983" s="70"/>
      <c r="BA983" s="70"/>
      <c r="BB983" s="70"/>
    </row>
    <row r="984" ht="14.25" customHeight="1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  <c r="AA984" s="70"/>
      <c r="AB984" s="70"/>
      <c r="AC984" s="70"/>
      <c r="AD984" s="70"/>
      <c r="AE984" s="70"/>
      <c r="AF984" s="70"/>
      <c r="AG984" s="70"/>
      <c r="AH984" s="70"/>
      <c r="AI984" s="70"/>
      <c r="AJ984" s="70"/>
      <c r="AK984" s="70"/>
      <c r="AL984" s="70"/>
      <c r="AM984" s="70"/>
      <c r="AN984" s="70"/>
      <c r="AO984" s="70"/>
      <c r="AP984" s="70"/>
      <c r="AQ984" s="70"/>
      <c r="AR984" s="70"/>
      <c r="AS984" s="70"/>
      <c r="AT984" s="70"/>
      <c r="AU984" s="70"/>
      <c r="AV984" s="70"/>
      <c r="AW984" s="70"/>
      <c r="AX984" s="70"/>
      <c r="AY984" s="70"/>
      <c r="AZ984" s="70"/>
      <c r="BA984" s="70"/>
      <c r="BB984" s="70"/>
    </row>
    <row r="985" ht="14.25" customHeight="1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  <c r="AA985" s="70"/>
      <c r="AB985" s="70"/>
      <c r="AC985" s="70"/>
      <c r="AD985" s="70"/>
      <c r="AE985" s="70"/>
      <c r="AF985" s="70"/>
      <c r="AG985" s="70"/>
      <c r="AH985" s="70"/>
      <c r="AI985" s="70"/>
      <c r="AJ985" s="70"/>
      <c r="AK985" s="70"/>
      <c r="AL985" s="70"/>
      <c r="AM985" s="70"/>
      <c r="AN985" s="70"/>
      <c r="AO985" s="70"/>
      <c r="AP985" s="70"/>
      <c r="AQ985" s="70"/>
      <c r="AR985" s="70"/>
      <c r="AS985" s="70"/>
      <c r="AT985" s="70"/>
      <c r="AU985" s="70"/>
      <c r="AV985" s="70"/>
      <c r="AW985" s="70"/>
      <c r="AX985" s="70"/>
      <c r="AY985" s="70"/>
      <c r="AZ985" s="70"/>
      <c r="BA985" s="70"/>
      <c r="BB985" s="70"/>
    </row>
    <row r="986" ht="14.25" customHeight="1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  <c r="AA986" s="70"/>
      <c r="AB986" s="70"/>
      <c r="AC986" s="70"/>
      <c r="AD986" s="70"/>
      <c r="AE986" s="70"/>
      <c r="AF986" s="70"/>
      <c r="AG986" s="70"/>
      <c r="AH986" s="70"/>
      <c r="AI986" s="70"/>
      <c r="AJ986" s="70"/>
      <c r="AK986" s="70"/>
      <c r="AL986" s="70"/>
      <c r="AM986" s="70"/>
      <c r="AN986" s="70"/>
      <c r="AO986" s="70"/>
      <c r="AP986" s="70"/>
      <c r="AQ986" s="70"/>
      <c r="AR986" s="70"/>
      <c r="AS986" s="70"/>
      <c r="AT986" s="70"/>
      <c r="AU986" s="70"/>
      <c r="AV986" s="70"/>
      <c r="AW986" s="70"/>
      <c r="AX986" s="70"/>
      <c r="AY986" s="70"/>
      <c r="AZ986" s="70"/>
      <c r="BA986" s="70"/>
      <c r="BB986" s="70"/>
    </row>
    <row r="987" ht="14.25" customHeight="1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  <c r="AA987" s="70"/>
      <c r="AB987" s="70"/>
      <c r="AC987" s="70"/>
      <c r="AD987" s="70"/>
      <c r="AE987" s="70"/>
      <c r="AF987" s="70"/>
      <c r="AG987" s="70"/>
      <c r="AH987" s="70"/>
      <c r="AI987" s="70"/>
      <c r="AJ987" s="70"/>
      <c r="AK987" s="70"/>
      <c r="AL987" s="70"/>
      <c r="AM987" s="70"/>
      <c r="AN987" s="70"/>
      <c r="AO987" s="70"/>
      <c r="AP987" s="70"/>
      <c r="AQ987" s="70"/>
      <c r="AR987" s="70"/>
      <c r="AS987" s="70"/>
      <c r="AT987" s="70"/>
      <c r="AU987" s="70"/>
      <c r="AV987" s="70"/>
      <c r="AW987" s="70"/>
      <c r="AX987" s="70"/>
      <c r="AY987" s="70"/>
      <c r="AZ987" s="70"/>
      <c r="BA987" s="70"/>
      <c r="BB987" s="70"/>
    </row>
    <row r="988" ht="14.25" customHeight="1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  <c r="AA988" s="70"/>
      <c r="AB988" s="70"/>
      <c r="AC988" s="70"/>
      <c r="AD988" s="70"/>
      <c r="AE988" s="70"/>
      <c r="AF988" s="70"/>
      <c r="AG988" s="70"/>
      <c r="AH988" s="70"/>
      <c r="AI988" s="70"/>
      <c r="AJ988" s="70"/>
      <c r="AK988" s="70"/>
      <c r="AL988" s="70"/>
      <c r="AM988" s="70"/>
      <c r="AN988" s="70"/>
      <c r="AO988" s="70"/>
      <c r="AP988" s="70"/>
      <c r="AQ988" s="70"/>
      <c r="AR988" s="70"/>
      <c r="AS988" s="70"/>
      <c r="AT988" s="70"/>
      <c r="AU988" s="70"/>
      <c r="AV988" s="70"/>
      <c r="AW988" s="70"/>
      <c r="AX988" s="70"/>
      <c r="AY988" s="70"/>
      <c r="AZ988" s="70"/>
      <c r="BA988" s="70"/>
      <c r="BB988" s="70"/>
    </row>
    <row r="989" ht="14.25" customHeight="1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  <c r="AA989" s="70"/>
      <c r="AB989" s="70"/>
      <c r="AC989" s="70"/>
      <c r="AD989" s="70"/>
      <c r="AE989" s="70"/>
      <c r="AF989" s="70"/>
      <c r="AG989" s="70"/>
      <c r="AH989" s="70"/>
      <c r="AI989" s="70"/>
      <c r="AJ989" s="70"/>
      <c r="AK989" s="70"/>
      <c r="AL989" s="70"/>
      <c r="AM989" s="70"/>
      <c r="AN989" s="70"/>
      <c r="AO989" s="70"/>
      <c r="AP989" s="70"/>
      <c r="AQ989" s="70"/>
      <c r="AR989" s="70"/>
      <c r="AS989" s="70"/>
      <c r="AT989" s="70"/>
      <c r="AU989" s="70"/>
      <c r="AV989" s="70"/>
      <c r="AW989" s="70"/>
      <c r="AX989" s="70"/>
      <c r="AY989" s="70"/>
      <c r="AZ989" s="70"/>
      <c r="BA989" s="70"/>
      <c r="BB989" s="70"/>
    </row>
    <row r="990" ht="14.25" customHeight="1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  <c r="AA990" s="70"/>
      <c r="AB990" s="70"/>
      <c r="AC990" s="70"/>
      <c r="AD990" s="70"/>
      <c r="AE990" s="70"/>
      <c r="AF990" s="70"/>
      <c r="AG990" s="70"/>
      <c r="AH990" s="70"/>
      <c r="AI990" s="70"/>
      <c r="AJ990" s="70"/>
      <c r="AK990" s="70"/>
      <c r="AL990" s="70"/>
      <c r="AM990" s="70"/>
      <c r="AN990" s="70"/>
      <c r="AO990" s="70"/>
      <c r="AP990" s="70"/>
      <c r="AQ990" s="70"/>
      <c r="AR990" s="70"/>
      <c r="AS990" s="70"/>
      <c r="AT990" s="70"/>
      <c r="AU990" s="70"/>
      <c r="AV990" s="70"/>
      <c r="AW990" s="70"/>
      <c r="AX990" s="70"/>
      <c r="AY990" s="70"/>
      <c r="AZ990" s="70"/>
      <c r="BA990" s="70"/>
      <c r="BB990" s="70"/>
    </row>
    <row r="991" ht="14.25" customHeight="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  <c r="AA991" s="70"/>
      <c r="AB991" s="70"/>
      <c r="AC991" s="70"/>
      <c r="AD991" s="70"/>
      <c r="AE991" s="70"/>
      <c r="AF991" s="70"/>
      <c r="AG991" s="70"/>
      <c r="AH991" s="70"/>
      <c r="AI991" s="70"/>
      <c r="AJ991" s="70"/>
      <c r="AK991" s="70"/>
      <c r="AL991" s="70"/>
      <c r="AM991" s="70"/>
      <c r="AN991" s="70"/>
      <c r="AO991" s="70"/>
      <c r="AP991" s="70"/>
      <c r="AQ991" s="70"/>
      <c r="AR991" s="70"/>
      <c r="AS991" s="70"/>
      <c r="AT991" s="70"/>
      <c r="AU991" s="70"/>
      <c r="AV991" s="70"/>
      <c r="AW991" s="70"/>
      <c r="AX991" s="70"/>
      <c r="AY991" s="70"/>
      <c r="AZ991" s="70"/>
      <c r="BA991" s="70"/>
      <c r="BB991" s="70"/>
    </row>
    <row r="992" ht="14.25" customHeight="1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  <c r="AA992" s="70"/>
      <c r="AB992" s="70"/>
      <c r="AC992" s="70"/>
      <c r="AD992" s="70"/>
      <c r="AE992" s="70"/>
      <c r="AF992" s="70"/>
      <c r="AG992" s="70"/>
      <c r="AH992" s="70"/>
      <c r="AI992" s="70"/>
      <c r="AJ992" s="70"/>
      <c r="AK992" s="70"/>
      <c r="AL992" s="70"/>
      <c r="AM992" s="70"/>
      <c r="AN992" s="70"/>
      <c r="AO992" s="70"/>
      <c r="AP992" s="70"/>
      <c r="AQ992" s="70"/>
      <c r="AR992" s="70"/>
      <c r="AS992" s="70"/>
      <c r="AT992" s="70"/>
      <c r="AU992" s="70"/>
      <c r="AV992" s="70"/>
      <c r="AW992" s="70"/>
      <c r="AX992" s="70"/>
      <c r="AY992" s="70"/>
      <c r="AZ992" s="70"/>
      <c r="BA992" s="70"/>
      <c r="BB992" s="70"/>
    </row>
    <row r="993" ht="14.25" customHeight="1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  <c r="AA993" s="70"/>
      <c r="AB993" s="70"/>
      <c r="AC993" s="70"/>
      <c r="AD993" s="70"/>
      <c r="AE993" s="70"/>
      <c r="AF993" s="70"/>
      <c r="AG993" s="70"/>
      <c r="AH993" s="70"/>
      <c r="AI993" s="70"/>
      <c r="AJ993" s="70"/>
      <c r="AK993" s="70"/>
      <c r="AL993" s="70"/>
      <c r="AM993" s="70"/>
      <c r="AN993" s="70"/>
      <c r="AO993" s="70"/>
      <c r="AP993" s="70"/>
      <c r="AQ993" s="70"/>
      <c r="AR993" s="70"/>
      <c r="AS993" s="70"/>
      <c r="AT993" s="70"/>
      <c r="AU993" s="70"/>
      <c r="AV993" s="70"/>
      <c r="AW993" s="70"/>
      <c r="AX993" s="70"/>
      <c r="AY993" s="70"/>
      <c r="AZ993" s="70"/>
      <c r="BA993" s="70"/>
      <c r="BB993" s="70"/>
    </row>
    <row r="994" ht="14.25" customHeight="1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  <c r="AA994" s="70"/>
      <c r="AB994" s="70"/>
      <c r="AC994" s="70"/>
      <c r="AD994" s="70"/>
      <c r="AE994" s="70"/>
      <c r="AF994" s="70"/>
      <c r="AG994" s="70"/>
      <c r="AH994" s="70"/>
      <c r="AI994" s="70"/>
      <c r="AJ994" s="70"/>
      <c r="AK994" s="70"/>
      <c r="AL994" s="70"/>
      <c r="AM994" s="70"/>
      <c r="AN994" s="70"/>
      <c r="AO994" s="70"/>
      <c r="AP994" s="70"/>
      <c r="AQ994" s="70"/>
      <c r="AR994" s="70"/>
      <c r="AS994" s="70"/>
      <c r="AT994" s="70"/>
      <c r="AU994" s="70"/>
      <c r="AV994" s="70"/>
      <c r="AW994" s="70"/>
      <c r="AX994" s="70"/>
      <c r="AY994" s="70"/>
      <c r="AZ994" s="70"/>
      <c r="BA994" s="70"/>
      <c r="BB994" s="70"/>
    </row>
    <row r="995" ht="14.25" customHeight="1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  <c r="AA995" s="70"/>
      <c r="AB995" s="70"/>
      <c r="AC995" s="70"/>
      <c r="AD995" s="70"/>
      <c r="AE995" s="70"/>
      <c r="AF995" s="70"/>
      <c r="AG995" s="70"/>
      <c r="AH995" s="70"/>
      <c r="AI995" s="70"/>
      <c r="AJ995" s="70"/>
      <c r="AK995" s="70"/>
      <c r="AL995" s="70"/>
      <c r="AM995" s="70"/>
      <c r="AN995" s="70"/>
      <c r="AO995" s="70"/>
      <c r="AP995" s="70"/>
      <c r="AQ995" s="70"/>
      <c r="AR995" s="70"/>
      <c r="AS995" s="70"/>
      <c r="AT995" s="70"/>
      <c r="AU995" s="70"/>
      <c r="AV995" s="70"/>
      <c r="AW995" s="70"/>
      <c r="AX995" s="70"/>
      <c r="AY995" s="70"/>
      <c r="AZ995" s="70"/>
      <c r="BA995" s="70"/>
      <c r="BB995" s="70"/>
    </row>
    <row r="996" ht="14.25" customHeight="1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  <c r="AA996" s="70"/>
      <c r="AB996" s="70"/>
      <c r="AC996" s="70"/>
      <c r="AD996" s="70"/>
      <c r="AE996" s="70"/>
      <c r="AF996" s="70"/>
      <c r="AG996" s="70"/>
      <c r="AH996" s="70"/>
      <c r="AI996" s="70"/>
      <c r="AJ996" s="70"/>
      <c r="AK996" s="70"/>
      <c r="AL996" s="70"/>
      <c r="AM996" s="70"/>
      <c r="AN996" s="70"/>
      <c r="AO996" s="70"/>
      <c r="AP996" s="70"/>
      <c r="AQ996" s="70"/>
      <c r="AR996" s="70"/>
      <c r="AS996" s="70"/>
      <c r="AT996" s="70"/>
      <c r="AU996" s="70"/>
      <c r="AV996" s="70"/>
      <c r="AW996" s="70"/>
      <c r="AX996" s="70"/>
      <c r="AY996" s="70"/>
      <c r="AZ996" s="70"/>
      <c r="BA996" s="70"/>
      <c r="BB996" s="70"/>
    </row>
    <row r="997" ht="14.25" customHeight="1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  <c r="AA997" s="70"/>
      <c r="AB997" s="70"/>
      <c r="AC997" s="70"/>
      <c r="AD997" s="70"/>
      <c r="AE997" s="70"/>
      <c r="AF997" s="70"/>
      <c r="AG997" s="70"/>
      <c r="AH997" s="70"/>
      <c r="AI997" s="70"/>
      <c r="AJ997" s="70"/>
      <c r="AK997" s="70"/>
      <c r="AL997" s="70"/>
      <c r="AM997" s="70"/>
      <c r="AN997" s="70"/>
      <c r="AO997" s="70"/>
      <c r="AP997" s="70"/>
      <c r="AQ997" s="70"/>
      <c r="AR997" s="70"/>
      <c r="AS997" s="70"/>
      <c r="AT997" s="70"/>
      <c r="AU997" s="70"/>
      <c r="AV997" s="70"/>
      <c r="AW997" s="70"/>
      <c r="AX997" s="70"/>
      <c r="AY997" s="70"/>
      <c r="AZ997" s="70"/>
      <c r="BA997" s="70"/>
      <c r="BB997" s="70"/>
    </row>
    <row r="998" ht="14.25" customHeight="1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  <c r="AA998" s="70"/>
      <c r="AB998" s="70"/>
      <c r="AC998" s="70"/>
      <c r="AD998" s="70"/>
      <c r="AE998" s="70"/>
      <c r="AF998" s="70"/>
      <c r="AG998" s="70"/>
      <c r="AH998" s="70"/>
      <c r="AI998" s="70"/>
      <c r="AJ998" s="70"/>
      <c r="AK998" s="70"/>
      <c r="AL998" s="70"/>
      <c r="AM998" s="70"/>
      <c r="AN998" s="70"/>
      <c r="AO998" s="70"/>
      <c r="AP998" s="70"/>
      <c r="AQ998" s="70"/>
      <c r="AR998" s="70"/>
      <c r="AS998" s="70"/>
      <c r="AT998" s="70"/>
      <c r="AU998" s="70"/>
      <c r="AV998" s="70"/>
      <c r="AW998" s="70"/>
      <c r="AX998" s="70"/>
      <c r="AY998" s="70"/>
      <c r="AZ998" s="70"/>
      <c r="BA998" s="70"/>
      <c r="BB998" s="70"/>
    </row>
    <row r="999" ht="14.25" customHeight="1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  <c r="AA999" s="70"/>
      <c r="AB999" s="70"/>
      <c r="AC999" s="70"/>
      <c r="AD999" s="70"/>
      <c r="AE999" s="70"/>
      <c r="AF999" s="70"/>
      <c r="AG999" s="70"/>
      <c r="AH999" s="70"/>
      <c r="AI999" s="70"/>
      <c r="AJ999" s="70"/>
      <c r="AK999" s="70"/>
      <c r="AL999" s="70"/>
      <c r="AM999" s="70"/>
      <c r="AN999" s="70"/>
      <c r="AO999" s="70"/>
      <c r="AP999" s="70"/>
      <c r="AQ999" s="70"/>
      <c r="AR999" s="70"/>
      <c r="AS999" s="70"/>
      <c r="AT999" s="70"/>
      <c r="AU999" s="70"/>
      <c r="AV999" s="70"/>
      <c r="AW999" s="70"/>
      <c r="AX999" s="70"/>
      <c r="AY999" s="70"/>
      <c r="AZ999" s="70"/>
      <c r="BA999" s="70"/>
      <c r="BB999" s="70"/>
    </row>
    <row r="1000" ht="14.25" customHeight="1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  <c r="AA1000" s="70"/>
      <c r="AB1000" s="70"/>
      <c r="AC1000" s="70"/>
      <c r="AD1000" s="70"/>
      <c r="AE1000" s="70"/>
      <c r="AF1000" s="70"/>
      <c r="AG1000" s="70"/>
      <c r="AH1000" s="70"/>
      <c r="AI1000" s="70"/>
      <c r="AJ1000" s="70"/>
      <c r="AK1000" s="70"/>
      <c r="AL1000" s="70"/>
      <c r="AM1000" s="70"/>
      <c r="AN1000" s="70"/>
      <c r="AO1000" s="70"/>
      <c r="AP1000" s="70"/>
      <c r="AQ1000" s="70"/>
      <c r="AR1000" s="70"/>
      <c r="AS1000" s="70"/>
      <c r="AT1000" s="70"/>
      <c r="AU1000" s="70"/>
      <c r="AV1000" s="70"/>
      <c r="AW1000" s="70"/>
      <c r="AX1000" s="70"/>
      <c r="AY1000" s="70"/>
      <c r="AZ1000" s="70"/>
      <c r="BA1000" s="70"/>
      <c r="BB1000" s="70"/>
    </row>
  </sheetData>
  <mergeCells count="99">
    <mergeCell ref="A1:J5"/>
    <mergeCell ref="K1:AG1"/>
    <mergeCell ref="AH1:AN5"/>
    <mergeCell ref="K2:AG5"/>
    <mergeCell ref="A6:F6"/>
    <mergeCell ref="G6:AN6"/>
    <mergeCell ref="A7:I7"/>
    <mergeCell ref="J7:Q7"/>
    <mergeCell ref="AA8:AD8"/>
    <mergeCell ref="AE8:AI8"/>
    <mergeCell ref="AA9:AN10"/>
    <mergeCell ref="AD11:AN11"/>
    <mergeCell ref="AU7:AW7"/>
    <mergeCell ref="AU8:AW8"/>
    <mergeCell ref="AX8:AZ8"/>
    <mergeCell ref="BA8:BB8"/>
    <mergeCell ref="R7:W7"/>
    <mergeCell ref="X7:AN7"/>
    <mergeCell ref="AP7:AT8"/>
    <mergeCell ref="AX7:AZ7"/>
    <mergeCell ref="BA7:BB7"/>
    <mergeCell ref="A8:G8"/>
    <mergeCell ref="AJ8:AN8"/>
    <mergeCell ref="H8:W8"/>
    <mergeCell ref="X8:Z8"/>
    <mergeCell ref="A9:G10"/>
    <mergeCell ref="H9:W10"/>
    <mergeCell ref="X9:Z10"/>
    <mergeCell ref="H11:W11"/>
    <mergeCell ref="X11:AC11"/>
    <mergeCell ref="AA18:AE18"/>
    <mergeCell ref="AF18:AI18"/>
    <mergeCell ref="A37:AN37"/>
    <mergeCell ref="A38:AN38"/>
    <mergeCell ref="A39:AN39"/>
    <mergeCell ref="A40:AN40"/>
    <mergeCell ref="A41:AN41"/>
    <mergeCell ref="A42:AN42"/>
    <mergeCell ref="A43:AN43"/>
    <mergeCell ref="O50:Z50"/>
    <mergeCell ref="O51:Z51"/>
    <mergeCell ref="AA51:AL51"/>
    <mergeCell ref="O52:Z52"/>
    <mergeCell ref="AA52:AL52"/>
    <mergeCell ref="A44:AN44"/>
    <mergeCell ref="A45:AN45"/>
    <mergeCell ref="O47:Z47"/>
    <mergeCell ref="AA47:AL47"/>
    <mergeCell ref="O48:Z49"/>
    <mergeCell ref="AA48:AL49"/>
    <mergeCell ref="AA50:AL50"/>
    <mergeCell ref="A11:G11"/>
    <mergeCell ref="A12:G12"/>
    <mergeCell ref="A14:H16"/>
    <mergeCell ref="A17:H18"/>
    <mergeCell ref="I17:K17"/>
    <mergeCell ref="I18:K18"/>
    <mergeCell ref="H12:W12"/>
    <mergeCell ref="X12:AC12"/>
    <mergeCell ref="AD12:AN12"/>
    <mergeCell ref="A13:AN13"/>
    <mergeCell ref="I14:AN16"/>
    <mergeCell ref="L17:AN17"/>
    <mergeCell ref="AJ18:AN18"/>
    <mergeCell ref="L18:Y18"/>
    <mergeCell ref="A19:AN19"/>
    <mergeCell ref="A20:AN20"/>
    <mergeCell ref="A21:AJ21"/>
    <mergeCell ref="AK21:AN21"/>
    <mergeCell ref="B22:AJ22"/>
    <mergeCell ref="AK22:AN22"/>
    <mergeCell ref="B23:AJ23"/>
    <mergeCell ref="AK23:AN23"/>
    <mergeCell ref="B24:AJ24"/>
    <mergeCell ref="AK24:AN24"/>
    <mergeCell ref="B25:AJ25"/>
    <mergeCell ref="AK25:AN25"/>
    <mergeCell ref="AK26:AN26"/>
    <mergeCell ref="B26:AJ26"/>
    <mergeCell ref="B27:AJ27"/>
    <mergeCell ref="AK27:AN27"/>
    <mergeCell ref="B28:AJ28"/>
    <mergeCell ref="AK28:AN28"/>
    <mergeCell ref="B29:AJ29"/>
    <mergeCell ref="AK29:AN29"/>
    <mergeCell ref="B30:AJ30"/>
    <mergeCell ref="AK30:AN30"/>
    <mergeCell ref="B31:AJ31"/>
    <mergeCell ref="AK31:AN31"/>
    <mergeCell ref="B32:AJ32"/>
    <mergeCell ref="AK32:AN32"/>
    <mergeCell ref="AK33:AN33"/>
    <mergeCell ref="B33:AJ33"/>
    <mergeCell ref="B34:AJ34"/>
    <mergeCell ref="AK34:AN34"/>
    <mergeCell ref="B35:AJ35"/>
    <mergeCell ref="AK35:AN35"/>
    <mergeCell ref="B36:AJ36"/>
    <mergeCell ref="AK36:AN3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6.14"/>
    <col customWidth="1" min="3" max="7" width="10.71"/>
    <col customWidth="1" min="8" max="8" width="16.57"/>
    <col customWidth="1" min="9" max="9" width="14.71"/>
    <col customWidth="1" min="10" max="10" width="18.14"/>
    <col customWidth="1" min="11" max="12" width="10.71"/>
    <col customWidth="1" min="13" max="13" width="16.57"/>
    <col customWidth="1" min="14" max="15" width="17.0"/>
    <col customWidth="1" min="16" max="26" width="10.71"/>
  </cols>
  <sheetData>
    <row r="1" ht="75.75" customHeight="1">
      <c r="A1" s="165"/>
      <c r="B1" s="6"/>
      <c r="C1" s="6"/>
      <c r="D1" s="6"/>
      <c r="E1" s="6"/>
      <c r="F1" s="6"/>
      <c r="G1" s="6"/>
      <c r="H1" s="6"/>
      <c r="I1" s="6"/>
      <c r="J1" s="7"/>
      <c r="K1" s="166" t="s">
        <v>149</v>
      </c>
      <c r="L1" s="6"/>
      <c r="M1" s="6"/>
      <c r="N1" s="6"/>
      <c r="O1" s="6"/>
      <c r="P1" s="6"/>
      <c r="Q1" s="7"/>
    </row>
    <row r="2" ht="16.5" customHeight="1">
      <c r="A2" s="167" t="s">
        <v>150</v>
      </c>
      <c r="B2" s="6"/>
      <c r="C2" s="6"/>
      <c r="D2" s="7"/>
      <c r="E2" s="168"/>
      <c r="F2" s="6"/>
      <c r="G2" s="7"/>
      <c r="H2" s="169"/>
      <c r="I2" s="167" t="s">
        <v>151</v>
      </c>
      <c r="J2" s="7"/>
      <c r="K2" s="170"/>
      <c r="L2" s="7"/>
      <c r="M2" s="171"/>
      <c r="N2" s="167" t="s">
        <v>152</v>
      </c>
      <c r="O2" s="7"/>
      <c r="P2" s="172" t="s">
        <v>153</v>
      </c>
      <c r="Q2" s="7"/>
    </row>
    <row r="3" ht="16.5" customHeight="1">
      <c r="A3" s="167" t="s">
        <v>154</v>
      </c>
      <c r="B3" s="6"/>
      <c r="C3" s="6"/>
      <c r="D3" s="7"/>
      <c r="E3" s="168"/>
      <c r="F3" s="6"/>
      <c r="G3" s="7"/>
      <c r="H3" s="169"/>
      <c r="I3" s="167" t="s">
        <v>155</v>
      </c>
      <c r="J3" s="7"/>
      <c r="K3" s="170"/>
      <c r="L3" s="7"/>
      <c r="M3" s="171"/>
      <c r="N3" s="167" t="s">
        <v>156</v>
      </c>
      <c r="O3" s="7"/>
      <c r="P3" s="173"/>
      <c r="Q3" s="7"/>
    </row>
    <row r="4" ht="16.5" customHeight="1">
      <c r="A4" s="167" t="s">
        <v>157</v>
      </c>
      <c r="B4" s="6"/>
      <c r="C4" s="6"/>
      <c r="D4" s="6"/>
      <c r="E4" s="6"/>
      <c r="F4" s="6"/>
      <c r="G4" s="6"/>
      <c r="H4" s="7"/>
      <c r="I4" s="167" t="s">
        <v>158</v>
      </c>
      <c r="J4" s="7"/>
      <c r="K4" s="174"/>
      <c r="L4" s="7"/>
      <c r="M4" s="175"/>
      <c r="N4" s="167" t="s">
        <v>159</v>
      </c>
      <c r="O4" s="7"/>
      <c r="P4" s="176"/>
      <c r="Q4" s="7"/>
    </row>
    <row r="5" ht="16.5" customHeight="1">
      <c r="A5" s="177" t="s">
        <v>160</v>
      </c>
      <c r="B5" s="178" t="s">
        <v>161</v>
      </c>
      <c r="C5" s="179"/>
      <c r="D5" s="167" t="s">
        <v>162</v>
      </c>
      <c r="E5" s="6"/>
      <c r="F5" s="7"/>
      <c r="G5" s="179"/>
      <c r="H5" s="167" t="s">
        <v>163</v>
      </c>
      <c r="I5" s="6"/>
      <c r="J5" s="7"/>
      <c r="K5" s="178"/>
      <c r="L5" s="167" t="s">
        <v>164</v>
      </c>
      <c r="M5" s="6"/>
      <c r="N5" s="7"/>
      <c r="O5" s="180" t="s">
        <v>165</v>
      </c>
      <c r="P5" s="180" t="s">
        <v>166</v>
      </c>
      <c r="Q5" s="180" t="s">
        <v>76</v>
      </c>
    </row>
    <row r="6" ht="16.5" customHeight="1">
      <c r="A6" s="181"/>
      <c r="B6" s="178" t="s">
        <v>167</v>
      </c>
      <c r="C6" s="182"/>
      <c r="D6" s="167" t="s">
        <v>168</v>
      </c>
      <c r="E6" s="6"/>
      <c r="F6" s="7"/>
      <c r="G6" s="182"/>
      <c r="H6" s="167" t="s">
        <v>169</v>
      </c>
      <c r="I6" s="6"/>
      <c r="J6" s="7"/>
      <c r="K6" s="182"/>
      <c r="L6" s="167" t="s">
        <v>170</v>
      </c>
      <c r="M6" s="6"/>
      <c r="N6" s="7"/>
      <c r="O6" s="180" t="s">
        <v>165</v>
      </c>
      <c r="P6" s="180" t="s">
        <v>166</v>
      </c>
      <c r="Q6" s="180" t="s">
        <v>76</v>
      </c>
    </row>
    <row r="7" ht="15.0" customHeight="1">
      <c r="A7" s="183" t="s">
        <v>171</v>
      </c>
      <c r="B7" s="15"/>
      <c r="C7" s="184">
        <v>1.0</v>
      </c>
      <c r="D7" s="184">
        <v>3.0</v>
      </c>
      <c r="E7" s="184">
        <v>5.0</v>
      </c>
      <c r="F7" s="184">
        <v>7.0</v>
      </c>
      <c r="G7" s="184">
        <v>9.0</v>
      </c>
      <c r="H7" s="183" t="s">
        <v>172</v>
      </c>
      <c r="I7" s="14"/>
      <c r="J7" s="15"/>
      <c r="K7" s="184">
        <v>1.0</v>
      </c>
      <c r="L7" s="184">
        <v>3.0</v>
      </c>
      <c r="M7" s="184">
        <v>5.0</v>
      </c>
      <c r="N7" s="184">
        <v>7.0</v>
      </c>
      <c r="O7" s="184">
        <v>9.0</v>
      </c>
      <c r="P7" s="185"/>
      <c r="Q7" s="15"/>
    </row>
    <row r="8" ht="15.0" customHeight="1">
      <c r="A8" s="24"/>
      <c r="B8" s="26"/>
      <c r="C8" s="184">
        <v>2.0</v>
      </c>
      <c r="D8" s="184">
        <v>4.0</v>
      </c>
      <c r="E8" s="184">
        <v>6.0</v>
      </c>
      <c r="F8" s="184">
        <v>8.0</v>
      </c>
      <c r="G8" s="184">
        <v>10.0</v>
      </c>
      <c r="H8" s="24"/>
      <c r="I8" s="25"/>
      <c r="J8" s="26"/>
      <c r="K8" s="184">
        <v>2.0</v>
      </c>
      <c r="L8" s="184">
        <v>4.0</v>
      </c>
      <c r="M8" s="184">
        <v>6.0</v>
      </c>
      <c r="N8" s="184">
        <v>8.0</v>
      </c>
      <c r="O8" s="184">
        <v>10.0</v>
      </c>
      <c r="P8" s="24"/>
      <c r="Q8" s="26"/>
    </row>
    <row r="9" ht="16.5" customHeight="1">
      <c r="A9" s="186" t="s">
        <v>173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</row>
    <row r="10" ht="16.5" customHeight="1">
      <c r="A10" s="186" t="s">
        <v>174</v>
      </c>
      <c r="B10" s="7"/>
      <c r="C10" s="186" t="s">
        <v>175</v>
      </c>
      <c r="D10" s="6"/>
      <c r="E10" s="6"/>
      <c r="F10" s="6"/>
      <c r="G10" s="6"/>
      <c r="H10" s="6"/>
      <c r="I10" s="6"/>
      <c r="J10" s="6"/>
      <c r="K10" s="6"/>
      <c r="L10" s="7"/>
      <c r="M10" s="186" t="s">
        <v>176</v>
      </c>
      <c r="N10" s="6"/>
      <c r="O10" s="6"/>
      <c r="P10" s="6"/>
      <c r="Q10" s="7"/>
    </row>
    <row r="11" ht="69.0" customHeight="1">
      <c r="A11" s="187" t="s">
        <v>177</v>
      </c>
      <c r="B11" s="188" t="s">
        <v>16</v>
      </c>
      <c r="C11" s="189" t="s">
        <v>178</v>
      </c>
      <c r="D11" s="189" t="s">
        <v>179</v>
      </c>
      <c r="E11" s="190" t="s">
        <v>180</v>
      </c>
      <c r="F11" s="187" t="s">
        <v>181</v>
      </c>
      <c r="G11" s="187" t="s">
        <v>182</v>
      </c>
      <c r="H11" s="189" t="s">
        <v>178</v>
      </c>
      <c r="I11" s="189" t="s">
        <v>179</v>
      </c>
      <c r="J11" s="190" t="s">
        <v>180</v>
      </c>
      <c r="K11" s="187" t="s">
        <v>181</v>
      </c>
      <c r="L11" s="187" t="s">
        <v>182</v>
      </c>
      <c r="M11" s="189" t="s">
        <v>178</v>
      </c>
      <c r="N11" s="189" t="s">
        <v>179</v>
      </c>
      <c r="O11" s="190" t="s">
        <v>180</v>
      </c>
      <c r="P11" s="187" t="s">
        <v>181</v>
      </c>
      <c r="Q11" s="187" t="s">
        <v>182</v>
      </c>
    </row>
    <row r="12" ht="33.0" customHeight="1">
      <c r="A12" s="181"/>
      <c r="B12" s="181"/>
      <c r="C12" s="189" t="s">
        <v>183</v>
      </c>
      <c r="D12" s="189" t="s">
        <v>183</v>
      </c>
      <c r="E12" s="189" t="s">
        <v>183</v>
      </c>
      <c r="F12" s="181"/>
      <c r="G12" s="181"/>
      <c r="H12" s="189" t="s">
        <v>183</v>
      </c>
      <c r="I12" s="189" t="s">
        <v>183</v>
      </c>
      <c r="J12" s="189" t="s">
        <v>183</v>
      </c>
      <c r="K12" s="181"/>
      <c r="L12" s="181"/>
      <c r="M12" s="191" t="s">
        <v>183</v>
      </c>
      <c r="N12" s="191" t="s">
        <v>183</v>
      </c>
      <c r="O12" s="191" t="s">
        <v>183</v>
      </c>
      <c r="P12" s="181"/>
      <c r="Q12" s="181"/>
    </row>
    <row r="13" ht="15.75" customHeight="1">
      <c r="A13" s="192" t="s">
        <v>184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</row>
    <row r="14" ht="16.5" customHeight="1">
      <c r="A14" s="193"/>
      <c r="B14" s="193"/>
      <c r="C14" s="193"/>
      <c r="D14" s="193"/>
      <c r="E14" s="194"/>
      <c r="F14" s="194"/>
      <c r="G14" s="180"/>
      <c r="H14" s="180"/>
      <c r="I14" s="194"/>
      <c r="J14" s="194"/>
      <c r="K14" s="194"/>
      <c r="L14" s="180"/>
      <c r="M14" s="180"/>
      <c r="N14" s="194"/>
      <c r="O14" s="194"/>
      <c r="P14" s="194"/>
      <c r="Q14" s="180"/>
    </row>
    <row r="15" ht="16.5" customHeight="1">
      <c r="A15" s="193"/>
      <c r="B15" s="193"/>
      <c r="C15" s="193"/>
      <c r="D15" s="193"/>
      <c r="E15" s="194"/>
      <c r="F15" s="194"/>
      <c r="G15" s="180"/>
      <c r="H15" s="180"/>
      <c r="I15" s="194"/>
      <c r="J15" s="194"/>
      <c r="K15" s="194"/>
      <c r="L15" s="180"/>
      <c r="M15" s="180"/>
      <c r="N15" s="194"/>
      <c r="O15" s="194"/>
      <c r="P15" s="194"/>
      <c r="Q15" s="180"/>
    </row>
    <row r="16" ht="16.5" customHeight="1">
      <c r="A16" s="193"/>
      <c r="B16" s="193"/>
      <c r="C16" s="193"/>
      <c r="D16" s="193"/>
      <c r="E16" s="194"/>
      <c r="F16" s="194"/>
      <c r="G16" s="180"/>
      <c r="H16" s="180"/>
      <c r="I16" s="194"/>
      <c r="J16" s="194"/>
      <c r="K16" s="194"/>
      <c r="L16" s="180"/>
      <c r="M16" s="180"/>
      <c r="N16" s="194"/>
      <c r="O16" s="194"/>
      <c r="P16" s="194"/>
      <c r="Q16" s="180"/>
    </row>
    <row r="17" ht="16.5" customHeight="1">
      <c r="A17" s="193"/>
      <c r="B17" s="193"/>
      <c r="C17" s="193"/>
      <c r="D17" s="193"/>
      <c r="E17" s="194"/>
      <c r="F17" s="194"/>
      <c r="G17" s="180"/>
      <c r="H17" s="180"/>
      <c r="I17" s="194"/>
      <c r="J17" s="194"/>
      <c r="K17" s="194"/>
      <c r="L17" s="180"/>
      <c r="M17" s="180"/>
      <c r="N17" s="194"/>
      <c r="O17" s="194"/>
      <c r="P17" s="194"/>
      <c r="Q17" s="180"/>
    </row>
    <row r="18" ht="16.5" customHeight="1">
      <c r="A18" s="193"/>
      <c r="B18" s="193"/>
      <c r="C18" s="193"/>
      <c r="D18" s="193"/>
      <c r="E18" s="194"/>
      <c r="F18" s="194"/>
      <c r="G18" s="180"/>
      <c r="H18" s="180"/>
      <c r="I18" s="194"/>
      <c r="J18" s="194"/>
      <c r="K18" s="194"/>
      <c r="L18" s="180"/>
      <c r="M18" s="180"/>
      <c r="N18" s="194"/>
      <c r="O18" s="194"/>
      <c r="P18" s="194"/>
      <c r="Q18" s="180"/>
    </row>
    <row r="19" ht="16.5" customHeight="1">
      <c r="A19" s="193"/>
      <c r="B19" s="193"/>
      <c r="C19" s="193"/>
      <c r="D19" s="193"/>
      <c r="E19" s="194"/>
      <c r="F19" s="194"/>
      <c r="G19" s="180"/>
      <c r="H19" s="180"/>
      <c r="I19" s="194"/>
      <c r="J19" s="194"/>
      <c r="K19" s="194"/>
      <c r="L19" s="180"/>
      <c r="M19" s="180"/>
      <c r="N19" s="194"/>
      <c r="O19" s="194"/>
      <c r="P19" s="194"/>
      <c r="Q19" s="180"/>
    </row>
    <row r="20" ht="16.5" customHeight="1">
      <c r="A20" s="195" t="s">
        <v>31</v>
      </c>
      <c r="B20" s="7"/>
      <c r="C20" s="194"/>
      <c r="D20" s="193"/>
      <c r="E20" s="194"/>
      <c r="F20" s="194"/>
      <c r="G20" s="193"/>
      <c r="H20" s="193"/>
      <c r="I20" s="194"/>
      <c r="J20" s="194"/>
      <c r="K20" s="194"/>
      <c r="L20" s="193"/>
      <c r="M20" s="193"/>
      <c r="N20" s="194"/>
      <c r="O20" s="194"/>
      <c r="P20" s="194"/>
      <c r="Q20" s="193"/>
    </row>
    <row r="21" ht="16.5" customHeight="1">
      <c r="A21" s="195" t="s">
        <v>185</v>
      </c>
      <c r="B21" s="7"/>
      <c r="C21" s="194"/>
      <c r="D21" s="193"/>
      <c r="E21" s="194"/>
      <c r="F21" s="194"/>
      <c r="G21" s="193"/>
      <c r="H21" s="193"/>
      <c r="I21" s="194"/>
      <c r="J21" s="194"/>
      <c r="K21" s="194"/>
      <c r="L21" s="193"/>
      <c r="M21" s="193"/>
      <c r="N21" s="194"/>
      <c r="O21" s="194"/>
      <c r="P21" s="194"/>
      <c r="Q21" s="193"/>
    </row>
    <row r="22" ht="54.75" customHeight="1">
      <c r="A22" s="196" t="s">
        <v>186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7"/>
    </row>
    <row r="23" ht="16.5" customHeight="1">
      <c r="A23" s="197" t="s">
        <v>187</v>
      </c>
      <c r="B23" s="6"/>
      <c r="C23" s="6"/>
      <c r="D23" s="6"/>
      <c r="E23" s="7"/>
      <c r="F23" s="198" t="s">
        <v>188</v>
      </c>
      <c r="G23" s="198" t="s">
        <v>189</v>
      </c>
      <c r="H23" s="198"/>
      <c r="I23" s="199"/>
      <c r="J23" s="14"/>
      <c r="K23" s="14"/>
      <c r="L23" s="14"/>
      <c r="M23" s="14"/>
      <c r="N23" s="14"/>
      <c r="O23" s="14"/>
      <c r="P23" s="14"/>
      <c r="Q23" s="15"/>
    </row>
    <row r="24" ht="16.5" customHeight="1">
      <c r="A24" s="197" t="s">
        <v>190</v>
      </c>
      <c r="B24" s="6"/>
      <c r="C24" s="6"/>
      <c r="D24" s="6"/>
      <c r="E24" s="7"/>
      <c r="F24" s="198" t="s">
        <v>188</v>
      </c>
      <c r="G24" s="198" t="s">
        <v>189</v>
      </c>
      <c r="H24" s="198"/>
      <c r="I24" s="24"/>
      <c r="J24" s="25"/>
      <c r="K24" s="25"/>
      <c r="L24" s="25"/>
      <c r="M24" s="25"/>
      <c r="N24" s="25"/>
      <c r="O24" s="25"/>
      <c r="P24" s="25"/>
      <c r="Q24" s="26"/>
    </row>
    <row r="25" ht="16.5" customHeight="1">
      <c r="A25" s="200" t="s">
        <v>191</v>
      </c>
      <c r="B25" s="6"/>
      <c r="C25" s="6"/>
      <c r="D25" s="6"/>
      <c r="E25" s="6"/>
      <c r="F25" s="6"/>
      <c r="G25" s="6"/>
      <c r="H25" s="7"/>
      <c r="I25" s="200" t="s">
        <v>192</v>
      </c>
      <c r="J25" s="6"/>
      <c r="K25" s="6"/>
      <c r="L25" s="6"/>
      <c r="M25" s="6"/>
      <c r="N25" s="6"/>
      <c r="O25" s="6"/>
      <c r="P25" s="6"/>
      <c r="Q25" s="7"/>
    </row>
    <row r="26" ht="33.0" customHeight="1">
      <c r="A26" s="201" t="s">
        <v>193</v>
      </c>
      <c r="B26" s="194">
        <f>G20+G21+L20+L21+Q20+Q21</f>
        <v>0</v>
      </c>
      <c r="C26" s="194"/>
      <c r="D26" s="202" t="s">
        <v>194</v>
      </c>
      <c r="E26" s="203">
        <f>G20+L20+Q20</f>
        <v>0</v>
      </c>
      <c r="F26" s="204" t="s">
        <v>195</v>
      </c>
      <c r="G26" s="201"/>
      <c r="H26" s="201"/>
      <c r="I26" s="205"/>
      <c r="J26" s="6"/>
      <c r="K26" s="6"/>
      <c r="L26" s="6"/>
      <c r="M26" s="6"/>
      <c r="N26" s="6"/>
      <c r="O26" s="6"/>
      <c r="P26" s="6"/>
      <c r="Q26" s="7"/>
    </row>
    <row r="27" ht="15.0" customHeight="1"/>
    <row r="28" ht="69.0" customHeight="1"/>
    <row r="29" ht="69.0" customHeight="1"/>
    <row r="30" ht="69.0" customHeight="1"/>
    <row r="31" ht="69.0" customHeight="1"/>
    <row r="32" ht="69.0" customHeight="1"/>
    <row r="33" ht="69.0" customHeight="1"/>
    <row r="34" ht="69.0" customHeight="1"/>
    <row r="35" ht="69.0" customHeight="1"/>
    <row r="36" ht="69.0" customHeight="1"/>
    <row r="37" ht="69.0" customHeight="1"/>
    <row r="38" ht="69.0" customHeight="1"/>
    <row r="39" ht="69.0" customHeight="1"/>
    <row r="40" ht="69.0" customHeight="1"/>
    <row r="41" ht="69.0" customHeight="1"/>
    <row r="42" ht="69.0" customHeight="1"/>
    <row r="43" ht="69.0" customHeight="1"/>
    <row r="44" ht="69.0" customHeight="1"/>
    <row r="45" ht="69.0" customHeight="1"/>
    <row r="46" ht="69.0" customHeight="1"/>
    <row r="47" ht="69.0" customHeight="1"/>
    <row r="48" ht="69.0" customHeight="1"/>
    <row r="49" ht="69.0" customHeight="1"/>
    <row r="50" ht="69.0" customHeight="1"/>
    <row r="51" ht="69.0" customHeight="1"/>
    <row r="52" ht="69.0" customHeight="1"/>
    <row r="53" ht="69.0" customHeight="1"/>
    <row r="54" ht="69.0" customHeight="1"/>
    <row r="55" ht="69.0" customHeight="1"/>
    <row r="56" ht="69.0" customHeight="1"/>
    <row r="57" ht="69.0" customHeight="1"/>
    <row r="58" ht="69.0" customHeight="1"/>
    <row r="59" ht="69.0" customHeight="1"/>
    <row r="60" ht="69.0" customHeight="1"/>
    <row r="61" ht="69.0" customHeight="1"/>
    <row r="62" ht="69.0" customHeight="1"/>
    <row r="63" ht="69.0" customHeight="1"/>
    <row r="64" ht="69.0" customHeight="1"/>
    <row r="65" ht="69.0" customHeight="1"/>
    <row r="66" ht="69.0" customHeight="1"/>
    <row r="67" ht="69.0" customHeight="1"/>
    <row r="68" ht="69.0" customHeight="1"/>
    <row r="69" ht="69.0" customHeight="1"/>
    <row r="70" ht="69.0" customHeight="1"/>
    <row r="71" ht="69.0" customHeight="1"/>
    <row r="72" ht="69.0" customHeight="1"/>
    <row r="73" ht="69.0" customHeight="1"/>
    <row r="74" ht="69.0" customHeight="1"/>
    <row r="75" ht="69.0" customHeight="1"/>
    <row r="76" ht="69.0" customHeight="1"/>
    <row r="77" ht="69.0" customHeight="1"/>
    <row r="78" ht="69.0" customHeight="1"/>
    <row r="79" ht="69.0" customHeight="1"/>
    <row r="80" ht="69.0" customHeight="1"/>
    <row r="81" ht="69.0" customHeight="1"/>
    <row r="82" ht="69.0" customHeight="1"/>
    <row r="83" ht="69.0" customHeight="1"/>
    <row r="84" ht="69.0" customHeight="1"/>
    <row r="85" ht="69.0" customHeight="1"/>
    <row r="86" ht="69.0" customHeight="1"/>
    <row r="87" ht="69.0" customHeight="1"/>
    <row r="88" ht="69.0" customHeight="1"/>
    <row r="89" ht="69.0" customHeight="1"/>
    <row r="90" ht="69.0" customHeight="1"/>
    <row r="91" ht="69.0" customHeight="1"/>
    <row r="92" ht="69.0" customHeight="1"/>
    <row r="93" ht="69.0" customHeight="1"/>
    <row r="94" ht="69.0" customHeight="1"/>
    <row r="95" ht="69.0" customHeight="1"/>
    <row r="96" ht="69.0" customHeight="1"/>
    <row r="97" ht="69.0" customHeight="1"/>
    <row r="98" ht="69.0" customHeight="1"/>
    <row r="99" ht="69.0" customHeight="1"/>
    <row r="100" ht="69.0" customHeight="1"/>
    <row r="101" ht="69.0" customHeight="1"/>
    <row r="102" ht="69.0" customHeight="1"/>
    <row r="103" ht="69.0" customHeight="1"/>
    <row r="104" ht="69.0" customHeight="1"/>
    <row r="105" ht="69.0" customHeight="1"/>
    <row r="106" ht="69.0" customHeight="1"/>
    <row r="107" ht="69.0" customHeight="1"/>
    <row r="108" ht="69.0" customHeight="1"/>
    <row r="109" ht="69.0" customHeight="1"/>
    <row r="110" ht="69.0" customHeight="1"/>
    <row r="111" ht="69.0" customHeight="1"/>
    <row r="112" ht="69.0" customHeight="1"/>
    <row r="113" ht="69.0" customHeight="1"/>
    <row r="114" ht="69.0" customHeight="1"/>
    <row r="115" ht="69.0" customHeight="1"/>
    <row r="116" ht="69.0" customHeight="1"/>
    <row r="117" ht="69.0" customHeight="1"/>
    <row r="118" ht="69.0" customHeight="1"/>
    <row r="119" ht="69.0" customHeight="1"/>
    <row r="120" ht="69.0" customHeight="1"/>
    <row r="121" ht="69.0" customHeight="1"/>
    <row r="122" ht="69.0" customHeight="1"/>
    <row r="123" ht="69.0" customHeight="1"/>
    <row r="124" ht="69.0" customHeight="1"/>
    <row r="125" ht="69.0" customHeight="1"/>
    <row r="126" ht="69.0" customHeight="1"/>
    <row r="127" ht="69.0" customHeight="1"/>
    <row r="128" ht="69.0" customHeight="1"/>
    <row r="129" ht="69.0" customHeight="1"/>
    <row r="130" ht="69.0" customHeight="1"/>
    <row r="131" ht="69.0" customHeight="1"/>
    <row r="132" ht="69.0" customHeight="1"/>
    <row r="133" ht="69.0" customHeight="1"/>
    <row r="134" ht="69.0" customHeight="1"/>
    <row r="135" ht="69.0" customHeight="1"/>
    <row r="136" ht="69.0" customHeight="1"/>
    <row r="137" ht="69.0" customHeight="1"/>
    <row r="138" ht="69.0" customHeight="1"/>
    <row r="139" ht="69.0" customHeight="1"/>
    <row r="140" ht="69.0" customHeight="1"/>
    <row r="141" ht="69.0" customHeight="1"/>
    <row r="142" ht="69.0" customHeight="1"/>
    <row r="143" ht="69.0" customHeight="1"/>
    <row r="144" ht="69.0" customHeight="1"/>
    <row r="145" ht="69.0" customHeight="1"/>
    <row r="146" ht="69.0" customHeight="1"/>
    <row r="147" ht="69.0" customHeight="1"/>
    <row r="148" ht="69.0" customHeight="1"/>
    <row r="149" ht="69.0" customHeight="1"/>
    <row r="150" ht="69.0" customHeight="1"/>
    <row r="151" ht="69.0" customHeight="1"/>
    <row r="152" ht="69.0" customHeight="1"/>
    <row r="153" ht="69.0" customHeight="1"/>
    <row r="154" ht="69.0" customHeight="1"/>
    <row r="155" ht="69.0" customHeight="1"/>
    <row r="156" ht="69.0" customHeight="1"/>
    <row r="157" ht="69.0" customHeight="1"/>
    <row r="158" ht="69.0" customHeight="1"/>
    <row r="159" ht="69.0" customHeight="1"/>
    <row r="160" ht="69.0" customHeight="1"/>
    <row r="161" ht="69.0" customHeight="1"/>
    <row r="162" ht="69.0" customHeight="1"/>
    <row r="163" ht="69.0" customHeight="1"/>
    <row r="164" ht="69.0" customHeight="1"/>
    <row r="165" ht="69.0" customHeight="1"/>
    <row r="166" ht="69.0" customHeight="1"/>
    <row r="167" ht="69.0" customHeight="1"/>
    <row r="168" ht="69.0" customHeight="1"/>
    <row r="169" ht="69.0" customHeight="1"/>
    <row r="170" ht="69.0" customHeight="1"/>
    <row r="171" ht="69.0" customHeight="1"/>
    <row r="172" ht="69.0" customHeight="1"/>
    <row r="173" ht="69.0" customHeight="1"/>
    <row r="174" ht="69.0" customHeight="1"/>
    <row r="175" ht="69.0" customHeight="1"/>
    <row r="176" ht="69.0" customHeight="1"/>
    <row r="177" ht="69.0" customHeight="1"/>
    <row r="178" ht="69.0" customHeight="1"/>
    <row r="179" ht="69.0" customHeight="1"/>
    <row r="180" ht="69.0" customHeight="1"/>
    <row r="181" ht="69.0" customHeight="1"/>
    <row r="182" ht="69.0" customHeight="1"/>
    <row r="183" ht="69.0" customHeight="1"/>
    <row r="184" ht="69.0" customHeight="1"/>
    <row r="185" ht="69.0" customHeight="1"/>
    <row r="186" ht="69.0" customHeight="1"/>
    <row r="187" ht="69.0" customHeight="1"/>
    <row r="188" ht="69.0" customHeight="1"/>
    <row r="189" ht="69.0" customHeight="1"/>
    <row r="190" ht="69.0" customHeight="1"/>
    <row r="191" ht="69.0" customHeight="1"/>
    <row r="192" ht="69.0" customHeight="1"/>
    <row r="193" ht="69.0" customHeight="1"/>
    <row r="194" ht="69.0" customHeight="1"/>
    <row r="195" ht="69.0" customHeight="1"/>
    <row r="196" ht="69.0" customHeight="1"/>
    <row r="197" ht="69.0" customHeight="1"/>
    <row r="198" ht="69.0" customHeight="1"/>
    <row r="199" ht="69.0" customHeight="1"/>
    <row r="200" ht="69.0" customHeight="1"/>
    <row r="201" ht="69.0" customHeight="1"/>
    <row r="202" ht="69.0" customHeight="1"/>
    <row r="203" ht="69.0" customHeight="1"/>
    <row r="204" ht="69.0" customHeight="1"/>
    <row r="205" ht="69.0" customHeight="1"/>
    <row r="206" ht="69.0" customHeight="1"/>
    <row r="207" ht="69.0" customHeight="1"/>
    <row r="208" ht="69.0" customHeight="1"/>
    <row r="209" ht="69.0" customHeight="1"/>
    <row r="210" ht="69.0" customHeight="1"/>
    <row r="211" ht="69.0" customHeight="1"/>
    <row r="212" ht="69.0" customHeight="1"/>
    <row r="213" ht="69.0" customHeight="1"/>
    <row r="214" ht="69.0" customHeight="1"/>
    <row r="215" ht="69.0" customHeight="1"/>
    <row r="216" ht="69.0" customHeight="1"/>
    <row r="217" ht="69.0" customHeight="1"/>
    <row r="218" ht="69.0" customHeight="1"/>
    <row r="219" ht="69.0" customHeight="1"/>
    <row r="220" ht="69.0" customHeight="1"/>
    <row r="221" ht="69.0" customHeight="1"/>
    <row r="222" ht="69.0" customHeight="1"/>
    <row r="223" ht="69.0" customHeight="1"/>
    <row r="224" ht="69.0" customHeight="1"/>
    <row r="225" ht="69.0" customHeight="1"/>
    <row r="226" ht="69.0" customHeight="1"/>
    <row r="227" ht="69.0" customHeight="1"/>
    <row r="228" ht="69.0" customHeight="1"/>
    <row r="229" ht="69.0" customHeight="1"/>
    <row r="230" ht="69.0" customHeight="1"/>
    <row r="231" ht="69.0" customHeight="1"/>
    <row r="232" ht="69.0" customHeight="1"/>
    <row r="233" ht="69.0" customHeight="1"/>
    <row r="234" ht="69.0" customHeight="1"/>
    <row r="235" ht="69.0" customHeight="1"/>
    <row r="236" ht="69.0" customHeight="1"/>
    <row r="237" ht="69.0" customHeight="1"/>
    <row r="238" ht="69.0" customHeight="1"/>
    <row r="239" ht="69.0" customHeight="1"/>
    <row r="240" ht="69.0" customHeight="1"/>
    <row r="241" ht="69.0" customHeight="1"/>
    <row r="242" ht="69.0" customHeight="1"/>
    <row r="243" ht="69.0" customHeight="1"/>
    <row r="244" ht="69.0" customHeight="1"/>
    <row r="245" ht="69.0" customHeight="1"/>
    <row r="246" ht="69.0" customHeight="1"/>
    <row r="247" ht="69.0" customHeight="1"/>
    <row r="248" ht="69.0" customHeight="1"/>
    <row r="249" ht="69.0" customHeight="1"/>
    <row r="250" ht="69.0" customHeight="1"/>
    <row r="251" ht="69.0" customHeight="1"/>
    <row r="252" ht="69.0" customHeight="1"/>
    <row r="253" ht="69.0" customHeight="1"/>
    <row r="254" ht="69.0" customHeight="1"/>
    <row r="255" ht="69.0" customHeight="1"/>
    <row r="256" ht="69.0" customHeight="1"/>
    <row r="257" ht="69.0" customHeight="1"/>
    <row r="258" ht="69.0" customHeight="1"/>
    <row r="259" ht="69.0" customHeight="1"/>
    <row r="260" ht="69.0" customHeight="1"/>
    <row r="261" ht="69.0" customHeight="1"/>
    <row r="262" ht="69.0" customHeight="1"/>
    <row r="263" ht="69.0" customHeight="1"/>
    <row r="264" ht="69.0" customHeight="1"/>
    <row r="265" ht="69.0" customHeight="1"/>
    <row r="266" ht="69.0" customHeight="1"/>
    <row r="267" ht="69.0" customHeight="1"/>
    <row r="268" ht="69.0" customHeight="1"/>
    <row r="269" ht="69.0" customHeight="1"/>
    <row r="270" ht="69.0" customHeight="1"/>
    <row r="271" ht="69.0" customHeight="1"/>
    <row r="272" ht="69.0" customHeight="1"/>
    <row r="273" ht="69.0" customHeight="1"/>
    <row r="274" ht="69.0" customHeight="1"/>
    <row r="275" ht="69.0" customHeight="1"/>
    <row r="276" ht="69.0" customHeight="1"/>
    <row r="277" ht="69.0" customHeight="1"/>
    <row r="278" ht="69.0" customHeight="1"/>
    <row r="279" ht="69.0" customHeight="1"/>
    <row r="280" ht="69.0" customHeight="1"/>
    <row r="281" ht="69.0" customHeight="1"/>
    <row r="282" ht="69.0" customHeight="1"/>
    <row r="283" ht="69.0" customHeight="1"/>
    <row r="284" ht="69.0" customHeight="1"/>
    <row r="285" ht="69.0" customHeight="1"/>
    <row r="286" ht="69.0" customHeight="1"/>
    <row r="287" ht="69.0" customHeight="1"/>
    <row r="288" ht="69.0" customHeight="1"/>
    <row r="289" ht="69.0" customHeight="1"/>
    <row r="290" ht="69.0" customHeight="1"/>
    <row r="291" ht="69.0" customHeight="1"/>
    <row r="292" ht="69.0" customHeight="1"/>
    <row r="293" ht="69.0" customHeight="1"/>
    <row r="294" ht="69.0" customHeight="1"/>
    <row r="295" ht="69.0" customHeight="1"/>
    <row r="296" ht="69.0" customHeight="1"/>
    <row r="297" ht="69.0" customHeight="1"/>
    <row r="298" ht="69.0" customHeight="1"/>
    <row r="299" ht="69.0" customHeight="1"/>
    <row r="300" ht="69.0" customHeight="1"/>
    <row r="301" ht="69.0" customHeight="1"/>
    <row r="302" ht="69.0" customHeight="1"/>
    <row r="303" ht="69.0" customHeight="1"/>
    <row r="304" ht="69.0" customHeight="1"/>
    <row r="305" ht="69.0" customHeight="1"/>
    <row r="306" ht="69.0" customHeight="1"/>
    <row r="307" ht="69.0" customHeight="1"/>
    <row r="308" ht="69.0" customHeight="1"/>
    <row r="309" ht="69.0" customHeight="1"/>
    <row r="310" ht="69.0" customHeight="1"/>
    <row r="311" ht="69.0" customHeight="1"/>
    <row r="312" ht="69.0" customHeight="1"/>
    <row r="313" ht="69.0" customHeight="1"/>
    <row r="314" ht="69.0" customHeight="1"/>
    <row r="315" ht="69.0" customHeight="1"/>
    <row r="316" ht="69.0" customHeight="1"/>
    <row r="317" ht="69.0" customHeight="1"/>
    <row r="318" ht="69.0" customHeight="1"/>
    <row r="319" ht="69.0" customHeight="1"/>
    <row r="320" ht="69.0" customHeight="1"/>
    <row r="321" ht="69.0" customHeight="1"/>
    <row r="322" ht="69.0" customHeight="1"/>
    <row r="323" ht="69.0" customHeight="1"/>
    <row r="324" ht="69.0" customHeight="1"/>
    <row r="325" ht="69.0" customHeight="1"/>
    <row r="326" ht="69.0" customHeight="1"/>
    <row r="327" ht="69.0" customHeight="1"/>
    <row r="328" ht="69.0" customHeight="1"/>
    <row r="329" ht="69.0" customHeight="1"/>
    <row r="330" ht="69.0" customHeight="1"/>
    <row r="331" ht="69.0" customHeight="1"/>
    <row r="332" ht="69.0" customHeight="1"/>
    <row r="333" ht="69.0" customHeight="1"/>
    <row r="334" ht="69.0" customHeight="1"/>
    <row r="335" ht="69.0" customHeight="1"/>
    <row r="336" ht="69.0" customHeight="1"/>
    <row r="337" ht="69.0" customHeight="1"/>
    <row r="338" ht="69.0" customHeight="1"/>
    <row r="339" ht="69.0" customHeight="1"/>
    <row r="340" ht="69.0" customHeight="1"/>
    <row r="341" ht="69.0" customHeight="1"/>
    <row r="342" ht="69.0" customHeight="1"/>
    <row r="343" ht="69.0" customHeight="1"/>
    <row r="344" ht="69.0" customHeight="1"/>
    <row r="345" ht="69.0" customHeight="1"/>
    <row r="346" ht="69.0" customHeight="1"/>
    <row r="347" ht="69.0" customHeight="1"/>
    <row r="348" ht="69.0" customHeight="1"/>
    <row r="349" ht="69.0" customHeight="1"/>
    <row r="350" ht="69.0" customHeight="1"/>
    <row r="351" ht="69.0" customHeight="1"/>
    <row r="352" ht="69.0" customHeight="1"/>
    <row r="353" ht="69.0" customHeight="1"/>
    <row r="354" ht="69.0" customHeight="1"/>
    <row r="355" ht="69.0" customHeight="1"/>
    <row r="356" ht="69.0" customHeight="1"/>
    <row r="357" ht="69.0" customHeight="1"/>
    <row r="358" ht="69.0" customHeight="1"/>
    <row r="359" ht="69.0" customHeight="1"/>
    <row r="360" ht="69.0" customHeight="1"/>
    <row r="361" ht="69.0" customHeight="1"/>
    <row r="362" ht="69.0" customHeight="1"/>
    <row r="363" ht="69.0" customHeight="1"/>
    <row r="364" ht="69.0" customHeight="1"/>
    <row r="365" ht="69.0" customHeight="1"/>
    <row r="366" ht="69.0" customHeight="1"/>
    <row r="367" ht="69.0" customHeight="1"/>
    <row r="368" ht="69.0" customHeight="1"/>
    <row r="369" ht="69.0" customHeight="1"/>
    <row r="370" ht="69.0" customHeight="1"/>
    <row r="371" ht="69.0" customHeight="1"/>
    <row r="372" ht="69.0" customHeight="1"/>
    <row r="373" ht="69.0" customHeight="1"/>
    <row r="374" ht="69.0" customHeight="1"/>
    <row r="375" ht="69.0" customHeight="1"/>
    <row r="376" ht="69.0" customHeight="1"/>
    <row r="377" ht="69.0" customHeight="1"/>
    <row r="378" ht="69.0" customHeight="1"/>
    <row r="379" ht="69.0" customHeight="1"/>
    <row r="380" ht="69.0" customHeight="1"/>
    <row r="381" ht="69.0" customHeight="1"/>
    <row r="382" ht="69.0" customHeight="1"/>
    <row r="383" ht="69.0" customHeight="1"/>
    <row r="384" ht="69.0" customHeight="1"/>
    <row r="385" ht="69.0" customHeight="1"/>
    <row r="386" ht="69.0" customHeight="1"/>
    <row r="387" ht="69.0" customHeight="1"/>
    <row r="388" ht="69.0" customHeight="1"/>
    <row r="389" ht="69.0" customHeight="1"/>
    <row r="390" ht="69.0" customHeight="1"/>
    <row r="391" ht="69.0" customHeight="1"/>
    <row r="392" ht="69.0" customHeight="1"/>
    <row r="393" ht="69.0" customHeight="1"/>
    <row r="394" ht="69.0" customHeight="1"/>
    <row r="395" ht="69.0" customHeight="1"/>
    <row r="396" ht="69.0" customHeight="1"/>
    <row r="397" ht="69.0" customHeight="1"/>
    <row r="398" ht="69.0" customHeight="1"/>
    <row r="399" ht="69.0" customHeight="1"/>
    <row r="400" ht="69.0" customHeight="1"/>
    <row r="401" ht="69.0" customHeight="1"/>
    <row r="402" ht="69.0" customHeight="1"/>
    <row r="403" ht="69.0" customHeight="1"/>
    <row r="404" ht="69.0" customHeight="1"/>
    <row r="405" ht="69.0" customHeight="1"/>
    <row r="406" ht="69.0" customHeight="1"/>
    <row r="407" ht="69.0" customHeight="1"/>
    <row r="408" ht="69.0" customHeight="1"/>
    <row r="409" ht="69.0" customHeight="1"/>
    <row r="410" ht="69.0" customHeight="1"/>
    <row r="411" ht="69.0" customHeight="1"/>
    <row r="412" ht="69.0" customHeight="1"/>
    <row r="413" ht="69.0" customHeight="1"/>
    <row r="414" ht="69.0" customHeight="1"/>
    <row r="415" ht="69.0" customHeight="1"/>
    <row r="416" ht="69.0" customHeight="1"/>
    <row r="417" ht="69.0" customHeight="1"/>
    <row r="418" ht="69.0" customHeight="1"/>
    <row r="419" ht="69.0" customHeight="1"/>
    <row r="420" ht="69.0" customHeight="1"/>
    <row r="421" ht="69.0" customHeight="1"/>
    <row r="422" ht="69.0" customHeight="1"/>
    <row r="423" ht="69.0" customHeight="1"/>
    <row r="424" ht="69.0" customHeight="1"/>
    <row r="425" ht="69.0" customHeight="1"/>
    <row r="426" ht="69.0" customHeight="1"/>
    <row r="427" ht="69.0" customHeight="1"/>
    <row r="428" ht="69.0" customHeight="1"/>
    <row r="429" ht="69.0" customHeight="1"/>
    <row r="430" ht="69.0" customHeight="1"/>
    <row r="431" ht="69.0" customHeight="1"/>
    <row r="432" ht="69.0" customHeight="1"/>
    <row r="433" ht="69.0" customHeight="1"/>
    <row r="434" ht="69.0" customHeight="1"/>
    <row r="435" ht="69.0" customHeight="1"/>
    <row r="436" ht="69.0" customHeight="1"/>
    <row r="437" ht="69.0" customHeight="1"/>
    <row r="438" ht="69.0" customHeight="1"/>
    <row r="439" ht="69.0" customHeight="1"/>
    <row r="440" ht="69.0" customHeight="1"/>
    <row r="441" ht="69.0" customHeight="1"/>
    <row r="442" ht="69.0" customHeight="1"/>
    <row r="443" ht="69.0" customHeight="1"/>
    <row r="444" ht="69.0" customHeight="1"/>
    <row r="445" ht="69.0" customHeight="1"/>
    <row r="446" ht="69.0" customHeight="1"/>
    <row r="447" ht="69.0" customHeight="1"/>
    <row r="448" ht="69.0" customHeight="1"/>
    <row r="449" ht="69.0" customHeight="1"/>
    <row r="450" ht="69.0" customHeight="1"/>
    <row r="451" ht="69.0" customHeight="1"/>
    <row r="452" ht="69.0" customHeight="1"/>
    <row r="453" ht="69.0" customHeight="1"/>
    <row r="454" ht="69.0" customHeight="1"/>
    <row r="455" ht="69.0" customHeight="1"/>
    <row r="456" ht="69.0" customHeight="1"/>
    <row r="457" ht="69.0" customHeight="1"/>
    <row r="458" ht="69.0" customHeight="1"/>
    <row r="459" ht="69.0" customHeight="1"/>
    <row r="460" ht="69.0" customHeight="1"/>
    <row r="461" ht="69.0" customHeight="1"/>
    <row r="462" ht="69.0" customHeight="1"/>
    <row r="463" ht="69.0" customHeight="1"/>
    <row r="464" ht="69.0" customHeight="1"/>
    <row r="465" ht="69.0" customHeight="1"/>
    <row r="466" ht="69.0" customHeight="1"/>
    <row r="467" ht="69.0" customHeight="1"/>
    <row r="468" ht="69.0" customHeight="1"/>
    <row r="469" ht="69.0" customHeight="1"/>
    <row r="470" ht="69.0" customHeight="1"/>
    <row r="471" ht="69.0" customHeight="1"/>
    <row r="472" ht="69.0" customHeight="1"/>
    <row r="473" ht="69.0" customHeight="1"/>
    <row r="474" ht="69.0" customHeight="1"/>
    <row r="475" ht="69.0" customHeight="1"/>
    <row r="476" ht="69.0" customHeight="1"/>
    <row r="477" ht="69.0" customHeight="1"/>
    <row r="478" ht="69.0" customHeight="1"/>
    <row r="479" ht="69.0" customHeight="1"/>
    <row r="480" ht="69.0" customHeight="1"/>
    <row r="481" ht="69.0" customHeight="1"/>
    <row r="482" ht="69.0" customHeight="1"/>
    <row r="483" ht="69.0" customHeight="1"/>
    <row r="484" ht="69.0" customHeight="1"/>
    <row r="485" ht="69.0" customHeight="1"/>
    <row r="486" ht="69.0" customHeight="1"/>
    <row r="487" ht="69.0" customHeight="1"/>
    <row r="488" ht="69.0" customHeight="1"/>
    <row r="489" ht="69.0" customHeight="1"/>
    <row r="490" ht="69.0" customHeight="1"/>
    <row r="491" ht="69.0" customHeight="1"/>
    <row r="492" ht="69.0" customHeight="1"/>
    <row r="493" ht="69.0" customHeight="1"/>
    <row r="494" ht="69.0" customHeight="1"/>
    <row r="495" ht="69.0" customHeight="1"/>
    <row r="496" ht="69.0" customHeight="1"/>
    <row r="497" ht="69.0" customHeight="1"/>
    <row r="498" ht="69.0" customHeight="1"/>
    <row r="499" ht="69.0" customHeight="1"/>
    <row r="500" ht="69.0" customHeight="1"/>
    <row r="501" ht="69.0" customHeight="1"/>
    <row r="502" ht="69.0" customHeight="1"/>
    <row r="503" ht="69.0" customHeight="1"/>
    <row r="504" ht="69.0" customHeight="1"/>
    <row r="505" ht="69.0" customHeight="1"/>
    <row r="506" ht="69.0" customHeight="1"/>
    <row r="507" ht="69.0" customHeight="1"/>
    <row r="508" ht="69.0" customHeight="1"/>
    <row r="509" ht="69.0" customHeight="1"/>
    <row r="510" ht="69.0" customHeight="1"/>
    <row r="511" ht="69.0" customHeight="1"/>
    <row r="512" ht="69.0" customHeight="1"/>
    <row r="513" ht="69.0" customHeight="1"/>
    <row r="514" ht="69.0" customHeight="1"/>
    <row r="515" ht="69.0" customHeight="1"/>
    <row r="516" ht="69.0" customHeight="1"/>
    <row r="517" ht="69.0" customHeight="1"/>
    <row r="518" ht="69.0" customHeight="1"/>
    <row r="519" ht="69.0" customHeight="1"/>
    <row r="520" ht="69.0" customHeight="1"/>
    <row r="521" ht="69.0" customHeight="1"/>
    <row r="522" ht="69.0" customHeight="1"/>
    <row r="523" ht="69.0" customHeight="1"/>
    <row r="524" ht="69.0" customHeight="1"/>
    <row r="525" ht="69.0" customHeight="1"/>
    <row r="526" ht="69.0" customHeight="1"/>
    <row r="527" ht="69.0" customHeight="1"/>
    <row r="528" ht="69.0" customHeight="1"/>
    <row r="529" ht="69.0" customHeight="1"/>
    <row r="530" ht="69.0" customHeight="1"/>
    <row r="531" ht="69.0" customHeight="1"/>
    <row r="532" ht="69.0" customHeight="1"/>
    <row r="533" ht="69.0" customHeight="1"/>
    <row r="534" ht="69.0" customHeight="1"/>
    <row r="535" ht="69.0" customHeight="1"/>
    <row r="536" ht="69.0" customHeight="1"/>
    <row r="537" ht="69.0" customHeight="1"/>
    <row r="538" ht="69.0" customHeight="1"/>
    <row r="539" ht="69.0" customHeight="1"/>
    <row r="540" ht="69.0" customHeight="1"/>
    <row r="541" ht="69.0" customHeight="1"/>
    <row r="542" ht="69.0" customHeight="1"/>
    <row r="543" ht="69.0" customHeight="1"/>
    <row r="544" ht="69.0" customHeight="1"/>
    <row r="545" ht="69.0" customHeight="1"/>
    <row r="546" ht="69.0" customHeight="1"/>
    <row r="547" ht="69.0" customHeight="1"/>
    <row r="548" ht="69.0" customHeight="1"/>
    <row r="549" ht="69.0" customHeight="1"/>
    <row r="550" ht="69.0" customHeight="1"/>
    <row r="551" ht="69.0" customHeight="1"/>
    <row r="552" ht="69.0" customHeight="1"/>
    <row r="553" ht="69.0" customHeight="1"/>
    <row r="554" ht="69.0" customHeight="1"/>
    <row r="555" ht="69.0" customHeight="1"/>
    <row r="556" ht="69.0" customHeight="1"/>
    <row r="557" ht="69.0" customHeight="1"/>
    <row r="558" ht="69.0" customHeight="1"/>
    <row r="559" ht="69.0" customHeight="1"/>
    <row r="560" ht="69.0" customHeight="1"/>
    <row r="561" ht="69.0" customHeight="1"/>
    <row r="562" ht="69.0" customHeight="1"/>
    <row r="563" ht="69.0" customHeight="1"/>
    <row r="564" ht="69.0" customHeight="1"/>
    <row r="565" ht="69.0" customHeight="1"/>
    <row r="566" ht="69.0" customHeight="1"/>
    <row r="567" ht="69.0" customHeight="1"/>
    <row r="568" ht="69.0" customHeight="1"/>
    <row r="569" ht="69.0" customHeight="1"/>
    <row r="570" ht="69.0" customHeight="1"/>
    <row r="571" ht="69.0" customHeight="1"/>
    <row r="572" ht="69.0" customHeight="1"/>
    <row r="573" ht="69.0" customHeight="1"/>
    <row r="574" ht="69.0" customHeight="1"/>
    <row r="575" ht="69.0" customHeight="1"/>
    <row r="576" ht="69.0" customHeight="1"/>
    <row r="577" ht="69.0" customHeight="1"/>
    <row r="578" ht="69.0" customHeight="1"/>
    <row r="579" ht="69.0" customHeight="1"/>
    <row r="580" ht="69.0" customHeight="1"/>
    <row r="581" ht="69.0" customHeight="1"/>
    <row r="582" ht="69.0" customHeight="1"/>
    <row r="583" ht="69.0" customHeight="1"/>
    <row r="584" ht="69.0" customHeight="1"/>
    <row r="585" ht="69.0" customHeight="1"/>
    <row r="586" ht="69.0" customHeight="1"/>
    <row r="587" ht="69.0" customHeight="1"/>
    <row r="588" ht="69.0" customHeight="1"/>
    <row r="589" ht="69.0" customHeight="1"/>
    <row r="590" ht="69.0" customHeight="1"/>
    <row r="591" ht="69.0" customHeight="1"/>
    <row r="592" ht="69.0" customHeight="1"/>
    <row r="593" ht="69.0" customHeight="1"/>
    <row r="594" ht="69.0" customHeight="1"/>
    <row r="595" ht="69.0" customHeight="1"/>
    <row r="596" ht="69.0" customHeight="1"/>
    <row r="597" ht="69.0" customHeight="1"/>
    <row r="598" ht="69.0" customHeight="1"/>
    <row r="599" ht="69.0" customHeight="1"/>
    <row r="600" ht="69.0" customHeight="1"/>
    <row r="601" ht="69.0" customHeight="1"/>
    <row r="602" ht="69.0" customHeight="1"/>
    <row r="603" ht="69.0" customHeight="1"/>
    <row r="604" ht="69.0" customHeight="1"/>
    <row r="605" ht="69.0" customHeight="1"/>
    <row r="606" ht="69.0" customHeight="1"/>
    <row r="607" ht="69.0" customHeight="1"/>
    <row r="608" ht="69.0" customHeight="1"/>
    <row r="609" ht="69.0" customHeight="1"/>
    <row r="610" ht="69.0" customHeight="1"/>
    <row r="611" ht="69.0" customHeight="1"/>
    <row r="612" ht="69.0" customHeight="1"/>
    <row r="613" ht="69.0" customHeight="1"/>
    <row r="614" ht="69.0" customHeight="1"/>
    <row r="615" ht="69.0" customHeight="1"/>
    <row r="616" ht="69.0" customHeight="1"/>
    <row r="617" ht="69.0" customHeight="1"/>
    <row r="618" ht="69.0" customHeight="1"/>
    <row r="619" ht="69.0" customHeight="1"/>
    <row r="620" ht="69.0" customHeight="1"/>
    <row r="621" ht="69.0" customHeight="1"/>
    <row r="622" ht="69.0" customHeight="1"/>
    <row r="623" ht="69.0" customHeight="1"/>
    <row r="624" ht="69.0" customHeight="1"/>
    <row r="625" ht="69.0" customHeight="1"/>
    <row r="626" ht="69.0" customHeight="1"/>
    <row r="627" ht="69.0" customHeight="1"/>
    <row r="628" ht="69.0" customHeight="1"/>
    <row r="629" ht="69.0" customHeight="1"/>
    <row r="630" ht="69.0" customHeight="1"/>
    <row r="631" ht="69.0" customHeight="1"/>
    <row r="632" ht="69.0" customHeight="1"/>
    <row r="633" ht="69.0" customHeight="1"/>
    <row r="634" ht="69.0" customHeight="1"/>
    <row r="635" ht="69.0" customHeight="1"/>
    <row r="636" ht="69.0" customHeight="1"/>
    <row r="637" ht="69.0" customHeight="1"/>
    <row r="638" ht="69.0" customHeight="1"/>
    <row r="639" ht="69.0" customHeight="1"/>
    <row r="640" ht="69.0" customHeight="1"/>
    <row r="641" ht="69.0" customHeight="1"/>
    <row r="642" ht="69.0" customHeight="1"/>
    <row r="643" ht="69.0" customHeight="1"/>
    <row r="644" ht="69.0" customHeight="1"/>
    <row r="645" ht="69.0" customHeight="1"/>
    <row r="646" ht="69.0" customHeight="1"/>
    <row r="647" ht="69.0" customHeight="1"/>
    <row r="648" ht="69.0" customHeight="1"/>
    <row r="649" ht="69.0" customHeight="1"/>
    <row r="650" ht="69.0" customHeight="1"/>
    <row r="651" ht="69.0" customHeight="1"/>
    <row r="652" ht="69.0" customHeight="1"/>
    <row r="653" ht="69.0" customHeight="1"/>
    <row r="654" ht="69.0" customHeight="1"/>
    <row r="655" ht="69.0" customHeight="1"/>
    <row r="656" ht="69.0" customHeight="1"/>
    <row r="657" ht="69.0" customHeight="1"/>
    <row r="658" ht="69.0" customHeight="1"/>
    <row r="659" ht="69.0" customHeight="1"/>
    <row r="660" ht="69.0" customHeight="1"/>
    <row r="661" ht="69.0" customHeight="1"/>
    <row r="662" ht="69.0" customHeight="1"/>
    <row r="663" ht="69.0" customHeight="1"/>
    <row r="664" ht="69.0" customHeight="1"/>
    <row r="665" ht="69.0" customHeight="1"/>
    <row r="666" ht="69.0" customHeight="1"/>
    <row r="667" ht="69.0" customHeight="1"/>
    <row r="668" ht="69.0" customHeight="1"/>
    <row r="669" ht="69.0" customHeight="1"/>
    <row r="670" ht="69.0" customHeight="1"/>
    <row r="671" ht="69.0" customHeight="1"/>
    <row r="672" ht="69.0" customHeight="1"/>
    <row r="673" ht="69.0" customHeight="1"/>
    <row r="674" ht="69.0" customHeight="1"/>
    <row r="675" ht="69.0" customHeight="1"/>
    <row r="676" ht="69.0" customHeight="1"/>
    <row r="677" ht="69.0" customHeight="1"/>
    <row r="678" ht="69.0" customHeight="1"/>
    <row r="679" ht="69.0" customHeight="1"/>
    <row r="680" ht="69.0" customHeight="1"/>
    <row r="681" ht="69.0" customHeight="1"/>
    <row r="682" ht="69.0" customHeight="1"/>
    <row r="683" ht="69.0" customHeight="1"/>
    <row r="684" ht="69.0" customHeight="1"/>
    <row r="685" ht="69.0" customHeight="1"/>
    <row r="686" ht="69.0" customHeight="1"/>
    <row r="687" ht="69.0" customHeight="1"/>
    <row r="688" ht="69.0" customHeight="1"/>
    <row r="689" ht="69.0" customHeight="1"/>
    <row r="690" ht="69.0" customHeight="1"/>
    <row r="691" ht="69.0" customHeight="1"/>
    <row r="692" ht="69.0" customHeight="1"/>
    <row r="693" ht="69.0" customHeight="1"/>
    <row r="694" ht="69.0" customHeight="1"/>
    <row r="695" ht="69.0" customHeight="1"/>
    <row r="696" ht="69.0" customHeight="1"/>
    <row r="697" ht="69.0" customHeight="1"/>
    <row r="698" ht="69.0" customHeight="1"/>
    <row r="699" ht="69.0" customHeight="1"/>
    <row r="700" ht="69.0" customHeight="1"/>
    <row r="701" ht="69.0" customHeight="1"/>
    <row r="702" ht="69.0" customHeight="1"/>
    <row r="703" ht="69.0" customHeight="1"/>
    <row r="704" ht="69.0" customHeight="1"/>
    <row r="705" ht="69.0" customHeight="1"/>
    <row r="706" ht="69.0" customHeight="1"/>
    <row r="707" ht="69.0" customHeight="1"/>
    <row r="708" ht="69.0" customHeight="1"/>
    <row r="709" ht="69.0" customHeight="1"/>
    <row r="710" ht="69.0" customHeight="1"/>
    <row r="711" ht="69.0" customHeight="1"/>
    <row r="712" ht="69.0" customHeight="1"/>
    <row r="713" ht="69.0" customHeight="1"/>
    <row r="714" ht="69.0" customHeight="1"/>
    <row r="715" ht="69.0" customHeight="1"/>
    <row r="716" ht="69.0" customHeight="1"/>
    <row r="717" ht="69.0" customHeight="1"/>
    <row r="718" ht="69.0" customHeight="1"/>
    <row r="719" ht="69.0" customHeight="1"/>
    <row r="720" ht="69.0" customHeight="1"/>
    <row r="721" ht="69.0" customHeight="1"/>
    <row r="722" ht="69.0" customHeight="1"/>
    <row r="723" ht="69.0" customHeight="1"/>
    <row r="724" ht="69.0" customHeight="1"/>
    <row r="725" ht="69.0" customHeight="1"/>
    <row r="726" ht="69.0" customHeight="1"/>
    <row r="727" ht="69.0" customHeight="1"/>
    <row r="728" ht="69.0" customHeight="1"/>
    <row r="729" ht="69.0" customHeight="1"/>
    <row r="730" ht="69.0" customHeight="1"/>
    <row r="731" ht="69.0" customHeight="1"/>
    <row r="732" ht="69.0" customHeight="1"/>
    <row r="733" ht="69.0" customHeight="1"/>
    <row r="734" ht="69.0" customHeight="1"/>
    <row r="735" ht="69.0" customHeight="1"/>
    <row r="736" ht="69.0" customHeight="1"/>
    <row r="737" ht="69.0" customHeight="1"/>
    <row r="738" ht="69.0" customHeight="1"/>
    <row r="739" ht="69.0" customHeight="1"/>
    <row r="740" ht="69.0" customHeight="1"/>
    <row r="741" ht="69.0" customHeight="1"/>
    <row r="742" ht="69.0" customHeight="1"/>
    <row r="743" ht="69.0" customHeight="1"/>
    <row r="744" ht="69.0" customHeight="1"/>
    <row r="745" ht="69.0" customHeight="1"/>
    <row r="746" ht="69.0" customHeight="1"/>
    <row r="747" ht="69.0" customHeight="1"/>
    <row r="748" ht="69.0" customHeight="1"/>
    <row r="749" ht="69.0" customHeight="1"/>
    <row r="750" ht="69.0" customHeight="1"/>
    <row r="751" ht="69.0" customHeight="1"/>
    <row r="752" ht="69.0" customHeight="1"/>
    <row r="753" ht="69.0" customHeight="1"/>
    <row r="754" ht="69.0" customHeight="1"/>
    <row r="755" ht="69.0" customHeight="1"/>
    <row r="756" ht="69.0" customHeight="1"/>
    <row r="757" ht="69.0" customHeight="1"/>
    <row r="758" ht="69.0" customHeight="1"/>
    <row r="759" ht="69.0" customHeight="1"/>
    <row r="760" ht="69.0" customHeight="1"/>
    <row r="761" ht="69.0" customHeight="1"/>
    <row r="762" ht="69.0" customHeight="1"/>
    <row r="763" ht="69.0" customHeight="1"/>
    <row r="764" ht="69.0" customHeight="1"/>
    <row r="765" ht="69.0" customHeight="1"/>
    <row r="766" ht="69.0" customHeight="1"/>
    <row r="767" ht="69.0" customHeight="1"/>
    <row r="768" ht="69.0" customHeight="1"/>
    <row r="769" ht="69.0" customHeight="1"/>
    <row r="770" ht="69.0" customHeight="1"/>
    <row r="771" ht="69.0" customHeight="1"/>
    <row r="772" ht="69.0" customHeight="1"/>
    <row r="773" ht="69.0" customHeight="1"/>
    <row r="774" ht="69.0" customHeight="1"/>
    <row r="775" ht="69.0" customHeight="1"/>
    <row r="776" ht="69.0" customHeight="1"/>
    <row r="777" ht="69.0" customHeight="1"/>
    <row r="778" ht="69.0" customHeight="1"/>
    <row r="779" ht="69.0" customHeight="1"/>
    <row r="780" ht="69.0" customHeight="1"/>
    <row r="781" ht="69.0" customHeight="1"/>
    <row r="782" ht="69.0" customHeight="1"/>
    <row r="783" ht="69.0" customHeight="1"/>
    <row r="784" ht="69.0" customHeight="1"/>
    <row r="785" ht="69.0" customHeight="1"/>
    <row r="786" ht="69.0" customHeight="1"/>
    <row r="787" ht="69.0" customHeight="1"/>
    <row r="788" ht="69.0" customHeight="1"/>
    <row r="789" ht="69.0" customHeight="1"/>
    <row r="790" ht="69.0" customHeight="1"/>
    <row r="791" ht="69.0" customHeight="1"/>
    <row r="792" ht="69.0" customHeight="1"/>
    <row r="793" ht="69.0" customHeight="1"/>
    <row r="794" ht="69.0" customHeight="1"/>
    <row r="795" ht="69.0" customHeight="1"/>
    <row r="796" ht="69.0" customHeight="1"/>
    <row r="797" ht="69.0" customHeight="1"/>
    <row r="798" ht="69.0" customHeight="1"/>
    <row r="799" ht="69.0" customHeight="1"/>
    <row r="800" ht="69.0" customHeight="1"/>
    <row r="801" ht="69.0" customHeight="1"/>
    <row r="802" ht="69.0" customHeight="1"/>
    <row r="803" ht="69.0" customHeight="1"/>
    <row r="804" ht="69.0" customHeight="1"/>
    <row r="805" ht="69.0" customHeight="1"/>
    <row r="806" ht="69.0" customHeight="1"/>
    <row r="807" ht="69.0" customHeight="1"/>
    <row r="808" ht="69.0" customHeight="1"/>
    <row r="809" ht="69.0" customHeight="1"/>
    <row r="810" ht="69.0" customHeight="1"/>
    <row r="811" ht="69.0" customHeight="1"/>
    <row r="812" ht="69.0" customHeight="1"/>
    <row r="813" ht="69.0" customHeight="1"/>
    <row r="814" ht="69.0" customHeight="1"/>
    <row r="815" ht="69.0" customHeight="1"/>
    <row r="816" ht="69.0" customHeight="1"/>
    <row r="817" ht="69.0" customHeight="1"/>
    <row r="818" ht="69.0" customHeight="1"/>
    <row r="819" ht="69.0" customHeight="1"/>
    <row r="820" ht="69.0" customHeight="1"/>
    <row r="821" ht="69.0" customHeight="1"/>
    <row r="822" ht="69.0" customHeight="1"/>
    <row r="823" ht="69.0" customHeight="1"/>
    <row r="824" ht="69.0" customHeight="1"/>
    <row r="825" ht="69.0" customHeight="1"/>
    <row r="826" ht="69.0" customHeight="1"/>
    <row r="827" ht="69.0" customHeight="1"/>
    <row r="828" ht="69.0" customHeight="1"/>
    <row r="829" ht="69.0" customHeight="1"/>
    <row r="830" ht="69.0" customHeight="1"/>
    <row r="831" ht="69.0" customHeight="1"/>
    <row r="832" ht="69.0" customHeight="1"/>
    <row r="833" ht="69.0" customHeight="1"/>
    <row r="834" ht="69.0" customHeight="1"/>
    <row r="835" ht="69.0" customHeight="1"/>
    <row r="836" ht="69.0" customHeight="1"/>
    <row r="837" ht="69.0" customHeight="1"/>
    <row r="838" ht="69.0" customHeight="1"/>
    <row r="839" ht="69.0" customHeight="1"/>
    <row r="840" ht="69.0" customHeight="1"/>
    <row r="841" ht="69.0" customHeight="1"/>
    <row r="842" ht="69.0" customHeight="1"/>
    <row r="843" ht="69.0" customHeight="1"/>
    <row r="844" ht="69.0" customHeight="1"/>
    <row r="845" ht="69.0" customHeight="1"/>
    <row r="846" ht="69.0" customHeight="1"/>
    <row r="847" ht="69.0" customHeight="1"/>
    <row r="848" ht="69.0" customHeight="1"/>
    <row r="849" ht="69.0" customHeight="1"/>
    <row r="850" ht="69.0" customHeight="1"/>
    <row r="851" ht="69.0" customHeight="1"/>
    <row r="852" ht="69.0" customHeight="1"/>
    <row r="853" ht="69.0" customHeight="1"/>
    <row r="854" ht="69.0" customHeight="1"/>
    <row r="855" ht="69.0" customHeight="1"/>
    <row r="856" ht="69.0" customHeight="1"/>
    <row r="857" ht="69.0" customHeight="1"/>
    <row r="858" ht="69.0" customHeight="1"/>
    <row r="859" ht="69.0" customHeight="1"/>
    <row r="860" ht="69.0" customHeight="1"/>
    <row r="861" ht="69.0" customHeight="1"/>
    <row r="862" ht="69.0" customHeight="1"/>
    <row r="863" ht="69.0" customHeight="1"/>
    <row r="864" ht="69.0" customHeight="1"/>
    <row r="865" ht="69.0" customHeight="1"/>
    <row r="866" ht="69.0" customHeight="1"/>
    <row r="867" ht="69.0" customHeight="1"/>
    <row r="868" ht="69.0" customHeight="1"/>
    <row r="869" ht="69.0" customHeight="1"/>
    <row r="870" ht="69.0" customHeight="1"/>
    <row r="871" ht="69.0" customHeight="1"/>
    <row r="872" ht="69.0" customHeight="1"/>
    <row r="873" ht="69.0" customHeight="1"/>
    <row r="874" ht="69.0" customHeight="1"/>
    <row r="875" ht="69.0" customHeight="1"/>
    <row r="876" ht="69.0" customHeight="1"/>
    <row r="877" ht="69.0" customHeight="1"/>
    <row r="878" ht="69.0" customHeight="1"/>
    <row r="879" ht="69.0" customHeight="1"/>
    <row r="880" ht="69.0" customHeight="1"/>
    <row r="881" ht="69.0" customHeight="1"/>
    <row r="882" ht="69.0" customHeight="1"/>
    <row r="883" ht="69.0" customHeight="1"/>
    <row r="884" ht="69.0" customHeight="1"/>
    <row r="885" ht="69.0" customHeight="1"/>
    <row r="886" ht="69.0" customHeight="1"/>
    <row r="887" ht="69.0" customHeight="1"/>
    <row r="888" ht="69.0" customHeight="1"/>
    <row r="889" ht="69.0" customHeight="1"/>
    <row r="890" ht="69.0" customHeight="1"/>
    <row r="891" ht="69.0" customHeight="1"/>
    <row r="892" ht="69.0" customHeight="1"/>
    <row r="893" ht="69.0" customHeight="1"/>
    <row r="894" ht="69.0" customHeight="1"/>
    <row r="895" ht="69.0" customHeight="1"/>
    <row r="896" ht="69.0" customHeight="1"/>
    <row r="897" ht="69.0" customHeight="1"/>
    <row r="898" ht="69.0" customHeight="1"/>
    <row r="899" ht="69.0" customHeight="1"/>
    <row r="900" ht="69.0" customHeight="1"/>
    <row r="901" ht="69.0" customHeight="1"/>
    <row r="902" ht="69.0" customHeight="1"/>
    <row r="903" ht="69.0" customHeight="1"/>
    <row r="904" ht="69.0" customHeight="1"/>
    <row r="905" ht="69.0" customHeight="1"/>
    <row r="906" ht="69.0" customHeight="1"/>
    <row r="907" ht="69.0" customHeight="1"/>
    <row r="908" ht="69.0" customHeight="1"/>
    <row r="909" ht="69.0" customHeight="1"/>
    <row r="910" ht="69.0" customHeight="1"/>
    <row r="911" ht="69.0" customHeight="1"/>
    <row r="912" ht="69.0" customHeight="1"/>
    <row r="913" ht="69.0" customHeight="1"/>
    <row r="914" ht="69.0" customHeight="1"/>
    <row r="915" ht="69.0" customHeight="1"/>
    <row r="916" ht="69.0" customHeight="1"/>
    <row r="917" ht="69.0" customHeight="1"/>
    <row r="918" ht="69.0" customHeight="1"/>
    <row r="919" ht="69.0" customHeight="1"/>
    <row r="920" ht="69.0" customHeight="1"/>
    <row r="921" ht="69.0" customHeight="1"/>
    <row r="922" ht="69.0" customHeight="1"/>
    <row r="923" ht="69.0" customHeight="1"/>
    <row r="924" ht="69.0" customHeight="1"/>
    <row r="925" ht="69.0" customHeight="1"/>
    <row r="926" ht="69.0" customHeight="1"/>
    <row r="927" ht="69.0" customHeight="1"/>
    <row r="928" ht="69.0" customHeight="1"/>
    <row r="929" ht="69.0" customHeight="1"/>
    <row r="930" ht="69.0" customHeight="1"/>
    <row r="931" ht="69.0" customHeight="1"/>
    <row r="932" ht="69.0" customHeight="1"/>
    <row r="933" ht="69.0" customHeight="1"/>
    <row r="934" ht="69.0" customHeight="1"/>
    <row r="935" ht="69.0" customHeight="1"/>
    <row r="936" ht="69.0" customHeight="1"/>
    <row r="937" ht="69.0" customHeight="1"/>
    <row r="938" ht="69.0" customHeight="1"/>
    <row r="939" ht="69.0" customHeight="1"/>
    <row r="940" ht="69.0" customHeight="1"/>
    <row r="941" ht="69.0" customHeight="1"/>
    <row r="942" ht="69.0" customHeight="1"/>
    <row r="943" ht="69.0" customHeight="1"/>
    <row r="944" ht="69.0" customHeight="1"/>
    <row r="945" ht="69.0" customHeight="1"/>
    <row r="946" ht="69.0" customHeight="1"/>
    <row r="947" ht="69.0" customHeight="1"/>
    <row r="948" ht="69.0" customHeight="1"/>
    <row r="949" ht="69.0" customHeight="1"/>
    <row r="950" ht="69.0" customHeight="1"/>
    <row r="951" ht="69.0" customHeight="1"/>
    <row r="952" ht="69.0" customHeight="1"/>
    <row r="953" ht="69.0" customHeight="1"/>
    <row r="954" ht="69.0" customHeight="1"/>
    <row r="955" ht="69.0" customHeight="1"/>
    <row r="956" ht="69.0" customHeight="1"/>
    <row r="957" ht="69.0" customHeight="1"/>
    <row r="958" ht="69.0" customHeight="1"/>
    <row r="959" ht="69.0" customHeight="1"/>
    <row r="960" ht="69.0" customHeight="1"/>
    <row r="961" ht="69.0" customHeight="1"/>
    <row r="962" ht="69.0" customHeight="1"/>
    <row r="963" ht="69.0" customHeight="1"/>
    <row r="964" ht="69.0" customHeight="1"/>
    <row r="965" ht="69.0" customHeight="1"/>
    <row r="966" ht="69.0" customHeight="1"/>
    <row r="967" ht="69.0" customHeight="1"/>
    <row r="968" ht="69.0" customHeight="1"/>
    <row r="969" ht="69.0" customHeight="1"/>
    <row r="970" ht="69.0" customHeight="1"/>
    <row r="971" ht="69.0" customHeight="1"/>
    <row r="972" ht="69.0" customHeight="1"/>
    <row r="973" ht="69.0" customHeight="1"/>
    <row r="974" ht="69.0" customHeight="1"/>
    <row r="975" ht="69.0" customHeight="1"/>
    <row r="976" ht="69.0" customHeight="1"/>
    <row r="977" ht="69.0" customHeight="1"/>
    <row r="978" ht="69.0" customHeight="1"/>
    <row r="979" ht="69.0" customHeight="1"/>
    <row r="980" ht="69.0" customHeight="1"/>
    <row r="981" ht="69.0" customHeight="1"/>
    <row r="982" ht="69.0" customHeight="1"/>
    <row r="983" ht="69.0" customHeight="1"/>
    <row r="984" ht="69.0" customHeight="1"/>
    <row r="985" ht="69.0" customHeight="1"/>
    <row r="986" ht="69.0" customHeight="1"/>
    <row r="987" ht="69.0" customHeight="1"/>
    <row r="988" ht="69.0" customHeight="1"/>
    <row r="989" ht="69.0" customHeight="1"/>
    <row r="990" ht="69.0" customHeight="1"/>
    <row r="991" ht="69.0" customHeight="1"/>
    <row r="992" ht="69.0" customHeight="1"/>
    <row r="993" ht="69.0" customHeight="1"/>
    <row r="994" ht="69.0" customHeight="1"/>
    <row r="995" ht="69.0" customHeight="1"/>
    <row r="996" ht="69.0" customHeight="1"/>
    <row r="997" ht="69.0" customHeight="1"/>
    <row r="998" ht="69.0" customHeight="1"/>
    <row r="999" ht="69.0" customHeight="1"/>
    <row r="1000" ht="69.0" customHeight="1"/>
  </sheetData>
  <mergeCells count="51">
    <mergeCell ref="A11:A12"/>
    <mergeCell ref="B11:B12"/>
    <mergeCell ref="F11:F12"/>
    <mergeCell ref="G11:G12"/>
    <mergeCell ref="K11:K12"/>
    <mergeCell ref="L11:L12"/>
    <mergeCell ref="P11:P12"/>
    <mergeCell ref="Q11:Q12"/>
    <mergeCell ref="A13:Q13"/>
    <mergeCell ref="A20:B20"/>
    <mergeCell ref="A21:B21"/>
    <mergeCell ref="A22:Q22"/>
    <mergeCell ref="A23:E23"/>
    <mergeCell ref="I23:Q24"/>
    <mergeCell ref="A1:J1"/>
    <mergeCell ref="K1:Q1"/>
    <mergeCell ref="E2:G2"/>
    <mergeCell ref="I2:J2"/>
    <mergeCell ref="K2:L2"/>
    <mergeCell ref="N2:O2"/>
    <mergeCell ref="P2:Q2"/>
    <mergeCell ref="A2:D2"/>
    <mergeCell ref="A3:D3"/>
    <mergeCell ref="E3:G3"/>
    <mergeCell ref="I3:J3"/>
    <mergeCell ref="K3:L3"/>
    <mergeCell ref="N3:O3"/>
    <mergeCell ref="P3:Q3"/>
    <mergeCell ref="H5:J5"/>
    <mergeCell ref="L5:N5"/>
    <mergeCell ref="A4:H4"/>
    <mergeCell ref="I4:J4"/>
    <mergeCell ref="K4:L4"/>
    <mergeCell ref="N4:O4"/>
    <mergeCell ref="P4:Q4"/>
    <mergeCell ref="A5:A6"/>
    <mergeCell ref="D5:F5"/>
    <mergeCell ref="L6:N6"/>
    <mergeCell ref="C10:L10"/>
    <mergeCell ref="M10:Q10"/>
    <mergeCell ref="D6:F6"/>
    <mergeCell ref="H6:J6"/>
    <mergeCell ref="A7:B8"/>
    <mergeCell ref="H7:J8"/>
    <mergeCell ref="P7:Q8"/>
    <mergeCell ref="A9:Q9"/>
    <mergeCell ref="A10:B10"/>
    <mergeCell ref="A24:E24"/>
    <mergeCell ref="A25:H25"/>
    <mergeCell ref="I25:Q25"/>
    <mergeCell ref="I26:Q26"/>
  </mergeCells>
  <dataValidations>
    <dataValidation type="list" allowBlank="1" showErrorMessage="1" sqref="G14:H19 L14:M19 Q14:Q19">
      <formula1>$A$20:$A$21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3.0"/>
    <col customWidth="1" min="3" max="3" width="52.86"/>
    <col customWidth="1" min="4" max="26" width="10.71"/>
  </cols>
  <sheetData>
    <row r="1">
      <c r="A1" s="206" t="s">
        <v>196</v>
      </c>
      <c r="B1" s="31"/>
      <c r="C1" s="34"/>
    </row>
    <row r="2">
      <c r="A2" s="207" t="s">
        <v>197</v>
      </c>
      <c r="B2" s="31"/>
      <c r="C2" s="34"/>
    </row>
    <row r="3">
      <c r="A3" s="208">
        <v>3.0</v>
      </c>
    </row>
    <row r="4">
      <c r="A4" s="209" t="s">
        <v>198</v>
      </c>
      <c r="B4" s="31"/>
      <c r="C4" s="34"/>
    </row>
    <row r="5">
      <c r="A5" s="210" t="s">
        <v>199</v>
      </c>
    </row>
    <row r="6">
      <c r="A6" s="211" t="s">
        <v>200</v>
      </c>
      <c r="C6" s="211" t="s">
        <v>201</v>
      </c>
    </row>
    <row r="7">
      <c r="A7" s="212" t="s">
        <v>202</v>
      </c>
      <c r="C7" s="212" t="s">
        <v>203</v>
      </c>
    </row>
    <row r="8">
      <c r="A8" s="213"/>
      <c r="C8" s="213"/>
    </row>
    <row r="9">
      <c r="A9" s="213"/>
      <c r="C9" s="213"/>
    </row>
    <row r="10">
      <c r="A10" s="213"/>
      <c r="C10" s="213"/>
    </row>
    <row r="11">
      <c r="A11" s="213"/>
      <c r="C11" s="213"/>
    </row>
    <row r="12">
      <c r="A12" s="213"/>
      <c r="C12" s="213"/>
    </row>
    <row r="13">
      <c r="A13" s="213"/>
      <c r="C13" s="213"/>
    </row>
    <row r="14">
      <c r="A14" s="213"/>
      <c r="C14" s="213"/>
    </row>
    <row r="15">
      <c r="A15" s="213"/>
      <c r="C15" s="213"/>
    </row>
    <row r="16">
      <c r="A16" s="213"/>
      <c r="C16" s="213"/>
    </row>
    <row r="17">
      <c r="A17" s="213"/>
      <c r="C17" s="213"/>
    </row>
    <row r="18">
      <c r="A18" s="213"/>
      <c r="C18" s="213"/>
    </row>
    <row r="19">
      <c r="A19" s="213"/>
      <c r="C19" s="213"/>
    </row>
    <row r="20">
      <c r="A20" s="213"/>
      <c r="C20" s="213"/>
    </row>
    <row r="21" ht="15.75" customHeight="1">
      <c r="A21" s="213"/>
      <c r="C21" s="213"/>
    </row>
    <row r="22" ht="15.75" customHeight="1">
      <c r="A22" s="213"/>
      <c r="C22" s="213"/>
    </row>
    <row r="23" ht="15.75" customHeight="1">
      <c r="A23" s="213"/>
      <c r="C23" s="213"/>
    </row>
    <row r="24" ht="15.75" customHeight="1">
      <c r="A24" s="214"/>
      <c r="C24" s="214"/>
    </row>
    <row r="25" ht="15.75" customHeight="1">
      <c r="A25" s="215" t="s">
        <v>204</v>
      </c>
      <c r="C25" s="215" t="s">
        <v>205</v>
      </c>
    </row>
    <row r="26" ht="15.75" customHeight="1">
      <c r="A26" s="213"/>
      <c r="C26" s="213"/>
    </row>
    <row r="27" ht="15.75" customHeight="1">
      <c r="A27" s="213"/>
      <c r="C27" s="213"/>
    </row>
    <row r="28" ht="15.75" customHeight="1">
      <c r="A28" s="214"/>
      <c r="C28" s="214"/>
    </row>
    <row r="29" ht="15.75" customHeight="1"/>
    <row r="30" ht="15.75" customHeight="1">
      <c r="A30" s="212" t="s">
        <v>206</v>
      </c>
      <c r="C30" s="212" t="s">
        <v>207</v>
      </c>
    </row>
    <row r="31" ht="15.75" customHeight="1">
      <c r="A31" s="213"/>
      <c r="C31" s="213"/>
    </row>
    <row r="32" ht="15.75" customHeight="1">
      <c r="A32" s="213"/>
      <c r="C32" s="213"/>
    </row>
    <row r="33" ht="15.75" customHeight="1">
      <c r="A33" s="213"/>
      <c r="C33" s="213"/>
    </row>
    <row r="34" ht="15.75" customHeight="1">
      <c r="A34" s="213"/>
      <c r="C34" s="213"/>
    </row>
    <row r="35" ht="15.75" customHeight="1">
      <c r="A35" s="213"/>
      <c r="C35" s="213"/>
    </row>
    <row r="36" ht="15.75" customHeight="1">
      <c r="A36" s="213"/>
      <c r="C36" s="213"/>
    </row>
    <row r="37" ht="15.75" customHeight="1">
      <c r="A37" s="213"/>
      <c r="C37" s="213"/>
    </row>
    <row r="38" ht="15.75" customHeight="1">
      <c r="A38" s="213"/>
      <c r="C38" s="213"/>
    </row>
    <row r="39" ht="15.75" customHeight="1">
      <c r="A39" s="213"/>
      <c r="C39" s="213"/>
    </row>
    <row r="40" ht="15.75" customHeight="1">
      <c r="A40" s="213"/>
      <c r="C40" s="213"/>
    </row>
    <row r="41" ht="15.75" customHeight="1">
      <c r="A41" s="213"/>
      <c r="C41" s="213"/>
    </row>
    <row r="42" ht="15.75" customHeight="1">
      <c r="A42" s="213"/>
      <c r="C42" s="213"/>
    </row>
    <row r="43" ht="15.75" customHeight="1">
      <c r="A43" s="213"/>
      <c r="C43" s="213"/>
    </row>
    <row r="44" ht="15.75" customHeight="1">
      <c r="A44" s="213"/>
      <c r="C44" s="213"/>
    </row>
    <row r="45" ht="15.75" customHeight="1">
      <c r="A45" s="213"/>
      <c r="C45" s="213"/>
    </row>
    <row r="46" ht="15.75" customHeight="1">
      <c r="A46" s="213"/>
      <c r="C46" s="213"/>
    </row>
    <row r="47" ht="15.75" customHeight="1">
      <c r="A47" s="214"/>
      <c r="C47" s="214"/>
    </row>
    <row r="48" ht="15.75" customHeight="1">
      <c r="A48" s="215" t="s">
        <v>208</v>
      </c>
      <c r="C48" s="215" t="s">
        <v>209</v>
      </c>
    </row>
    <row r="49" ht="15.75" customHeight="1">
      <c r="A49" s="213"/>
      <c r="C49" s="213"/>
    </row>
    <row r="50" ht="15.75" customHeight="1">
      <c r="A50" s="213"/>
      <c r="C50" s="213"/>
    </row>
    <row r="51" ht="15.75" customHeight="1">
      <c r="A51" s="214"/>
      <c r="C51" s="214"/>
    </row>
    <row r="52" ht="15.75" customHeight="1"/>
    <row r="53" ht="15.75" customHeight="1">
      <c r="A53" s="212" t="s">
        <v>210</v>
      </c>
      <c r="C53" s="212" t="s">
        <v>211</v>
      </c>
    </row>
    <row r="54" ht="15.75" customHeight="1">
      <c r="A54" s="213"/>
      <c r="C54" s="213"/>
    </row>
    <row r="55" ht="15.75" customHeight="1">
      <c r="A55" s="213"/>
      <c r="C55" s="213"/>
    </row>
    <row r="56" ht="15.75" customHeight="1">
      <c r="A56" s="213"/>
      <c r="C56" s="213"/>
    </row>
    <row r="57" ht="15.75" customHeight="1">
      <c r="A57" s="213"/>
      <c r="C57" s="213"/>
    </row>
    <row r="58" ht="15.75" customHeight="1">
      <c r="A58" s="213"/>
      <c r="C58" s="213"/>
    </row>
    <row r="59" ht="15.75" customHeight="1">
      <c r="A59" s="213"/>
      <c r="C59" s="213"/>
    </row>
    <row r="60" ht="15.75" customHeight="1">
      <c r="A60" s="213"/>
      <c r="C60" s="213"/>
    </row>
    <row r="61" ht="15.75" customHeight="1">
      <c r="A61" s="213"/>
      <c r="C61" s="213"/>
    </row>
    <row r="62" ht="15.75" customHeight="1">
      <c r="A62" s="213"/>
      <c r="C62" s="213"/>
    </row>
    <row r="63" ht="15.75" customHeight="1">
      <c r="A63" s="213"/>
      <c r="C63" s="213"/>
    </row>
    <row r="64" ht="15.75" customHeight="1">
      <c r="A64" s="213"/>
      <c r="C64" s="213"/>
    </row>
    <row r="65" ht="15.75" customHeight="1">
      <c r="A65" s="213"/>
      <c r="C65" s="213"/>
    </row>
    <row r="66" ht="15.75" customHeight="1">
      <c r="A66" s="213"/>
      <c r="C66" s="213"/>
    </row>
    <row r="67" ht="15.75" customHeight="1">
      <c r="A67" s="213"/>
      <c r="C67" s="213"/>
    </row>
    <row r="68" ht="15.75" customHeight="1">
      <c r="A68" s="213"/>
      <c r="C68" s="213"/>
    </row>
    <row r="69" ht="15.75" customHeight="1">
      <c r="A69" s="213"/>
      <c r="C69" s="213"/>
    </row>
    <row r="70" ht="15.75" customHeight="1">
      <c r="A70" s="214"/>
      <c r="C70" s="214"/>
    </row>
    <row r="71" ht="15.75" customHeight="1">
      <c r="A71" s="215" t="s">
        <v>212</v>
      </c>
      <c r="C71" s="215" t="s">
        <v>213</v>
      </c>
    </row>
    <row r="72" ht="15.75" customHeight="1">
      <c r="A72" s="213"/>
      <c r="C72" s="213"/>
    </row>
    <row r="73" ht="15.75" customHeight="1">
      <c r="A73" s="213"/>
      <c r="C73" s="213"/>
    </row>
    <row r="74" ht="15.75" customHeight="1">
      <c r="A74" s="214"/>
      <c r="C74" s="214"/>
    </row>
    <row r="75" ht="15.75" customHeight="1"/>
    <row r="76" ht="15.75" customHeight="1">
      <c r="A76" s="212" t="s">
        <v>214</v>
      </c>
      <c r="C76" s="212" t="s">
        <v>215</v>
      </c>
    </row>
    <row r="77" ht="15.75" customHeight="1">
      <c r="A77" s="213"/>
      <c r="C77" s="213"/>
    </row>
    <row r="78" ht="15.75" customHeight="1">
      <c r="A78" s="213"/>
      <c r="C78" s="213"/>
    </row>
    <row r="79" ht="15.75" customHeight="1">
      <c r="A79" s="213"/>
      <c r="C79" s="213"/>
    </row>
    <row r="80" ht="15.75" customHeight="1">
      <c r="A80" s="213"/>
      <c r="C80" s="213"/>
    </row>
    <row r="81" ht="15.75" customHeight="1">
      <c r="A81" s="213"/>
      <c r="C81" s="213"/>
    </row>
    <row r="82" ht="15.75" customHeight="1">
      <c r="A82" s="213"/>
      <c r="C82" s="213"/>
    </row>
    <row r="83" ht="15.75" customHeight="1">
      <c r="A83" s="213"/>
      <c r="C83" s="213"/>
    </row>
    <row r="84" ht="15.75" customHeight="1">
      <c r="A84" s="213"/>
      <c r="C84" s="213"/>
    </row>
    <row r="85" ht="15.75" customHeight="1">
      <c r="A85" s="213"/>
      <c r="C85" s="213"/>
    </row>
    <row r="86" ht="15.75" customHeight="1">
      <c r="A86" s="213"/>
      <c r="C86" s="213"/>
    </row>
    <row r="87" ht="15.75" customHeight="1">
      <c r="A87" s="213"/>
      <c r="C87" s="213"/>
    </row>
    <row r="88" ht="15.75" customHeight="1">
      <c r="A88" s="213"/>
      <c r="C88" s="213"/>
    </row>
    <row r="89" ht="15.75" customHeight="1">
      <c r="A89" s="213"/>
      <c r="C89" s="213"/>
    </row>
    <row r="90" ht="15.75" customHeight="1">
      <c r="A90" s="213"/>
      <c r="C90" s="213"/>
    </row>
    <row r="91" ht="15.75" customHeight="1">
      <c r="A91" s="213"/>
      <c r="C91" s="213"/>
    </row>
    <row r="92" ht="15.75" customHeight="1">
      <c r="A92" s="213"/>
      <c r="C92" s="213"/>
    </row>
    <row r="93" ht="15.75" customHeight="1">
      <c r="A93" s="214"/>
      <c r="C93" s="214"/>
    </row>
    <row r="94" ht="15.75" customHeight="1">
      <c r="A94" s="215" t="s">
        <v>216</v>
      </c>
      <c r="C94" s="215" t="s">
        <v>217</v>
      </c>
    </row>
    <row r="95" ht="15.75" customHeight="1">
      <c r="A95" s="213"/>
      <c r="C95" s="213"/>
    </row>
    <row r="96" ht="15.75" customHeight="1">
      <c r="A96" s="213"/>
      <c r="C96" s="213"/>
    </row>
    <row r="97" ht="15.75" customHeight="1">
      <c r="A97" s="214"/>
      <c r="C97" s="214"/>
    </row>
    <row r="98" ht="15.75" customHeight="1"/>
    <row r="99" ht="15.75" customHeight="1">
      <c r="A99" s="212" t="s">
        <v>218</v>
      </c>
      <c r="C99" s="212" t="s">
        <v>219</v>
      </c>
    </row>
    <row r="100" ht="15.75" customHeight="1">
      <c r="A100" s="213"/>
      <c r="C100" s="213"/>
    </row>
    <row r="101" ht="15.75" customHeight="1">
      <c r="A101" s="213"/>
      <c r="C101" s="213"/>
    </row>
    <row r="102" ht="15.75" customHeight="1">
      <c r="A102" s="213"/>
      <c r="C102" s="213"/>
    </row>
    <row r="103" ht="15.75" customHeight="1">
      <c r="A103" s="213"/>
      <c r="C103" s="213"/>
    </row>
    <row r="104" ht="15.75" customHeight="1">
      <c r="A104" s="213"/>
      <c r="C104" s="213"/>
    </row>
    <row r="105" ht="15.75" customHeight="1">
      <c r="A105" s="213"/>
      <c r="C105" s="213"/>
    </row>
    <row r="106" ht="15.75" customHeight="1">
      <c r="A106" s="213"/>
      <c r="C106" s="213"/>
    </row>
    <row r="107" ht="15.75" customHeight="1">
      <c r="A107" s="213"/>
      <c r="C107" s="213"/>
    </row>
    <row r="108" ht="15.75" customHeight="1">
      <c r="A108" s="213"/>
      <c r="C108" s="213"/>
    </row>
    <row r="109" ht="15.75" customHeight="1">
      <c r="A109" s="213"/>
      <c r="C109" s="213"/>
    </row>
    <row r="110" ht="15.75" customHeight="1">
      <c r="A110" s="213"/>
      <c r="C110" s="213"/>
    </row>
    <row r="111" ht="15.75" customHeight="1">
      <c r="A111" s="213"/>
      <c r="C111" s="213"/>
    </row>
    <row r="112" ht="15.75" customHeight="1">
      <c r="A112" s="213"/>
      <c r="C112" s="213"/>
    </row>
    <row r="113" ht="15.75" customHeight="1">
      <c r="A113" s="213"/>
      <c r="C113" s="213"/>
    </row>
    <row r="114" ht="15.75" customHeight="1">
      <c r="A114" s="213"/>
      <c r="C114" s="213"/>
    </row>
    <row r="115" ht="15.75" customHeight="1">
      <c r="A115" s="213"/>
      <c r="C115" s="213"/>
    </row>
    <row r="116" ht="15.75" customHeight="1">
      <c r="A116" s="214"/>
      <c r="C116" s="214"/>
    </row>
    <row r="117" ht="15.75" customHeight="1">
      <c r="A117" s="215" t="s">
        <v>220</v>
      </c>
      <c r="C117" s="215" t="s">
        <v>221</v>
      </c>
    </row>
    <row r="118" ht="15.75" customHeight="1">
      <c r="A118" s="213"/>
      <c r="C118" s="213"/>
    </row>
    <row r="119" ht="15.75" customHeight="1">
      <c r="A119" s="213"/>
      <c r="C119" s="213"/>
    </row>
    <row r="120" ht="15.75" customHeight="1">
      <c r="A120" s="214"/>
      <c r="C120" s="214"/>
    </row>
    <row r="121" ht="15.75" customHeight="1"/>
    <row r="122" ht="15.75" customHeight="1">
      <c r="A122" s="212" t="s">
        <v>222</v>
      </c>
      <c r="C122" s="212" t="s">
        <v>223</v>
      </c>
    </row>
    <row r="123" ht="15.75" customHeight="1">
      <c r="A123" s="213"/>
      <c r="C123" s="213"/>
    </row>
    <row r="124" ht="15.75" customHeight="1">
      <c r="A124" s="213"/>
      <c r="C124" s="213"/>
    </row>
    <row r="125" ht="15.75" customHeight="1">
      <c r="A125" s="213"/>
      <c r="C125" s="213"/>
    </row>
    <row r="126" ht="15.75" customHeight="1">
      <c r="A126" s="213"/>
      <c r="C126" s="213"/>
    </row>
    <row r="127" ht="15.75" customHeight="1">
      <c r="A127" s="213"/>
      <c r="C127" s="213"/>
    </row>
    <row r="128" ht="15.75" customHeight="1">
      <c r="A128" s="213"/>
      <c r="C128" s="213"/>
    </row>
    <row r="129" ht="15.75" customHeight="1">
      <c r="A129" s="213"/>
      <c r="C129" s="213"/>
    </row>
    <row r="130" ht="15.75" customHeight="1">
      <c r="A130" s="213"/>
      <c r="C130" s="213"/>
    </row>
    <row r="131" ht="15.75" customHeight="1">
      <c r="A131" s="213"/>
      <c r="C131" s="213"/>
    </row>
    <row r="132" ht="15.75" customHeight="1">
      <c r="A132" s="213"/>
      <c r="C132" s="213"/>
    </row>
    <row r="133" ht="15.75" customHeight="1">
      <c r="A133" s="213"/>
      <c r="C133" s="213"/>
    </row>
    <row r="134" ht="15.75" customHeight="1">
      <c r="A134" s="213"/>
      <c r="C134" s="213"/>
    </row>
    <row r="135" ht="15.75" customHeight="1">
      <c r="A135" s="213"/>
      <c r="C135" s="213"/>
    </row>
    <row r="136" ht="15.75" customHeight="1">
      <c r="A136" s="213"/>
      <c r="C136" s="213"/>
    </row>
    <row r="137" ht="15.75" customHeight="1">
      <c r="A137" s="213"/>
      <c r="C137" s="213"/>
    </row>
    <row r="138" ht="15.75" customHeight="1">
      <c r="A138" s="213"/>
      <c r="C138" s="213"/>
    </row>
    <row r="139" ht="15.75" customHeight="1">
      <c r="A139" s="214"/>
      <c r="C139" s="214"/>
    </row>
    <row r="140" ht="15.75" customHeight="1">
      <c r="A140" s="215" t="s">
        <v>224</v>
      </c>
      <c r="C140" s="215" t="s">
        <v>225</v>
      </c>
    </row>
    <row r="141" ht="15.75" customHeight="1">
      <c r="A141" s="213"/>
      <c r="C141" s="213"/>
    </row>
    <row r="142" ht="15.75" customHeight="1">
      <c r="A142" s="213"/>
      <c r="C142" s="213"/>
    </row>
    <row r="143" ht="15.75" customHeight="1">
      <c r="A143" s="214"/>
      <c r="C143" s="214"/>
    </row>
    <row r="144" ht="15.75" customHeight="1"/>
    <row r="145" ht="15.75" customHeight="1"/>
    <row r="146" ht="15.75" customHeight="1">
      <c r="A146" s="216" t="s">
        <v>226</v>
      </c>
      <c r="B146" s="217"/>
      <c r="C146" s="217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1:C1"/>
    <mergeCell ref="A2:C2"/>
    <mergeCell ref="A4:C4"/>
    <mergeCell ref="A5:C5"/>
    <mergeCell ref="A7:A24"/>
    <mergeCell ref="C7:C24"/>
    <mergeCell ref="C25:C28"/>
    <mergeCell ref="C53:C70"/>
    <mergeCell ref="C71:C74"/>
    <mergeCell ref="A25:A28"/>
    <mergeCell ref="A30:A47"/>
    <mergeCell ref="C30:C47"/>
    <mergeCell ref="A48:A51"/>
    <mergeCell ref="C48:C51"/>
    <mergeCell ref="A53:A70"/>
    <mergeCell ref="A71:A74"/>
    <mergeCell ref="A117:A120"/>
    <mergeCell ref="A122:A139"/>
    <mergeCell ref="C122:C139"/>
    <mergeCell ref="A140:A143"/>
    <mergeCell ref="C140:C143"/>
    <mergeCell ref="A146:C146"/>
    <mergeCell ref="A76:A93"/>
    <mergeCell ref="C76:C93"/>
    <mergeCell ref="A94:A97"/>
    <mergeCell ref="C94:C97"/>
    <mergeCell ref="A99:A116"/>
    <mergeCell ref="C99:C116"/>
    <mergeCell ref="C117:C12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3.0"/>
    <col customWidth="1" min="3" max="3" width="52.86"/>
    <col customWidth="1" min="4" max="26" width="10.71"/>
  </cols>
  <sheetData>
    <row r="1">
      <c r="A1" s="206" t="s">
        <v>196</v>
      </c>
      <c r="B1" s="31"/>
      <c r="C1" s="34"/>
    </row>
    <row r="2">
      <c r="A2" s="207" t="s">
        <v>227</v>
      </c>
      <c r="B2" s="31"/>
      <c r="C2" s="34"/>
    </row>
    <row r="4">
      <c r="A4" s="209" t="s">
        <v>198</v>
      </c>
      <c r="B4" s="31"/>
      <c r="C4" s="34"/>
    </row>
    <row r="5">
      <c r="A5" s="210" t="s">
        <v>199</v>
      </c>
    </row>
    <row r="6">
      <c r="A6" s="211" t="s">
        <v>200</v>
      </c>
      <c r="C6" s="211" t="s">
        <v>201</v>
      </c>
    </row>
    <row r="7">
      <c r="A7" s="212" t="s">
        <v>202</v>
      </c>
      <c r="C7" s="212" t="s">
        <v>203</v>
      </c>
    </row>
    <row r="8">
      <c r="A8" s="213"/>
      <c r="C8" s="213"/>
    </row>
    <row r="9">
      <c r="A9" s="213"/>
      <c r="C9" s="213"/>
    </row>
    <row r="10">
      <c r="A10" s="213"/>
      <c r="C10" s="213"/>
    </row>
    <row r="11">
      <c r="A11" s="213"/>
      <c r="C11" s="213"/>
    </row>
    <row r="12">
      <c r="A12" s="213"/>
      <c r="C12" s="213"/>
    </row>
    <row r="13">
      <c r="A13" s="213"/>
      <c r="C13" s="213"/>
    </row>
    <row r="14">
      <c r="A14" s="213"/>
      <c r="C14" s="213"/>
    </row>
    <row r="15">
      <c r="A15" s="213"/>
      <c r="C15" s="213"/>
    </row>
    <row r="16">
      <c r="A16" s="213"/>
      <c r="C16" s="213"/>
    </row>
    <row r="17">
      <c r="A17" s="213"/>
      <c r="C17" s="213"/>
    </row>
    <row r="18">
      <c r="A18" s="213"/>
      <c r="C18" s="213"/>
    </row>
    <row r="19">
      <c r="A19" s="213"/>
      <c r="C19" s="213"/>
    </row>
    <row r="20">
      <c r="A20" s="213"/>
      <c r="C20" s="213"/>
    </row>
    <row r="21" ht="15.75" customHeight="1">
      <c r="A21" s="213"/>
      <c r="C21" s="213"/>
    </row>
    <row r="22" ht="15.75" customHeight="1">
      <c r="A22" s="213"/>
      <c r="C22" s="213"/>
    </row>
    <row r="23" ht="15.75" customHeight="1">
      <c r="A23" s="213"/>
      <c r="C23" s="213"/>
    </row>
    <row r="24" ht="15.75" customHeight="1">
      <c r="A24" s="214"/>
      <c r="C24" s="214"/>
    </row>
    <row r="25" ht="15.75" customHeight="1">
      <c r="A25" s="215" t="s">
        <v>204</v>
      </c>
      <c r="C25" s="215" t="s">
        <v>205</v>
      </c>
    </row>
    <row r="26" ht="15.75" customHeight="1">
      <c r="A26" s="213"/>
      <c r="C26" s="213"/>
    </row>
    <row r="27" ht="15.75" customHeight="1">
      <c r="A27" s="213"/>
      <c r="C27" s="213"/>
    </row>
    <row r="28" ht="15.75" customHeight="1">
      <c r="A28" s="214"/>
      <c r="C28" s="214"/>
    </row>
    <row r="29" ht="15.75" customHeight="1"/>
    <row r="30" ht="15.75" customHeight="1">
      <c r="A30" s="212" t="s">
        <v>206</v>
      </c>
      <c r="C30" s="212" t="s">
        <v>207</v>
      </c>
    </row>
    <row r="31" ht="15.75" customHeight="1">
      <c r="A31" s="213"/>
      <c r="C31" s="213"/>
    </row>
    <row r="32" ht="15.75" customHeight="1">
      <c r="A32" s="213"/>
      <c r="C32" s="213"/>
    </row>
    <row r="33" ht="15.75" customHeight="1">
      <c r="A33" s="213"/>
      <c r="C33" s="213"/>
    </row>
    <row r="34" ht="15.75" customHeight="1">
      <c r="A34" s="213"/>
      <c r="C34" s="213"/>
    </row>
    <row r="35" ht="15.75" customHeight="1">
      <c r="A35" s="213"/>
      <c r="C35" s="213"/>
    </row>
    <row r="36" ht="15.75" customHeight="1">
      <c r="A36" s="213"/>
      <c r="C36" s="213"/>
    </row>
    <row r="37" ht="15.75" customHeight="1">
      <c r="A37" s="213"/>
      <c r="C37" s="213"/>
    </row>
    <row r="38" ht="15.75" customHeight="1">
      <c r="A38" s="213"/>
      <c r="C38" s="213"/>
    </row>
    <row r="39" ht="15.75" customHeight="1">
      <c r="A39" s="213"/>
      <c r="C39" s="213"/>
    </row>
    <row r="40" ht="15.75" customHeight="1">
      <c r="A40" s="213"/>
      <c r="C40" s="213"/>
    </row>
    <row r="41" ht="15.75" customHeight="1">
      <c r="A41" s="213"/>
      <c r="C41" s="213"/>
    </row>
    <row r="42" ht="15.75" customHeight="1">
      <c r="A42" s="213"/>
      <c r="C42" s="213"/>
    </row>
    <row r="43" ht="15.75" customHeight="1">
      <c r="A43" s="213"/>
      <c r="C43" s="213"/>
    </row>
    <row r="44" ht="15.75" customHeight="1">
      <c r="A44" s="213"/>
      <c r="C44" s="213"/>
    </row>
    <row r="45" ht="15.75" customHeight="1">
      <c r="A45" s="213"/>
      <c r="C45" s="213"/>
    </row>
    <row r="46" ht="15.75" customHeight="1">
      <c r="A46" s="213"/>
      <c r="C46" s="213"/>
    </row>
    <row r="47" ht="15.75" customHeight="1">
      <c r="A47" s="214"/>
      <c r="C47" s="214"/>
    </row>
    <row r="48" ht="15.75" customHeight="1">
      <c r="A48" s="215" t="s">
        <v>208</v>
      </c>
      <c r="C48" s="215" t="s">
        <v>209</v>
      </c>
    </row>
    <row r="49" ht="15.75" customHeight="1">
      <c r="A49" s="213"/>
      <c r="C49" s="213"/>
    </row>
    <row r="50" ht="15.75" customHeight="1">
      <c r="A50" s="213"/>
      <c r="C50" s="213"/>
    </row>
    <row r="51" ht="15.75" customHeight="1">
      <c r="A51" s="214"/>
      <c r="C51" s="214"/>
    </row>
    <row r="52" ht="15.75" customHeight="1"/>
    <row r="53" ht="15.75" customHeight="1">
      <c r="A53" s="212" t="s">
        <v>210</v>
      </c>
      <c r="C53" s="212" t="s">
        <v>211</v>
      </c>
    </row>
    <row r="54" ht="15.75" customHeight="1">
      <c r="A54" s="213"/>
      <c r="C54" s="213"/>
    </row>
    <row r="55" ht="15.75" customHeight="1">
      <c r="A55" s="213"/>
      <c r="C55" s="213"/>
    </row>
    <row r="56" ht="15.75" customHeight="1">
      <c r="A56" s="213"/>
      <c r="C56" s="213"/>
    </row>
    <row r="57" ht="15.75" customHeight="1">
      <c r="A57" s="213"/>
      <c r="C57" s="213"/>
    </row>
    <row r="58" ht="15.75" customHeight="1">
      <c r="A58" s="213"/>
      <c r="C58" s="213"/>
    </row>
    <row r="59" ht="15.75" customHeight="1">
      <c r="A59" s="213"/>
      <c r="C59" s="213"/>
    </row>
    <row r="60" ht="15.75" customHeight="1">
      <c r="A60" s="213"/>
      <c r="C60" s="213"/>
    </row>
    <row r="61" ht="15.75" customHeight="1">
      <c r="A61" s="213"/>
      <c r="C61" s="213"/>
    </row>
    <row r="62" ht="15.75" customHeight="1">
      <c r="A62" s="213"/>
      <c r="C62" s="213"/>
    </row>
    <row r="63" ht="15.75" customHeight="1">
      <c r="A63" s="213"/>
      <c r="C63" s="213"/>
    </row>
    <row r="64" ht="15.75" customHeight="1">
      <c r="A64" s="213"/>
      <c r="C64" s="213"/>
    </row>
    <row r="65" ht="15.75" customHeight="1">
      <c r="A65" s="213"/>
      <c r="C65" s="213"/>
    </row>
    <row r="66" ht="15.75" customHeight="1">
      <c r="A66" s="213"/>
      <c r="C66" s="213"/>
    </row>
    <row r="67" ht="15.75" customHeight="1">
      <c r="A67" s="213"/>
      <c r="C67" s="213"/>
    </row>
    <row r="68" ht="15.75" customHeight="1">
      <c r="A68" s="213"/>
      <c r="C68" s="213"/>
    </row>
    <row r="69" ht="15.75" customHeight="1">
      <c r="A69" s="213"/>
      <c r="C69" s="213"/>
    </row>
    <row r="70" ht="15.75" customHeight="1">
      <c r="A70" s="214"/>
      <c r="C70" s="214"/>
    </row>
    <row r="71" ht="15.75" customHeight="1">
      <c r="A71" s="215" t="s">
        <v>212</v>
      </c>
      <c r="C71" s="215" t="s">
        <v>213</v>
      </c>
    </row>
    <row r="72" ht="15.75" customHeight="1">
      <c r="A72" s="213"/>
      <c r="C72" s="213"/>
    </row>
    <row r="73" ht="15.75" customHeight="1">
      <c r="A73" s="213"/>
      <c r="C73" s="213"/>
    </row>
    <row r="74" ht="15.75" customHeight="1">
      <c r="A74" s="214"/>
      <c r="C74" s="214"/>
    </row>
    <row r="75" ht="15.75" customHeight="1"/>
    <row r="76" ht="15.75" customHeight="1">
      <c r="A76" s="212" t="s">
        <v>214</v>
      </c>
      <c r="C76" s="212" t="s">
        <v>215</v>
      </c>
    </row>
    <row r="77" ht="15.75" customHeight="1">
      <c r="A77" s="213"/>
      <c r="C77" s="213"/>
    </row>
    <row r="78" ht="15.75" customHeight="1">
      <c r="A78" s="213"/>
      <c r="C78" s="213"/>
    </row>
    <row r="79" ht="15.75" customHeight="1">
      <c r="A79" s="213"/>
      <c r="C79" s="213"/>
    </row>
    <row r="80" ht="15.75" customHeight="1">
      <c r="A80" s="213"/>
      <c r="C80" s="213"/>
    </row>
    <row r="81" ht="15.75" customHeight="1">
      <c r="A81" s="213"/>
      <c r="C81" s="213"/>
    </row>
    <row r="82" ht="15.75" customHeight="1">
      <c r="A82" s="213"/>
      <c r="C82" s="213"/>
    </row>
    <row r="83" ht="15.75" customHeight="1">
      <c r="A83" s="213"/>
      <c r="C83" s="213"/>
    </row>
    <row r="84" ht="15.75" customHeight="1">
      <c r="A84" s="213"/>
      <c r="C84" s="213"/>
    </row>
    <row r="85" ht="15.75" customHeight="1">
      <c r="A85" s="213"/>
      <c r="C85" s="213"/>
    </row>
    <row r="86" ht="15.75" customHeight="1">
      <c r="A86" s="213"/>
      <c r="C86" s="213"/>
    </row>
    <row r="87" ht="15.75" customHeight="1">
      <c r="A87" s="213"/>
      <c r="C87" s="213"/>
    </row>
    <row r="88" ht="15.75" customHeight="1">
      <c r="A88" s="213"/>
      <c r="C88" s="213"/>
    </row>
    <row r="89" ht="15.75" customHeight="1">
      <c r="A89" s="213"/>
      <c r="C89" s="213"/>
    </row>
    <row r="90" ht="15.75" customHeight="1">
      <c r="A90" s="213"/>
      <c r="C90" s="213"/>
    </row>
    <row r="91" ht="15.75" customHeight="1">
      <c r="A91" s="213"/>
      <c r="C91" s="213"/>
    </row>
    <row r="92" ht="15.75" customHeight="1">
      <c r="A92" s="213"/>
      <c r="C92" s="213"/>
    </row>
    <row r="93" ht="15.75" customHeight="1">
      <c r="A93" s="214"/>
      <c r="C93" s="214"/>
    </row>
    <row r="94" ht="15.75" customHeight="1">
      <c r="A94" s="215" t="s">
        <v>216</v>
      </c>
      <c r="C94" s="215" t="s">
        <v>217</v>
      </c>
    </row>
    <row r="95" ht="15.75" customHeight="1">
      <c r="A95" s="213"/>
      <c r="C95" s="213"/>
    </row>
    <row r="96" ht="15.75" customHeight="1">
      <c r="A96" s="213"/>
      <c r="C96" s="213"/>
    </row>
    <row r="97" ht="15.75" customHeight="1">
      <c r="A97" s="214"/>
      <c r="C97" s="214"/>
    </row>
    <row r="98" ht="15.75" customHeight="1"/>
    <row r="99" ht="15.75" customHeight="1">
      <c r="A99" s="212" t="s">
        <v>218</v>
      </c>
      <c r="C99" s="212" t="s">
        <v>219</v>
      </c>
    </row>
    <row r="100" ht="15.75" customHeight="1">
      <c r="A100" s="213"/>
      <c r="C100" s="213"/>
    </row>
    <row r="101" ht="15.75" customHeight="1">
      <c r="A101" s="213"/>
      <c r="C101" s="213"/>
    </row>
    <row r="102" ht="15.75" customHeight="1">
      <c r="A102" s="213"/>
      <c r="C102" s="213"/>
    </row>
    <row r="103" ht="15.75" customHeight="1">
      <c r="A103" s="213"/>
      <c r="C103" s="213"/>
    </row>
    <row r="104" ht="15.75" customHeight="1">
      <c r="A104" s="213"/>
      <c r="C104" s="213"/>
    </row>
    <row r="105" ht="15.75" customHeight="1">
      <c r="A105" s="213"/>
      <c r="C105" s="213"/>
    </row>
    <row r="106" ht="15.75" customHeight="1">
      <c r="A106" s="213"/>
      <c r="C106" s="213"/>
    </row>
    <row r="107" ht="15.75" customHeight="1">
      <c r="A107" s="213"/>
      <c r="C107" s="213"/>
    </row>
    <row r="108" ht="15.75" customHeight="1">
      <c r="A108" s="213"/>
      <c r="C108" s="213"/>
    </row>
    <row r="109" ht="15.75" customHeight="1">
      <c r="A109" s="213"/>
      <c r="C109" s="213"/>
    </row>
    <row r="110" ht="15.75" customHeight="1">
      <c r="A110" s="213"/>
      <c r="C110" s="213"/>
    </row>
    <row r="111" ht="15.75" customHeight="1">
      <c r="A111" s="213"/>
      <c r="C111" s="213"/>
    </row>
    <row r="112" ht="15.75" customHeight="1">
      <c r="A112" s="213"/>
      <c r="C112" s="213"/>
    </row>
    <row r="113" ht="15.75" customHeight="1">
      <c r="A113" s="213"/>
      <c r="C113" s="213"/>
    </row>
    <row r="114" ht="15.75" customHeight="1">
      <c r="A114" s="213"/>
      <c r="C114" s="213"/>
    </row>
    <row r="115" ht="15.75" customHeight="1">
      <c r="A115" s="213"/>
      <c r="C115" s="213"/>
    </row>
    <row r="116" ht="15.75" customHeight="1">
      <c r="A116" s="214"/>
      <c r="C116" s="214"/>
    </row>
    <row r="117" ht="15.75" customHeight="1">
      <c r="A117" s="215" t="s">
        <v>220</v>
      </c>
      <c r="C117" s="215" t="s">
        <v>221</v>
      </c>
    </row>
    <row r="118" ht="15.75" customHeight="1">
      <c r="A118" s="213"/>
      <c r="C118" s="213"/>
    </row>
    <row r="119" ht="15.75" customHeight="1">
      <c r="A119" s="213"/>
      <c r="C119" s="213"/>
    </row>
    <row r="120" ht="15.75" customHeight="1">
      <c r="A120" s="214"/>
      <c r="C120" s="214"/>
    </row>
    <row r="121" ht="15.75" customHeight="1"/>
    <row r="122" ht="15.75" customHeight="1">
      <c r="A122" s="212" t="s">
        <v>222</v>
      </c>
      <c r="C122" s="212" t="s">
        <v>223</v>
      </c>
    </row>
    <row r="123" ht="15.75" customHeight="1">
      <c r="A123" s="213"/>
      <c r="C123" s="213"/>
    </row>
    <row r="124" ht="15.75" customHeight="1">
      <c r="A124" s="213"/>
      <c r="C124" s="213"/>
    </row>
    <row r="125" ht="15.75" customHeight="1">
      <c r="A125" s="213"/>
      <c r="C125" s="213"/>
    </row>
    <row r="126" ht="15.75" customHeight="1">
      <c r="A126" s="213"/>
      <c r="C126" s="213"/>
    </row>
    <row r="127" ht="15.75" customHeight="1">
      <c r="A127" s="213"/>
      <c r="C127" s="213"/>
    </row>
    <row r="128" ht="15.75" customHeight="1">
      <c r="A128" s="213"/>
      <c r="C128" s="213"/>
    </row>
    <row r="129" ht="15.75" customHeight="1">
      <c r="A129" s="213"/>
      <c r="C129" s="213"/>
    </row>
    <row r="130" ht="15.75" customHeight="1">
      <c r="A130" s="213"/>
      <c r="C130" s="213"/>
    </row>
    <row r="131" ht="15.75" customHeight="1">
      <c r="A131" s="213"/>
      <c r="C131" s="213"/>
    </row>
    <row r="132" ht="15.75" customHeight="1">
      <c r="A132" s="213"/>
      <c r="C132" s="213"/>
    </row>
    <row r="133" ht="15.75" customHeight="1">
      <c r="A133" s="213"/>
      <c r="C133" s="213"/>
    </row>
    <row r="134" ht="15.75" customHeight="1">
      <c r="A134" s="213"/>
      <c r="C134" s="213"/>
    </row>
    <row r="135" ht="15.75" customHeight="1">
      <c r="A135" s="213"/>
      <c r="C135" s="213"/>
    </row>
    <row r="136" ht="15.75" customHeight="1">
      <c r="A136" s="213"/>
      <c r="C136" s="213"/>
    </row>
    <row r="137" ht="15.75" customHeight="1">
      <c r="A137" s="213"/>
      <c r="C137" s="213"/>
    </row>
    <row r="138" ht="15.75" customHeight="1">
      <c r="A138" s="213"/>
      <c r="C138" s="213"/>
    </row>
    <row r="139" ht="15.75" customHeight="1">
      <c r="A139" s="214"/>
      <c r="C139" s="214"/>
    </row>
    <row r="140" ht="15.75" customHeight="1">
      <c r="A140" s="215" t="s">
        <v>224</v>
      </c>
      <c r="C140" s="215" t="s">
        <v>225</v>
      </c>
    </row>
    <row r="141" ht="15.75" customHeight="1">
      <c r="A141" s="213"/>
      <c r="C141" s="213"/>
    </row>
    <row r="142" ht="15.75" customHeight="1">
      <c r="A142" s="213"/>
      <c r="C142" s="213"/>
    </row>
    <row r="143" ht="15.75" customHeight="1">
      <c r="A143" s="214"/>
      <c r="C143" s="214"/>
    </row>
    <row r="144" ht="15.75" customHeight="1"/>
    <row r="145" ht="15.75" customHeight="1"/>
    <row r="146" ht="15.75" customHeight="1">
      <c r="A146" s="216" t="s">
        <v>226</v>
      </c>
      <c r="B146" s="217"/>
      <c r="C146" s="217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1:C1"/>
    <mergeCell ref="A2:C2"/>
    <mergeCell ref="A4:C4"/>
    <mergeCell ref="A5:C5"/>
    <mergeCell ref="A7:A24"/>
    <mergeCell ref="C7:C24"/>
    <mergeCell ref="C25:C28"/>
    <mergeCell ref="C53:C70"/>
    <mergeCell ref="C71:C74"/>
    <mergeCell ref="A25:A28"/>
    <mergeCell ref="A30:A47"/>
    <mergeCell ref="C30:C47"/>
    <mergeCell ref="A48:A51"/>
    <mergeCell ref="C48:C51"/>
    <mergeCell ref="A53:A70"/>
    <mergeCell ref="A71:A74"/>
    <mergeCell ref="A117:A120"/>
    <mergeCell ref="A122:A139"/>
    <mergeCell ref="C122:C139"/>
    <mergeCell ref="A140:A143"/>
    <mergeCell ref="C140:C143"/>
    <mergeCell ref="A146:C146"/>
    <mergeCell ref="A76:A93"/>
    <mergeCell ref="C76:C93"/>
    <mergeCell ref="A94:A97"/>
    <mergeCell ref="C94:C97"/>
    <mergeCell ref="A99:A116"/>
    <mergeCell ref="C99:C116"/>
    <mergeCell ref="C117:C12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30.0"/>
    <col customWidth="1" min="3" max="3" width="24.0"/>
    <col customWidth="1" min="4" max="4" width="22.0"/>
    <col customWidth="1" min="5" max="8" width="18.0"/>
    <col customWidth="1" min="9" max="11" width="22.0"/>
    <col customWidth="1" min="12" max="12" width="20.0"/>
    <col customWidth="1" min="13" max="26" width="9.14"/>
  </cols>
  <sheetData>
    <row r="1">
      <c r="A1" s="218" t="s">
        <v>228</v>
      </c>
    </row>
    <row r="3">
      <c r="A3" s="219" t="s">
        <v>229</v>
      </c>
      <c r="B3" s="219" t="s">
        <v>230</v>
      </c>
      <c r="C3" s="219" t="s">
        <v>231</v>
      </c>
      <c r="D3" s="219" t="s">
        <v>232</v>
      </c>
      <c r="E3" s="219" t="s">
        <v>233</v>
      </c>
      <c r="F3" s="219" t="s">
        <v>234</v>
      </c>
      <c r="G3" s="219" t="s">
        <v>235</v>
      </c>
      <c r="H3" s="219" t="s">
        <v>236</v>
      </c>
      <c r="I3" s="219" t="s">
        <v>237</v>
      </c>
      <c r="J3" s="219" t="s">
        <v>238</v>
      </c>
      <c r="K3" s="219" t="s">
        <v>239</v>
      </c>
      <c r="L3" s="219" t="s">
        <v>240</v>
      </c>
      <c r="N3" s="220" t="s">
        <v>241</v>
      </c>
    </row>
    <row r="4">
      <c r="F4" s="208">
        <v>100.0</v>
      </c>
      <c r="G4" s="135">
        <f t="shared" ref="G4:G203" si="1">IF(F4=0,0,E4/F4)</f>
        <v>0</v>
      </c>
      <c r="H4" s="208" t="str">
        <f t="shared" ref="H4:H203" si="2">IF(G4&gt;=0.9,"EXCELENTE",IF(G4&gt;=0.8,"BUENO",IF(G4&gt;=0.7,"ACEPTABLE","CRÍTICO")))</f>
        <v>CRÍTICO</v>
      </c>
      <c r="K4" s="135">
        <f t="shared" ref="K4:K203" si="3">IF(I4=0,0,J4/I4)</f>
        <v>0</v>
      </c>
      <c r="L4" s="208" t="str">
        <f t="shared" ref="L4:L203" si="4">IF(K4&gt;=0.95,"CONFORME",IF(K4&gt;=0.85,"ACEPTABLE","NO CONFORME"))</f>
        <v>NO CONFORME</v>
      </c>
    </row>
    <row r="5">
      <c r="F5" s="208">
        <v>100.0</v>
      </c>
      <c r="G5" s="135">
        <f t="shared" si="1"/>
        <v>0</v>
      </c>
      <c r="H5" s="208" t="str">
        <f t="shared" si="2"/>
        <v>CRÍTICO</v>
      </c>
      <c r="K5" s="135">
        <f t="shared" si="3"/>
        <v>0</v>
      </c>
      <c r="L5" s="208" t="str">
        <f t="shared" si="4"/>
        <v>NO CONFORME</v>
      </c>
      <c r="N5" s="208" t="s">
        <v>242</v>
      </c>
      <c r="O5" s="221">
        <f>AVERAGE(G4:G203)</f>
        <v>0</v>
      </c>
      <c r="Q5" s="208" t="s">
        <v>243</v>
      </c>
      <c r="R5" s="208">
        <f>COUNTIF(L4:L203,"CONFORME")</f>
        <v>0</v>
      </c>
    </row>
    <row r="6">
      <c r="F6" s="208">
        <v>100.0</v>
      </c>
      <c r="G6" s="135">
        <f t="shared" si="1"/>
        <v>0</v>
      </c>
      <c r="H6" s="208" t="str">
        <f t="shared" si="2"/>
        <v>CRÍTICO</v>
      </c>
      <c r="K6" s="135">
        <f t="shared" si="3"/>
        <v>0</v>
      </c>
      <c r="L6" s="208" t="str">
        <f t="shared" si="4"/>
        <v>NO CONFORME</v>
      </c>
      <c r="N6" s="208" t="s">
        <v>244</v>
      </c>
      <c r="O6" s="221">
        <f>AVERAGE(K4:K203)</f>
        <v>0</v>
      </c>
      <c r="Q6" s="208" t="s">
        <v>245</v>
      </c>
      <c r="R6" s="208">
        <f>COUNTIF(L4:L203,"ACEPTABLE")</f>
        <v>0</v>
      </c>
    </row>
    <row r="7">
      <c r="F7" s="208">
        <v>100.0</v>
      </c>
      <c r="G7" s="135">
        <f t="shared" si="1"/>
        <v>0</v>
      </c>
      <c r="H7" s="208" t="str">
        <f t="shared" si="2"/>
        <v>CRÍTICO</v>
      </c>
      <c r="K7" s="135">
        <f t="shared" si="3"/>
        <v>0</v>
      </c>
      <c r="L7" s="208" t="str">
        <f t="shared" si="4"/>
        <v>NO CONFORME</v>
      </c>
      <c r="N7" s="208" t="s">
        <v>246</v>
      </c>
      <c r="O7" s="221">
        <f>MAX(G4:G203)</f>
        <v>0</v>
      </c>
      <c r="Q7" s="208" t="s">
        <v>247</v>
      </c>
      <c r="R7" s="208">
        <f>COUNTIF(L4:L203,"NO CONFORME")</f>
        <v>200</v>
      </c>
    </row>
    <row r="8">
      <c r="F8" s="208">
        <v>100.0</v>
      </c>
      <c r="G8" s="135">
        <f t="shared" si="1"/>
        <v>0</v>
      </c>
      <c r="H8" s="208" t="str">
        <f t="shared" si="2"/>
        <v>CRÍTICO</v>
      </c>
      <c r="K8" s="135">
        <f t="shared" si="3"/>
        <v>0</v>
      </c>
      <c r="L8" s="208" t="str">
        <f t="shared" si="4"/>
        <v>NO CONFORME</v>
      </c>
      <c r="N8" s="208" t="s">
        <v>248</v>
      </c>
      <c r="O8" s="221">
        <f>MIN(G4:G203)</f>
        <v>0</v>
      </c>
    </row>
    <row r="9">
      <c r="F9" s="208">
        <v>100.0</v>
      </c>
      <c r="G9" s="135">
        <f t="shared" si="1"/>
        <v>0</v>
      </c>
      <c r="H9" s="208" t="str">
        <f t="shared" si="2"/>
        <v>CRÍTICO</v>
      </c>
      <c r="K9" s="135">
        <f t="shared" si="3"/>
        <v>0</v>
      </c>
      <c r="L9" s="208" t="str">
        <f t="shared" si="4"/>
        <v>NO CONFORME</v>
      </c>
      <c r="N9" s="208" t="s">
        <v>249</v>
      </c>
      <c r="O9" s="208">
        <f>COUNTA(A4:A203)</f>
        <v>0</v>
      </c>
    </row>
    <row r="10">
      <c r="F10" s="208">
        <v>100.0</v>
      </c>
      <c r="G10" s="135">
        <f t="shared" si="1"/>
        <v>0</v>
      </c>
      <c r="H10" s="208" t="str">
        <f t="shared" si="2"/>
        <v>CRÍTICO</v>
      </c>
      <c r="K10" s="135">
        <f t="shared" si="3"/>
        <v>0</v>
      </c>
      <c r="L10" s="208" t="str">
        <f t="shared" si="4"/>
        <v>NO CONFORME</v>
      </c>
    </row>
    <row r="11">
      <c r="F11" s="208">
        <v>100.0</v>
      </c>
      <c r="G11" s="135">
        <f t="shared" si="1"/>
        <v>0</v>
      </c>
      <c r="H11" s="208" t="str">
        <f t="shared" si="2"/>
        <v>CRÍTICO</v>
      </c>
      <c r="K11" s="135">
        <f t="shared" si="3"/>
        <v>0</v>
      </c>
      <c r="L11" s="208" t="str">
        <f t="shared" si="4"/>
        <v>NO CONFORME</v>
      </c>
    </row>
    <row r="12">
      <c r="F12" s="208">
        <v>100.0</v>
      </c>
      <c r="G12" s="135">
        <f t="shared" si="1"/>
        <v>0</v>
      </c>
      <c r="H12" s="208" t="str">
        <f t="shared" si="2"/>
        <v>CRÍTICO</v>
      </c>
      <c r="K12" s="135">
        <f t="shared" si="3"/>
        <v>0</v>
      </c>
      <c r="L12" s="208" t="str">
        <f t="shared" si="4"/>
        <v>NO CONFORME</v>
      </c>
    </row>
    <row r="13">
      <c r="F13" s="208">
        <v>100.0</v>
      </c>
      <c r="G13" s="135">
        <f t="shared" si="1"/>
        <v>0</v>
      </c>
      <c r="H13" s="208" t="str">
        <f t="shared" si="2"/>
        <v>CRÍTICO</v>
      </c>
      <c r="K13" s="135">
        <f t="shared" si="3"/>
        <v>0</v>
      </c>
      <c r="L13" s="208" t="str">
        <f t="shared" si="4"/>
        <v>NO CONFORME</v>
      </c>
    </row>
    <row r="14">
      <c r="F14" s="208">
        <v>100.0</v>
      </c>
      <c r="G14" s="135">
        <f t="shared" si="1"/>
        <v>0</v>
      </c>
      <c r="H14" s="208" t="str">
        <f t="shared" si="2"/>
        <v>CRÍTICO</v>
      </c>
      <c r="K14" s="135">
        <f t="shared" si="3"/>
        <v>0</v>
      </c>
      <c r="L14" s="208" t="str">
        <f t="shared" si="4"/>
        <v>NO CONFORME</v>
      </c>
    </row>
    <row r="15">
      <c r="F15" s="208">
        <v>100.0</v>
      </c>
      <c r="G15" s="135">
        <f t="shared" si="1"/>
        <v>0</v>
      </c>
      <c r="H15" s="208" t="str">
        <f t="shared" si="2"/>
        <v>CRÍTICO</v>
      </c>
      <c r="K15" s="135">
        <f t="shared" si="3"/>
        <v>0</v>
      </c>
      <c r="L15" s="208" t="str">
        <f t="shared" si="4"/>
        <v>NO CONFORME</v>
      </c>
    </row>
    <row r="16">
      <c r="F16" s="208">
        <v>100.0</v>
      </c>
      <c r="G16" s="135">
        <f t="shared" si="1"/>
        <v>0</v>
      </c>
      <c r="H16" s="208" t="str">
        <f t="shared" si="2"/>
        <v>CRÍTICO</v>
      </c>
      <c r="K16" s="135">
        <f t="shared" si="3"/>
        <v>0</v>
      </c>
      <c r="L16" s="208" t="str">
        <f t="shared" si="4"/>
        <v>NO CONFORME</v>
      </c>
    </row>
    <row r="17">
      <c r="F17" s="208">
        <v>100.0</v>
      </c>
      <c r="G17" s="135">
        <f t="shared" si="1"/>
        <v>0</v>
      </c>
      <c r="H17" s="208" t="str">
        <f t="shared" si="2"/>
        <v>CRÍTICO</v>
      </c>
      <c r="K17" s="135">
        <f t="shared" si="3"/>
        <v>0</v>
      </c>
      <c r="L17" s="208" t="str">
        <f t="shared" si="4"/>
        <v>NO CONFORME</v>
      </c>
    </row>
    <row r="18">
      <c r="F18" s="208">
        <v>100.0</v>
      </c>
      <c r="G18" s="135">
        <f t="shared" si="1"/>
        <v>0</v>
      </c>
      <c r="H18" s="208" t="str">
        <f t="shared" si="2"/>
        <v>CRÍTICO</v>
      </c>
      <c r="K18" s="135">
        <f t="shared" si="3"/>
        <v>0</v>
      </c>
      <c r="L18" s="208" t="str">
        <f t="shared" si="4"/>
        <v>NO CONFORME</v>
      </c>
    </row>
    <row r="19">
      <c r="F19" s="208">
        <v>100.0</v>
      </c>
      <c r="G19" s="135">
        <f t="shared" si="1"/>
        <v>0</v>
      </c>
      <c r="H19" s="208" t="str">
        <f t="shared" si="2"/>
        <v>CRÍTICO</v>
      </c>
      <c r="K19" s="135">
        <f t="shared" si="3"/>
        <v>0</v>
      </c>
      <c r="L19" s="208" t="str">
        <f t="shared" si="4"/>
        <v>NO CONFORME</v>
      </c>
    </row>
    <row r="20">
      <c r="F20" s="208">
        <v>100.0</v>
      </c>
      <c r="G20" s="135">
        <f t="shared" si="1"/>
        <v>0</v>
      </c>
      <c r="H20" s="208" t="str">
        <f t="shared" si="2"/>
        <v>CRÍTICO</v>
      </c>
      <c r="K20" s="135">
        <f t="shared" si="3"/>
        <v>0</v>
      </c>
      <c r="L20" s="208" t="str">
        <f t="shared" si="4"/>
        <v>NO CONFORME</v>
      </c>
    </row>
    <row r="21" ht="15.75" customHeight="1">
      <c r="F21" s="208">
        <v>100.0</v>
      </c>
      <c r="G21" s="135">
        <f t="shared" si="1"/>
        <v>0</v>
      </c>
      <c r="H21" s="208" t="str">
        <f t="shared" si="2"/>
        <v>CRÍTICO</v>
      </c>
      <c r="K21" s="135">
        <f t="shared" si="3"/>
        <v>0</v>
      </c>
      <c r="L21" s="208" t="str">
        <f t="shared" si="4"/>
        <v>NO CONFORME</v>
      </c>
    </row>
    <row r="22" ht="15.75" customHeight="1">
      <c r="F22" s="208">
        <v>100.0</v>
      </c>
      <c r="G22" s="135">
        <f t="shared" si="1"/>
        <v>0</v>
      </c>
      <c r="H22" s="208" t="str">
        <f t="shared" si="2"/>
        <v>CRÍTICO</v>
      </c>
      <c r="K22" s="135">
        <f t="shared" si="3"/>
        <v>0</v>
      </c>
      <c r="L22" s="208" t="str">
        <f t="shared" si="4"/>
        <v>NO CONFORME</v>
      </c>
    </row>
    <row r="23" ht="15.75" customHeight="1">
      <c r="F23" s="208">
        <v>100.0</v>
      </c>
      <c r="G23" s="135">
        <f t="shared" si="1"/>
        <v>0</v>
      </c>
      <c r="H23" s="208" t="str">
        <f t="shared" si="2"/>
        <v>CRÍTICO</v>
      </c>
      <c r="K23" s="135">
        <f t="shared" si="3"/>
        <v>0</v>
      </c>
      <c r="L23" s="208" t="str">
        <f t="shared" si="4"/>
        <v>NO CONFORME</v>
      </c>
    </row>
    <row r="24" ht="15.75" customHeight="1">
      <c r="F24" s="208">
        <v>100.0</v>
      </c>
      <c r="G24" s="135">
        <f t="shared" si="1"/>
        <v>0</v>
      </c>
      <c r="H24" s="208" t="str">
        <f t="shared" si="2"/>
        <v>CRÍTICO</v>
      </c>
      <c r="K24" s="135">
        <f t="shared" si="3"/>
        <v>0</v>
      </c>
      <c r="L24" s="208" t="str">
        <f t="shared" si="4"/>
        <v>NO CONFORME</v>
      </c>
    </row>
    <row r="25" ht="15.75" customHeight="1">
      <c r="F25" s="208">
        <v>100.0</v>
      </c>
      <c r="G25" s="135">
        <f t="shared" si="1"/>
        <v>0</v>
      </c>
      <c r="H25" s="208" t="str">
        <f t="shared" si="2"/>
        <v>CRÍTICO</v>
      </c>
      <c r="K25" s="135">
        <f t="shared" si="3"/>
        <v>0</v>
      </c>
      <c r="L25" s="208" t="str">
        <f t="shared" si="4"/>
        <v>NO CONFORME</v>
      </c>
    </row>
    <row r="26" ht="15.75" customHeight="1">
      <c r="F26" s="208">
        <v>100.0</v>
      </c>
      <c r="G26" s="135">
        <f t="shared" si="1"/>
        <v>0</v>
      </c>
      <c r="H26" s="208" t="str">
        <f t="shared" si="2"/>
        <v>CRÍTICO</v>
      </c>
      <c r="K26" s="135">
        <f t="shared" si="3"/>
        <v>0</v>
      </c>
      <c r="L26" s="208" t="str">
        <f t="shared" si="4"/>
        <v>NO CONFORME</v>
      </c>
    </row>
    <row r="27" ht="15.75" customHeight="1">
      <c r="F27" s="208">
        <v>100.0</v>
      </c>
      <c r="G27" s="135">
        <f t="shared" si="1"/>
        <v>0</v>
      </c>
      <c r="H27" s="208" t="str">
        <f t="shared" si="2"/>
        <v>CRÍTICO</v>
      </c>
      <c r="K27" s="135">
        <f t="shared" si="3"/>
        <v>0</v>
      </c>
      <c r="L27" s="208" t="str">
        <f t="shared" si="4"/>
        <v>NO CONFORME</v>
      </c>
    </row>
    <row r="28" ht="15.75" customHeight="1">
      <c r="F28" s="208">
        <v>100.0</v>
      </c>
      <c r="G28" s="135">
        <f t="shared" si="1"/>
        <v>0</v>
      </c>
      <c r="H28" s="208" t="str">
        <f t="shared" si="2"/>
        <v>CRÍTICO</v>
      </c>
      <c r="K28" s="135">
        <f t="shared" si="3"/>
        <v>0</v>
      </c>
      <c r="L28" s="208" t="str">
        <f t="shared" si="4"/>
        <v>NO CONFORME</v>
      </c>
    </row>
    <row r="29" ht="15.75" customHeight="1">
      <c r="F29" s="208">
        <v>100.0</v>
      </c>
      <c r="G29" s="135">
        <f t="shared" si="1"/>
        <v>0</v>
      </c>
      <c r="H29" s="208" t="str">
        <f t="shared" si="2"/>
        <v>CRÍTICO</v>
      </c>
      <c r="K29" s="135">
        <f t="shared" si="3"/>
        <v>0</v>
      </c>
      <c r="L29" s="208" t="str">
        <f t="shared" si="4"/>
        <v>NO CONFORME</v>
      </c>
    </row>
    <row r="30" ht="15.75" customHeight="1">
      <c r="F30" s="208">
        <v>100.0</v>
      </c>
      <c r="G30" s="135">
        <f t="shared" si="1"/>
        <v>0</v>
      </c>
      <c r="H30" s="208" t="str">
        <f t="shared" si="2"/>
        <v>CRÍTICO</v>
      </c>
      <c r="K30" s="135">
        <f t="shared" si="3"/>
        <v>0</v>
      </c>
      <c r="L30" s="208" t="str">
        <f t="shared" si="4"/>
        <v>NO CONFORME</v>
      </c>
    </row>
    <row r="31" ht="15.75" customHeight="1">
      <c r="F31" s="208">
        <v>100.0</v>
      </c>
      <c r="G31" s="135">
        <f t="shared" si="1"/>
        <v>0</v>
      </c>
      <c r="H31" s="208" t="str">
        <f t="shared" si="2"/>
        <v>CRÍTICO</v>
      </c>
      <c r="K31" s="135">
        <f t="shared" si="3"/>
        <v>0</v>
      </c>
      <c r="L31" s="208" t="str">
        <f t="shared" si="4"/>
        <v>NO CONFORME</v>
      </c>
    </row>
    <row r="32" ht="15.75" customHeight="1">
      <c r="F32" s="208">
        <v>100.0</v>
      </c>
      <c r="G32" s="135">
        <f t="shared" si="1"/>
        <v>0</v>
      </c>
      <c r="H32" s="208" t="str">
        <f t="shared" si="2"/>
        <v>CRÍTICO</v>
      </c>
      <c r="K32" s="135">
        <f t="shared" si="3"/>
        <v>0</v>
      </c>
      <c r="L32" s="208" t="str">
        <f t="shared" si="4"/>
        <v>NO CONFORME</v>
      </c>
    </row>
    <row r="33" ht="15.75" customHeight="1">
      <c r="F33" s="208">
        <v>100.0</v>
      </c>
      <c r="G33" s="135">
        <f t="shared" si="1"/>
        <v>0</v>
      </c>
      <c r="H33" s="208" t="str">
        <f t="shared" si="2"/>
        <v>CRÍTICO</v>
      </c>
      <c r="K33" s="135">
        <f t="shared" si="3"/>
        <v>0</v>
      </c>
      <c r="L33" s="208" t="str">
        <f t="shared" si="4"/>
        <v>NO CONFORME</v>
      </c>
    </row>
    <row r="34" ht="15.75" customHeight="1">
      <c r="F34" s="208">
        <v>100.0</v>
      </c>
      <c r="G34" s="135">
        <f t="shared" si="1"/>
        <v>0</v>
      </c>
      <c r="H34" s="208" t="str">
        <f t="shared" si="2"/>
        <v>CRÍTICO</v>
      </c>
      <c r="K34" s="135">
        <f t="shared" si="3"/>
        <v>0</v>
      </c>
      <c r="L34" s="208" t="str">
        <f t="shared" si="4"/>
        <v>NO CONFORME</v>
      </c>
    </row>
    <row r="35" ht="15.75" customHeight="1">
      <c r="F35" s="208">
        <v>100.0</v>
      </c>
      <c r="G35" s="135">
        <f t="shared" si="1"/>
        <v>0</v>
      </c>
      <c r="H35" s="208" t="str">
        <f t="shared" si="2"/>
        <v>CRÍTICO</v>
      </c>
      <c r="K35" s="135">
        <f t="shared" si="3"/>
        <v>0</v>
      </c>
      <c r="L35" s="208" t="str">
        <f t="shared" si="4"/>
        <v>NO CONFORME</v>
      </c>
    </row>
    <row r="36" ht="15.75" customHeight="1">
      <c r="F36" s="208">
        <v>100.0</v>
      </c>
      <c r="G36" s="135">
        <f t="shared" si="1"/>
        <v>0</v>
      </c>
      <c r="H36" s="208" t="str">
        <f t="shared" si="2"/>
        <v>CRÍTICO</v>
      </c>
      <c r="K36" s="135">
        <f t="shared" si="3"/>
        <v>0</v>
      </c>
      <c r="L36" s="208" t="str">
        <f t="shared" si="4"/>
        <v>NO CONFORME</v>
      </c>
    </row>
    <row r="37" ht="15.75" customHeight="1">
      <c r="F37" s="208">
        <v>100.0</v>
      </c>
      <c r="G37" s="135">
        <f t="shared" si="1"/>
        <v>0</v>
      </c>
      <c r="H37" s="208" t="str">
        <f t="shared" si="2"/>
        <v>CRÍTICO</v>
      </c>
      <c r="K37" s="135">
        <f t="shared" si="3"/>
        <v>0</v>
      </c>
      <c r="L37" s="208" t="str">
        <f t="shared" si="4"/>
        <v>NO CONFORME</v>
      </c>
    </row>
    <row r="38" ht="15.75" customHeight="1">
      <c r="F38" s="208">
        <v>100.0</v>
      </c>
      <c r="G38" s="135">
        <f t="shared" si="1"/>
        <v>0</v>
      </c>
      <c r="H38" s="208" t="str">
        <f t="shared" si="2"/>
        <v>CRÍTICO</v>
      </c>
      <c r="K38" s="135">
        <f t="shared" si="3"/>
        <v>0</v>
      </c>
      <c r="L38" s="208" t="str">
        <f t="shared" si="4"/>
        <v>NO CONFORME</v>
      </c>
    </row>
    <row r="39" ht="15.75" customHeight="1">
      <c r="F39" s="208">
        <v>100.0</v>
      </c>
      <c r="G39" s="135">
        <f t="shared" si="1"/>
        <v>0</v>
      </c>
      <c r="H39" s="208" t="str">
        <f t="shared" si="2"/>
        <v>CRÍTICO</v>
      </c>
      <c r="K39" s="135">
        <f t="shared" si="3"/>
        <v>0</v>
      </c>
      <c r="L39" s="208" t="str">
        <f t="shared" si="4"/>
        <v>NO CONFORME</v>
      </c>
    </row>
    <row r="40" ht="15.75" customHeight="1">
      <c r="F40" s="208">
        <v>100.0</v>
      </c>
      <c r="G40" s="135">
        <f t="shared" si="1"/>
        <v>0</v>
      </c>
      <c r="H40" s="208" t="str">
        <f t="shared" si="2"/>
        <v>CRÍTICO</v>
      </c>
      <c r="K40" s="135">
        <f t="shared" si="3"/>
        <v>0</v>
      </c>
      <c r="L40" s="208" t="str">
        <f t="shared" si="4"/>
        <v>NO CONFORME</v>
      </c>
    </row>
    <row r="41" ht="15.75" customHeight="1">
      <c r="F41" s="208">
        <v>100.0</v>
      </c>
      <c r="G41" s="135">
        <f t="shared" si="1"/>
        <v>0</v>
      </c>
      <c r="H41" s="208" t="str">
        <f t="shared" si="2"/>
        <v>CRÍTICO</v>
      </c>
      <c r="K41" s="135">
        <f t="shared" si="3"/>
        <v>0</v>
      </c>
      <c r="L41" s="208" t="str">
        <f t="shared" si="4"/>
        <v>NO CONFORME</v>
      </c>
    </row>
    <row r="42" ht="15.75" customHeight="1">
      <c r="F42" s="208">
        <v>100.0</v>
      </c>
      <c r="G42" s="135">
        <f t="shared" si="1"/>
        <v>0</v>
      </c>
      <c r="H42" s="208" t="str">
        <f t="shared" si="2"/>
        <v>CRÍTICO</v>
      </c>
      <c r="K42" s="135">
        <f t="shared" si="3"/>
        <v>0</v>
      </c>
      <c r="L42" s="208" t="str">
        <f t="shared" si="4"/>
        <v>NO CONFORME</v>
      </c>
    </row>
    <row r="43" ht="15.75" customHeight="1">
      <c r="F43" s="208">
        <v>100.0</v>
      </c>
      <c r="G43" s="135">
        <f t="shared" si="1"/>
        <v>0</v>
      </c>
      <c r="H43" s="208" t="str">
        <f t="shared" si="2"/>
        <v>CRÍTICO</v>
      </c>
      <c r="K43" s="135">
        <f t="shared" si="3"/>
        <v>0</v>
      </c>
      <c r="L43" s="208" t="str">
        <f t="shared" si="4"/>
        <v>NO CONFORME</v>
      </c>
    </row>
    <row r="44" ht="15.75" customHeight="1">
      <c r="F44" s="208">
        <v>100.0</v>
      </c>
      <c r="G44" s="135">
        <f t="shared" si="1"/>
        <v>0</v>
      </c>
      <c r="H44" s="208" t="str">
        <f t="shared" si="2"/>
        <v>CRÍTICO</v>
      </c>
      <c r="K44" s="135">
        <f t="shared" si="3"/>
        <v>0</v>
      </c>
      <c r="L44" s="208" t="str">
        <f t="shared" si="4"/>
        <v>NO CONFORME</v>
      </c>
    </row>
    <row r="45" ht="15.75" customHeight="1">
      <c r="F45" s="208">
        <v>100.0</v>
      </c>
      <c r="G45" s="135">
        <f t="shared" si="1"/>
        <v>0</v>
      </c>
      <c r="H45" s="208" t="str">
        <f t="shared" si="2"/>
        <v>CRÍTICO</v>
      </c>
      <c r="K45" s="135">
        <f t="shared" si="3"/>
        <v>0</v>
      </c>
      <c r="L45" s="208" t="str">
        <f t="shared" si="4"/>
        <v>NO CONFORME</v>
      </c>
    </row>
    <row r="46" ht="15.75" customHeight="1">
      <c r="F46" s="208">
        <v>100.0</v>
      </c>
      <c r="G46" s="135">
        <f t="shared" si="1"/>
        <v>0</v>
      </c>
      <c r="H46" s="208" t="str">
        <f t="shared" si="2"/>
        <v>CRÍTICO</v>
      </c>
      <c r="K46" s="135">
        <f t="shared" si="3"/>
        <v>0</v>
      </c>
      <c r="L46" s="208" t="str">
        <f t="shared" si="4"/>
        <v>NO CONFORME</v>
      </c>
    </row>
    <row r="47" ht="15.75" customHeight="1">
      <c r="F47" s="208">
        <v>100.0</v>
      </c>
      <c r="G47" s="135">
        <f t="shared" si="1"/>
        <v>0</v>
      </c>
      <c r="H47" s="208" t="str">
        <f t="shared" si="2"/>
        <v>CRÍTICO</v>
      </c>
      <c r="K47" s="135">
        <f t="shared" si="3"/>
        <v>0</v>
      </c>
      <c r="L47" s="208" t="str">
        <f t="shared" si="4"/>
        <v>NO CONFORME</v>
      </c>
    </row>
    <row r="48" ht="15.75" customHeight="1">
      <c r="F48" s="208">
        <v>100.0</v>
      </c>
      <c r="G48" s="135">
        <f t="shared" si="1"/>
        <v>0</v>
      </c>
      <c r="H48" s="208" t="str">
        <f t="shared" si="2"/>
        <v>CRÍTICO</v>
      </c>
      <c r="K48" s="135">
        <f t="shared" si="3"/>
        <v>0</v>
      </c>
      <c r="L48" s="208" t="str">
        <f t="shared" si="4"/>
        <v>NO CONFORME</v>
      </c>
    </row>
    <row r="49" ht="15.75" customHeight="1">
      <c r="F49" s="208">
        <v>100.0</v>
      </c>
      <c r="G49" s="135">
        <f t="shared" si="1"/>
        <v>0</v>
      </c>
      <c r="H49" s="208" t="str">
        <f t="shared" si="2"/>
        <v>CRÍTICO</v>
      </c>
      <c r="K49" s="135">
        <f t="shared" si="3"/>
        <v>0</v>
      </c>
      <c r="L49" s="208" t="str">
        <f t="shared" si="4"/>
        <v>NO CONFORME</v>
      </c>
    </row>
    <row r="50" ht="15.75" customHeight="1">
      <c r="F50" s="208">
        <v>100.0</v>
      </c>
      <c r="G50" s="135">
        <f t="shared" si="1"/>
        <v>0</v>
      </c>
      <c r="H50" s="208" t="str">
        <f t="shared" si="2"/>
        <v>CRÍTICO</v>
      </c>
      <c r="K50" s="135">
        <f t="shared" si="3"/>
        <v>0</v>
      </c>
      <c r="L50" s="208" t="str">
        <f t="shared" si="4"/>
        <v>NO CONFORME</v>
      </c>
    </row>
    <row r="51" ht="15.75" customHeight="1">
      <c r="F51" s="208">
        <v>100.0</v>
      </c>
      <c r="G51" s="135">
        <f t="shared" si="1"/>
        <v>0</v>
      </c>
      <c r="H51" s="208" t="str">
        <f t="shared" si="2"/>
        <v>CRÍTICO</v>
      </c>
      <c r="K51" s="135">
        <f t="shared" si="3"/>
        <v>0</v>
      </c>
      <c r="L51" s="208" t="str">
        <f t="shared" si="4"/>
        <v>NO CONFORME</v>
      </c>
    </row>
    <row r="52" ht="15.75" customHeight="1">
      <c r="F52" s="208">
        <v>100.0</v>
      </c>
      <c r="G52" s="135">
        <f t="shared" si="1"/>
        <v>0</v>
      </c>
      <c r="H52" s="208" t="str">
        <f t="shared" si="2"/>
        <v>CRÍTICO</v>
      </c>
      <c r="K52" s="135">
        <f t="shared" si="3"/>
        <v>0</v>
      </c>
      <c r="L52" s="208" t="str">
        <f t="shared" si="4"/>
        <v>NO CONFORME</v>
      </c>
    </row>
    <row r="53" ht="15.75" customHeight="1">
      <c r="F53" s="208">
        <v>100.0</v>
      </c>
      <c r="G53" s="135">
        <f t="shared" si="1"/>
        <v>0</v>
      </c>
      <c r="H53" s="208" t="str">
        <f t="shared" si="2"/>
        <v>CRÍTICO</v>
      </c>
      <c r="K53" s="135">
        <f t="shared" si="3"/>
        <v>0</v>
      </c>
      <c r="L53" s="208" t="str">
        <f t="shared" si="4"/>
        <v>NO CONFORME</v>
      </c>
    </row>
    <row r="54" ht="15.75" customHeight="1">
      <c r="F54" s="208">
        <v>100.0</v>
      </c>
      <c r="G54" s="135">
        <f t="shared" si="1"/>
        <v>0</v>
      </c>
      <c r="H54" s="208" t="str">
        <f t="shared" si="2"/>
        <v>CRÍTICO</v>
      </c>
      <c r="K54" s="135">
        <f t="shared" si="3"/>
        <v>0</v>
      </c>
      <c r="L54" s="208" t="str">
        <f t="shared" si="4"/>
        <v>NO CONFORME</v>
      </c>
    </row>
    <row r="55" ht="15.75" customHeight="1">
      <c r="F55" s="208">
        <v>100.0</v>
      </c>
      <c r="G55" s="135">
        <f t="shared" si="1"/>
        <v>0</v>
      </c>
      <c r="H55" s="208" t="str">
        <f t="shared" si="2"/>
        <v>CRÍTICO</v>
      </c>
      <c r="K55" s="135">
        <f t="shared" si="3"/>
        <v>0</v>
      </c>
      <c r="L55" s="208" t="str">
        <f t="shared" si="4"/>
        <v>NO CONFORME</v>
      </c>
    </row>
    <row r="56" ht="15.75" customHeight="1">
      <c r="F56" s="208">
        <v>100.0</v>
      </c>
      <c r="G56" s="135">
        <f t="shared" si="1"/>
        <v>0</v>
      </c>
      <c r="H56" s="208" t="str">
        <f t="shared" si="2"/>
        <v>CRÍTICO</v>
      </c>
      <c r="K56" s="135">
        <f t="shared" si="3"/>
        <v>0</v>
      </c>
      <c r="L56" s="208" t="str">
        <f t="shared" si="4"/>
        <v>NO CONFORME</v>
      </c>
    </row>
    <row r="57" ht="15.75" customHeight="1">
      <c r="F57" s="208">
        <v>100.0</v>
      </c>
      <c r="G57" s="135">
        <f t="shared" si="1"/>
        <v>0</v>
      </c>
      <c r="H57" s="208" t="str">
        <f t="shared" si="2"/>
        <v>CRÍTICO</v>
      </c>
      <c r="K57" s="135">
        <f t="shared" si="3"/>
        <v>0</v>
      </c>
      <c r="L57" s="208" t="str">
        <f t="shared" si="4"/>
        <v>NO CONFORME</v>
      </c>
    </row>
    <row r="58" ht="15.75" customHeight="1">
      <c r="F58" s="208">
        <v>100.0</v>
      </c>
      <c r="G58" s="135">
        <f t="shared" si="1"/>
        <v>0</v>
      </c>
      <c r="H58" s="208" t="str">
        <f t="shared" si="2"/>
        <v>CRÍTICO</v>
      </c>
      <c r="K58" s="135">
        <f t="shared" si="3"/>
        <v>0</v>
      </c>
      <c r="L58" s="208" t="str">
        <f t="shared" si="4"/>
        <v>NO CONFORME</v>
      </c>
    </row>
    <row r="59" ht="15.75" customHeight="1">
      <c r="F59" s="208">
        <v>100.0</v>
      </c>
      <c r="G59" s="135">
        <f t="shared" si="1"/>
        <v>0</v>
      </c>
      <c r="H59" s="208" t="str">
        <f t="shared" si="2"/>
        <v>CRÍTICO</v>
      </c>
      <c r="K59" s="135">
        <f t="shared" si="3"/>
        <v>0</v>
      </c>
      <c r="L59" s="208" t="str">
        <f t="shared" si="4"/>
        <v>NO CONFORME</v>
      </c>
    </row>
    <row r="60" ht="15.75" customHeight="1">
      <c r="F60" s="208">
        <v>100.0</v>
      </c>
      <c r="G60" s="135">
        <f t="shared" si="1"/>
        <v>0</v>
      </c>
      <c r="H60" s="208" t="str">
        <f t="shared" si="2"/>
        <v>CRÍTICO</v>
      </c>
      <c r="K60" s="135">
        <f t="shared" si="3"/>
        <v>0</v>
      </c>
      <c r="L60" s="208" t="str">
        <f t="shared" si="4"/>
        <v>NO CONFORME</v>
      </c>
    </row>
    <row r="61" ht="15.75" customHeight="1">
      <c r="F61" s="208">
        <v>100.0</v>
      </c>
      <c r="G61" s="135">
        <f t="shared" si="1"/>
        <v>0</v>
      </c>
      <c r="H61" s="208" t="str">
        <f t="shared" si="2"/>
        <v>CRÍTICO</v>
      </c>
      <c r="K61" s="135">
        <f t="shared" si="3"/>
        <v>0</v>
      </c>
      <c r="L61" s="208" t="str">
        <f t="shared" si="4"/>
        <v>NO CONFORME</v>
      </c>
    </row>
    <row r="62" ht="15.75" customHeight="1">
      <c r="F62" s="208">
        <v>100.0</v>
      </c>
      <c r="G62" s="135">
        <f t="shared" si="1"/>
        <v>0</v>
      </c>
      <c r="H62" s="208" t="str">
        <f t="shared" si="2"/>
        <v>CRÍTICO</v>
      </c>
      <c r="K62" s="135">
        <f t="shared" si="3"/>
        <v>0</v>
      </c>
      <c r="L62" s="208" t="str">
        <f t="shared" si="4"/>
        <v>NO CONFORME</v>
      </c>
    </row>
    <row r="63" ht="15.75" customHeight="1">
      <c r="F63" s="208">
        <v>100.0</v>
      </c>
      <c r="G63" s="135">
        <f t="shared" si="1"/>
        <v>0</v>
      </c>
      <c r="H63" s="208" t="str">
        <f t="shared" si="2"/>
        <v>CRÍTICO</v>
      </c>
      <c r="K63" s="135">
        <f t="shared" si="3"/>
        <v>0</v>
      </c>
      <c r="L63" s="208" t="str">
        <f t="shared" si="4"/>
        <v>NO CONFORME</v>
      </c>
    </row>
    <row r="64" ht="15.75" customHeight="1">
      <c r="F64" s="208">
        <v>100.0</v>
      </c>
      <c r="G64" s="135">
        <f t="shared" si="1"/>
        <v>0</v>
      </c>
      <c r="H64" s="208" t="str">
        <f t="shared" si="2"/>
        <v>CRÍTICO</v>
      </c>
      <c r="K64" s="135">
        <f t="shared" si="3"/>
        <v>0</v>
      </c>
      <c r="L64" s="208" t="str">
        <f t="shared" si="4"/>
        <v>NO CONFORME</v>
      </c>
    </row>
    <row r="65" ht="15.75" customHeight="1">
      <c r="F65" s="208">
        <v>100.0</v>
      </c>
      <c r="G65" s="135">
        <f t="shared" si="1"/>
        <v>0</v>
      </c>
      <c r="H65" s="208" t="str">
        <f t="shared" si="2"/>
        <v>CRÍTICO</v>
      </c>
      <c r="K65" s="135">
        <f t="shared" si="3"/>
        <v>0</v>
      </c>
      <c r="L65" s="208" t="str">
        <f t="shared" si="4"/>
        <v>NO CONFORME</v>
      </c>
    </row>
    <row r="66" ht="15.75" customHeight="1">
      <c r="F66" s="208">
        <v>100.0</v>
      </c>
      <c r="G66" s="135">
        <f t="shared" si="1"/>
        <v>0</v>
      </c>
      <c r="H66" s="208" t="str">
        <f t="shared" si="2"/>
        <v>CRÍTICO</v>
      </c>
      <c r="K66" s="135">
        <f t="shared" si="3"/>
        <v>0</v>
      </c>
      <c r="L66" s="208" t="str">
        <f t="shared" si="4"/>
        <v>NO CONFORME</v>
      </c>
    </row>
    <row r="67" ht="15.75" customHeight="1">
      <c r="F67" s="208">
        <v>100.0</v>
      </c>
      <c r="G67" s="135">
        <f t="shared" si="1"/>
        <v>0</v>
      </c>
      <c r="H67" s="208" t="str">
        <f t="shared" si="2"/>
        <v>CRÍTICO</v>
      </c>
      <c r="K67" s="135">
        <f t="shared" si="3"/>
        <v>0</v>
      </c>
      <c r="L67" s="208" t="str">
        <f t="shared" si="4"/>
        <v>NO CONFORME</v>
      </c>
    </row>
    <row r="68" ht="15.75" customHeight="1">
      <c r="F68" s="208">
        <v>100.0</v>
      </c>
      <c r="G68" s="135">
        <f t="shared" si="1"/>
        <v>0</v>
      </c>
      <c r="H68" s="208" t="str">
        <f t="shared" si="2"/>
        <v>CRÍTICO</v>
      </c>
      <c r="K68" s="135">
        <f t="shared" si="3"/>
        <v>0</v>
      </c>
      <c r="L68" s="208" t="str">
        <f t="shared" si="4"/>
        <v>NO CONFORME</v>
      </c>
    </row>
    <row r="69" ht="15.75" customHeight="1">
      <c r="F69" s="208">
        <v>100.0</v>
      </c>
      <c r="G69" s="135">
        <f t="shared" si="1"/>
        <v>0</v>
      </c>
      <c r="H69" s="208" t="str">
        <f t="shared" si="2"/>
        <v>CRÍTICO</v>
      </c>
      <c r="K69" s="135">
        <f t="shared" si="3"/>
        <v>0</v>
      </c>
      <c r="L69" s="208" t="str">
        <f t="shared" si="4"/>
        <v>NO CONFORME</v>
      </c>
    </row>
    <row r="70" ht="15.75" customHeight="1">
      <c r="F70" s="208">
        <v>100.0</v>
      </c>
      <c r="G70" s="135">
        <f t="shared" si="1"/>
        <v>0</v>
      </c>
      <c r="H70" s="208" t="str">
        <f t="shared" si="2"/>
        <v>CRÍTICO</v>
      </c>
      <c r="K70" s="135">
        <f t="shared" si="3"/>
        <v>0</v>
      </c>
      <c r="L70" s="208" t="str">
        <f t="shared" si="4"/>
        <v>NO CONFORME</v>
      </c>
    </row>
    <row r="71" ht="15.75" customHeight="1">
      <c r="F71" s="208">
        <v>100.0</v>
      </c>
      <c r="G71" s="135">
        <f t="shared" si="1"/>
        <v>0</v>
      </c>
      <c r="H71" s="208" t="str">
        <f t="shared" si="2"/>
        <v>CRÍTICO</v>
      </c>
      <c r="K71" s="135">
        <f t="shared" si="3"/>
        <v>0</v>
      </c>
      <c r="L71" s="208" t="str">
        <f t="shared" si="4"/>
        <v>NO CONFORME</v>
      </c>
    </row>
    <row r="72" ht="15.75" customHeight="1">
      <c r="F72" s="208">
        <v>100.0</v>
      </c>
      <c r="G72" s="135">
        <f t="shared" si="1"/>
        <v>0</v>
      </c>
      <c r="H72" s="208" t="str">
        <f t="shared" si="2"/>
        <v>CRÍTICO</v>
      </c>
      <c r="K72" s="135">
        <f t="shared" si="3"/>
        <v>0</v>
      </c>
      <c r="L72" s="208" t="str">
        <f t="shared" si="4"/>
        <v>NO CONFORME</v>
      </c>
    </row>
    <row r="73" ht="15.75" customHeight="1">
      <c r="F73" s="208">
        <v>100.0</v>
      </c>
      <c r="G73" s="135">
        <f t="shared" si="1"/>
        <v>0</v>
      </c>
      <c r="H73" s="208" t="str">
        <f t="shared" si="2"/>
        <v>CRÍTICO</v>
      </c>
      <c r="K73" s="135">
        <f t="shared" si="3"/>
        <v>0</v>
      </c>
      <c r="L73" s="208" t="str">
        <f t="shared" si="4"/>
        <v>NO CONFORME</v>
      </c>
    </row>
    <row r="74" ht="15.75" customHeight="1">
      <c r="F74" s="208">
        <v>100.0</v>
      </c>
      <c r="G74" s="135">
        <f t="shared" si="1"/>
        <v>0</v>
      </c>
      <c r="H74" s="208" t="str">
        <f t="shared" si="2"/>
        <v>CRÍTICO</v>
      </c>
      <c r="K74" s="135">
        <f t="shared" si="3"/>
        <v>0</v>
      </c>
      <c r="L74" s="208" t="str">
        <f t="shared" si="4"/>
        <v>NO CONFORME</v>
      </c>
    </row>
    <row r="75" ht="15.75" customHeight="1">
      <c r="F75" s="208">
        <v>100.0</v>
      </c>
      <c r="G75" s="135">
        <f t="shared" si="1"/>
        <v>0</v>
      </c>
      <c r="H75" s="208" t="str">
        <f t="shared" si="2"/>
        <v>CRÍTICO</v>
      </c>
      <c r="K75" s="135">
        <f t="shared" si="3"/>
        <v>0</v>
      </c>
      <c r="L75" s="208" t="str">
        <f t="shared" si="4"/>
        <v>NO CONFORME</v>
      </c>
    </row>
    <row r="76" ht="15.75" customHeight="1">
      <c r="F76" s="208">
        <v>100.0</v>
      </c>
      <c r="G76" s="135">
        <f t="shared" si="1"/>
        <v>0</v>
      </c>
      <c r="H76" s="208" t="str">
        <f t="shared" si="2"/>
        <v>CRÍTICO</v>
      </c>
      <c r="K76" s="135">
        <f t="shared" si="3"/>
        <v>0</v>
      </c>
      <c r="L76" s="208" t="str">
        <f t="shared" si="4"/>
        <v>NO CONFORME</v>
      </c>
    </row>
    <row r="77" ht="15.75" customHeight="1">
      <c r="F77" s="208">
        <v>100.0</v>
      </c>
      <c r="G77" s="135">
        <f t="shared" si="1"/>
        <v>0</v>
      </c>
      <c r="H77" s="208" t="str">
        <f t="shared" si="2"/>
        <v>CRÍTICO</v>
      </c>
      <c r="K77" s="135">
        <f t="shared" si="3"/>
        <v>0</v>
      </c>
      <c r="L77" s="208" t="str">
        <f t="shared" si="4"/>
        <v>NO CONFORME</v>
      </c>
    </row>
    <row r="78" ht="15.75" customHeight="1">
      <c r="F78" s="208">
        <v>100.0</v>
      </c>
      <c r="G78" s="135">
        <f t="shared" si="1"/>
        <v>0</v>
      </c>
      <c r="H78" s="208" t="str">
        <f t="shared" si="2"/>
        <v>CRÍTICO</v>
      </c>
      <c r="K78" s="135">
        <f t="shared" si="3"/>
        <v>0</v>
      </c>
      <c r="L78" s="208" t="str">
        <f t="shared" si="4"/>
        <v>NO CONFORME</v>
      </c>
    </row>
    <row r="79" ht="15.75" customHeight="1">
      <c r="F79" s="208">
        <v>100.0</v>
      </c>
      <c r="G79" s="135">
        <f t="shared" si="1"/>
        <v>0</v>
      </c>
      <c r="H79" s="208" t="str">
        <f t="shared" si="2"/>
        <v>CRÍTICO</v>
      </c>
      <c r="K79" s="135">
        <f t="shared" si="3"/>
        <v>0</v>
      </c>
      <c r="L79" s="208" t="str">
        <f t="shared" si="4"/>
        <v>NO CONFORME</v>
      </c>
    </row>
    <row r="80" ht="15.75" customHeight="1">
      <c r="F80" s="208">
        <v>100.0</v>
      </c>
      <c r="G80" s="135">
        <f t="shared" si="1"/>
        <v>0</v>
      </c>
      <c r="H80" s="208" t="str">
        <f t="shared" si="2"/>
        <v>CRÍTICO</v>
      </c>
      <c r="K80" s="135">
        <f t="shared" si="3"/>
        <v>0</v>
      </c>
      <c r="L80" s="208" t="str">
        <f t="shared" si="4"/>
        <v>NO CONFORME</v>
      </c>
    </row>
    <row r="81" ht="15.75" customHeight="1">
      <c r="F81" s="208">
        <v>100.0</v>
      </c>
      <c r="G81" s="135">
        <f t="shared" si="1"/>
        <v>0</v>
      </c>
      <c r="H81" s="208" t="str">
        <f t="shared" si="2"/>
        <v>CRÍTICO</v>
      </c>
      <c r="K81" s="135">
        <f t="shared" si="3"/>
        <v>0</v>
      </c>
      <c r="L81" s="208" t="str">
        <f t="shared" si="4"/>
        <v>NO CONFORME</v>
      </c>
    </row>
    <row r="82" ht="15.75" customHeight="1">
      <c r="F82" s="208">
        <v>100.0</v>
      </c>
      <c r="G82" s="135">
        <f t="shared" si="1"/>
        <v>0</v>
      </c>
      <c r="H82" s="208" t="str">
        <f t="shared" si="2"/>
        <v>CRÍTICO</v>
      </c>
      <c r="K82" s="135">
        <f t="shared" si="3"/>
        <v>0</v>
      </c>
      <c r="L82" s="208" t="str">
        <f t="shared" si="4"/>
        <v>NO CONFORME</v>
      </c>
    </row>
    <row r="83" ht="15.75" customHeight="1">
      <c r="F83" s="208">
        <v>100.0</v>
      </c>
      <c r="G83" s="135">
        <f t="shared" si="1"/>
        <v>0</v>
      </c>
      <c r="H83" s="208" t="str">
        <f t="shared" si="2"/>
        <v>CRÍTICO</v>
      </c>
      <c r="K83" s="135">
        <f t="shared" si="3"/>
        <v>0</v>
      </c>
      <c r="L83" s="208" t="str">
        <f t="shared" si="4"/>
        <v>NO CONFORME</v>
      </c>
    </row>
    <row r="84" ht="15.75" customHeight="1">
      <c r="F84" s="208">
        <v>100.0</v>
      </c>
      <c r="G84" s="135">
        <f t="shared" si="1"/>
        <v>0</v>
      </c>
      <c r="H84" s="208" t="str">
        <f t="shared" si="2"/>
        <v>CRÍTICO</v>
      </c>
      <c r="K84" s="135">
        <f t="shared" si="3"/>
        <v>0</v>
      </c>
      <c r="L84" s="208" t="str">
        <f t="shared" si="4"/>
        <v>NO CONFORME</v>
      </c>
    </row>
    <row r="85" ht="15.75" customHeight="1">
      <c r="F85" s="208">
        <v>100.0</v>
      </c>
      <c r="G85" s="135">
        <f t="shared" si="1"/>
        <v>0</v>
      </c>
      <c r="H85" s="208" t="str">
        <f t="shared" si="2"/>
        <v>CRÍTICO</v>
      </c>
      <c r="K85" s="135">
        <f t="shared" si="3"/>
        <v>0</v>
      </c>
      <c r="L85" s="208" t="str">
        <f t="shared" si="4"/>
        <v>NO CONFORME</v>
      </c>
    </row>
    <row r="86" ht="15.75" customHeight="1">
      <c r="F86" s="208">
        <v>100.0</v>
      </c>
      <c r="G86" s="135">
        <f t="shared" si="1"/>
        <v>0</v>
      </c>
      <c r="H86" s="208" t="str">
        <f t="shared" si="2"/>
        <v>CRÍTICO</v>
      </c>
      <c r="K86" s="135">
        <f t="shared" si="3"/>
        <v>0</v>
      </c>
      <c r="L86" s="208" t="str">
        <f t="shared" si="4"/>
        <v>NO CONFORME</v>
      </c>
    </row>
    <row r="87" ht="15.75" customHeight="1">
      <c r="F87" s="208">
        <v>100.0</v>
      </c>
      <c r="G87" s="135">
        <f t="shared" si="1"/>
        <v>0</v>
      </c>
      <c r="H87" s="208" t="str">
        <f t="shared" si="2"/>
        <v>CRÍTICO</v>
      </c>
      <c r="K87" s="135">
        <f t="shared" si="3"/>
        <v>0</v>
      </c>
      <c r="L87" s="208" t="str">
        <f t="shared" si="4"/>
        <v>NO CONFORME</v>
      </c>
    </row>
    <row r="88" ht="15.75" customHeight="1">
      <c r="F88" s="208">
        <v>100.0</v>
      </c>
      <c r="G88" s="135">
        <f t="shared" si="1"/>
        <v>0</v>
      </c>
      <c r="H88" s="208" t="str">
        <f t="shared" si="2"/>
        <v>CRÍTICO</v>
      </c>
      <c r="K88" s="135">
        <f t="shared" si="3"/>
        <v>0</v>
      </c>
      <c r="L88" s="208" t="str">
        <f t="shared" si="4"/>
        <v>NO CONFORME</v>
      </c>
    </row>
    <row r="89" ht="15.75" customHeight="1">
      <c r="F89" s="208">
        <v>100.0</v>
      </c>
      <c r="G89" s="135">
        <f t="shared" si="1"/>
        <v>0</v>
      </c>
      <c r="H89" s="208" t="str">
        <f t="shared" si="2"/>
        <v>CRÍTICO</v>
      </c>
      <c r="K89" s="135">
        <f t="shared" si="3"/>
        <v>0</v>
      </c>
      <c r="L89" s="208" t="str">
        <f t="shared" si="4"/>
        <v>NO CONFORME</v>
      </c>
    </row>
    <row r="90" ht="15.75" customHeight="1">
      <c r="F90" s="208">
        <v>100.0</v>
      </c>
      <c r="G90" s="135">
        <f t="shared" si="1"/>
        <v>0</v>
      </c>
      <c r="H90" s="208" t="str">
        <f t="shared" si="2"/>
        <v>CRÍTICO</v>
      </c>
      <c r="K90" s="135">
        <f t="shared" si="3"/>
        <v>0</v>
      </c>
      <c r="L90" s="208" t="str">
        <f t="shared" si="4"/>
        <v>NO CONFORME</v>
      </c>
    </row>
    <row r="91" ht="15.75" customHeight="1">
      <c r="F91" s="208">
        <v>100.0</v>
      </c>
      <c r="G91" s="135">
        <f t="shared" si="1"/>
        <v>0</v>
      </c>
      <c r="H91" s="208" t="str">
        <f t="shared" si="2"/>
        <v>CRÍTICO</v>
      </c>
      <c r="K91" s="135">
        <f t="shared" si="3"/>
        <v>0</v>
      </c>
      <c r="L91" s="208" t="str">
        <f t="shared" si="4"/>
        <v>NO CONFORME</v>
      </c>
    </row>
    <row r="92" ht="15.75" customHeight="1">
      <c r="F92" s="208">
        <v>100.0</v>
      </c>
      <c r="G92" s="135">
        <f t="shared" si="1"/>
        <v>0</v>
      </c>
      <c r="H92" s="208" t="str">
        <f t="shared" si="2"/>
        <v>CRÍTICO</v>
      </c>
      <c r="K92" s="135">
        <f t="shared" si="3"/>
        <v>0</v>
      </c>
      <c r="L92" s="208" t="str">
        <f t="shared" si="4"/>
        <v>NO CONFORME</v>
      </c>
    </row>
    <row r="93" ht="15.75" customHeight="1">
      <c r="F93" s="208">
        <v>100.0</v>
      </c>
      <c r="G93" s="135">
        <f t="shared" si="1"/>
        <v>0</v>
      </c>
      <c r="H93" s="208" t="str">
        <f t="shared" si="2"/>
        <v>CRÍTICO</v>
      </c>
      <c r="K93" s="135">
        <f t="shared" si="3"/>
        <v>0</v>
      </c>
      <c r="L93" s="208" t="str">
        <f t="shared" si="4"/>
        <v>NO CONFORME</v>
      </c>
    </row>
    <row r="94" ht="15.75" customHeight="1">
      <c r="F94" s="208">
        <v>100.0</v>
      </c>
      <c r="G94" s="135">
        <f t="shared" si="1"/>
        <v>0</v>
      </c>
      <c r="H94" s="208" t="str">
        <f t="shared" si="2"/>
        <v>CRÍTICO</v>
      </c>
      <c r="K94" s="135">
        <f t="shared" si="3"/>
        <v>0</v>
      </c>
      <c r="L94" s="208" t="str">
        <f t="shared" si="4"/>
        <v>NO CONFORME</v>
      </c>
    </row>
    <row r="95" ht="15.75" customHeight="1">
      <c r="F95" s="208">
        <v>100.0</v>
      </c>
      <c r="G95" s="135">
        <f t="shared" si="1"/>
        <v>0</v>
      </c>
      <c r="H95" s="208" t="str">
        <f t="shared" si="2"/>
        <v>CRÍTICO</v>
      </c>
      <c r="K95" s="135">
        <f t="shared" si="3"/>
        <v>0</v>
      </c>
      <c r="L95" s="208" t="str">
        <f t="shared" si="4"/>
        <v>NO CONFORME</v>
      </c>
    </row>
    <row r="96" ht="15.75" customHeight="1">
      <c r="F96" s="208">
        <v>100.0</v>
      </c>
      <c r="G96" s="135">
        <f t="shared" si="1"/>
        <v>0</v>
      </c>
      <c r="H96" s="208" t="str">
        <f t="shared" si="2"/>
        <v>CRÍTICO</v>
      </c>
      <c r="K96" s="135">
        <f t="shared" si="3"/>
        <v>0</v>
      </c>
      <c r="L96" s="208" t="str">
        <f t="shared" si="4"/>
        <v>NO CONFORME</v>
      </c>
    </row>
    <row r="97" ht="15.75" customHeight="1">
      <c r="F97" s="208">
        <v>100.0</v>
      </c>
      <c r="G97" s="135">
        <f t="shared" si="1"/>
        <v>0</v>
      </c>
      <c r="H97" s="208" t="str">
        <f t="shared" si="2"/>
        <v>CRÍTICO</v>
      </c>
      <c r="K97" s="135">
        <f t="shared" si="3"/>
        <v>0</v>
      </c>
      <c r="L97" s="208" t="str">
        <f t="shared" si="4"/>
        <v>NO CONFORME</v>
      </c>
    </row>
    <row r="98" ht="15.75" customHeight="1">
      <c r="F98" s="208">
        <v>100.0</v>
      </c>
      <c r="G98" s="135">
        <f t="shared" si="1"/>
        <v>0</v>
      </c>
      <c r="H98" s="208" t="str">
        <f t="shared" si="2"/>
        <v>CRÍTICO</v>
      </c>
      <c r="K98" s="135">
        <f t="shared" si="3"/>
        <v>0</v>
      </c>
      <c r="L98" s="208" t="str">
        <f t="shared" si="4"/>
        <v>NO CONFORME</v>
      </c>
    </row>
    <row r="99" ht="15.75" customHeight="1">
      <c r="F99" s="208">
        <v>100.0</v>
      </c>
      <c r="G99" s="135">
        <f t="shared" si="1"/>
        <v>0</v>
      </c>
      <c r="H99" s="208" t="str">
        <f t="shared" si="2"/>
        <v>CRÍTICO</v>
      </c>
      <c r="K99" s="135">
        <f t="shared" si="3"/>
        <v>0</v>
      </c>
      <c r="L99" s="208" t="str">
        <f t="shared" si="4"/>
        <v>NO CONFORME</v>
      </c>
    </row>
    <row r="100" ht="15.75" customHeight="1">
      <c r="F100" s="208">
        <v>100.0</v>
      </c>
      <c r="G100" s="135">
        <f t="shared" si="1"/>
        <v>0</v>
      </c>
      <c r="H100" s="208" t="str">
        <f t="shared" si="2"/>
        <v>CRÍTICO</v>
      </c>
      <c r="K100" s="135">
        <f t="shared" si="3"/>
        <v>0</v>
      </c>
      <c r="L100" s="208" t="str">
        <f t="shared" si="4"/>
        <v>NO CONFORME</v>
      </c>
    </row>
    <row r="101" ht="15.75" customHeight="1">
      <c r="F101" s="208">
        <v>100.0</v>
      </c>
      <c r="G101" s="135">
        <f t="shared" si="1"/>
        <v>0</v>
      </c>
      <c r="H101" s="208" t="str">
        <f t="shared" si="2"/>
        <v>CRÍTICO</v>
      </c>
      <c r="K101" s="135">
        <f t="shared" si="3"/>
        <v>0</v>
      </c>
      <c r="L101" s="208" t="str">
        <f t="shared" si="4"/>
        <v>NO CONFORME</v>
      </c>
    </row>
    <row r="102" ht="15.75" customHeight="1">
      <c r="F102" s="208">
        <v>100.0</v>
      </c>
      <c r="G102" s="135">
        <f t="shared" si="1"/>
        <v>0</v>
      </c>
      <c r="H102" s="208" t="str">
        <f t="shared" si="2"/>
        <v>CRÍTICO</v>
      </c>
      <c r="K102" s="135">
        <f t="shared" si="3"/>
        <v>0</v>
      </c>
      <c r="L102" s="208" t="str">
        <f t="shared" si="4"/>
        <v>NO CONFORME</v>
      </c>
    </row>
    <row r="103" ht="15.75" customHeight="1">
      <c r="F103" s="208">
        <v>100.0</v>
      </c>
      <c r="G103" s="135">
        <f t="shared" si="1"/>
        <v>0</v>
      </c>
      <c r="H103" s="208" t="str">
        <f t="shared" si="2"/>
        <v>CRÍTICO</v>
      </c>
      <c r="K103" s="135">
        <f t="shared" si="3"/>
        <v>0</v>
      </c>
      <c r="L103" s="208" t="str">
        <f t="shared" si="4"/>
        <v>NO CONFORME</v>
      </c>
    </row>
    <row r="104" ht="15.75" customHeight="1">
      <c r="F104" s="208">
        <v>100.0</v>
      </c>
      <c r="G104" s="135">
        <f t="shared" si="1"/>
        <v>0</v>
      </c>
      <c r="H104" s="208" t="str">
        <f t="shared" si="2"/>
        <v>CRÍTICO</v>
      </c>
      <c r="K104" s="135">
        <f t="shared" si="3"/>
        <v>0</v>
      </c>
      <c r="L104" s="208" t="str">
        <f t="shared" si="4"/>
        <v>NO CONFORME</v>
      </c>
    </row>
    <row r="105" ht="15.75" customHeight="1">
      <c r="F105" s="208">
        <v>100.0</v>
      </c>
      <c r="G105" s="135">
        <f t="shared" si="1"/>
        <v>0</v>
      </c>
      <c r="H105" s="208" t="str">
        <f t="shared" si="2"/>
        <v>CRÍTICO</v>
      </c>
      <c r="K105" s="135">
        <f t="shared" si="3"/>
        <v>0</v>
      </c>
      <c r="L105" s="208" t="str">
        <f t="shared" si="4"/>
        <v>NO CONFORME</v>
      </c>
    </row>
    <row r="106" ht="15.75" customHeight="1">
      <c r="F106" s="208">
        <v>100.0</v>
      </c>
      <c r="G106" s="135">
        <f t="shared" si="1"/>
        <v>0</v>
      </c>
      <c r="H106" s="208" t="str">
        <f t="shared" si="2"/>
        <v>CRÍTICO</v>
      </c>
      <c r="K106" s="135">
        <f t="shared" si="3"/>
        <v>0</v>
      </c>
      <c r="L106" s="208" t="str">
        <f t="shared" si="4"/>
        <v>NO CONFORME</v>
      </c>
    </row>
    <row r="107" ht="15.75" customHeight="1">
      <c r="F107" s="208">
        <v>100.0</v>
      </c>
      <c r="G107" s="135">
        <f t="shared" si="1"/>
        <v>0</v>
      </c>
      <c r="H107" s="208" t="str">
        <f t="shared" si="2"/>
        <v>CRÍTICO</v>
      </c>
      <c r="K107" s="135">
        <f t="shared" si="3"/>
        <v>0</v>
      </c>
      <c r="L107" s="208" t="str">
        <f t="shared" si="4"/>
        <v>NO CONFORME</v>
      </c>
    </row>
    <row r="108" ht="15.75" customHeight="1">
      <c r="F108" s="208">
        <v>100.0</v>
      </c>
      <c r="G108" s="135">
        <f t="shared" si="1"/>
        <v>0</v>
      </c>
      <c r="H108" s="208" t="str">
        <f t="shared" si="2"/>
        <v>CRÍTICO</v>
      </c>
      <c r="K108" s="135">
        <f t="shared" si="3"/>
        <v>0</v>
      </c>
      <c r="L108" s="208" t="str">
        <f t="shared" si="4"/>
        <v>NO CONFORME</v>
      </c>
    </row>
    <row r="109" ht="15.75" customHeight="1">
      <c r="F109" s="208">
        <v>100.0</v>
      </c>
      <c r="G109" s="135">
        <f t="shared" si="1"/>
        <v>0</v>
      </c>
      <c r="H109" s="208" t="str">
        <f t="shared" si="2"/>
        <v>CRÍTICO</v>
      </c>
      <c r="K109" s="135">
        <f t="shared" si="3"/>
        <v>0</v>
      </c>
      <c r="L109" s="208" t="str">
        <f t="shared" si="4"/>
        <v>NO CONFORME</v>
      </c>
    </row>
    <row r="110" ht="15.75" customHeight="1">
      <c r="F110" s="208">
        <v>100.0</v>
      </c>
      <c r="G110" s="135">
        <f t="shared" si="1"/>
        <v>0</v>
      </c>
      <c r="H110" s="208" t="str">
        <f t="shared" si="2"/>
        <v>CRÍTICO</v>
      </c>
      <c r="K110" s="135">
        <f t="shared" si="3"/>
        <v>0</v>
      </c>
      <c r="L110" s="208" t="str">
        <f t="shared" si="4"/>
        <v>NO CONFORME</v>
      </c>
    </row>
    <row r="111" ht="15.75" customHeight="1">
      <c r="F111" s="208">
        <v>100.0</v>
      </c>
      <c r="G111" s="135">
        <f t="shared" si="1"/>
        <v>0</v>
      </c>
      <c r="H111" s="208" t="str">
        <f t="shared" si="2"/>
        <v>CRÍTICO</v>
      </c>
      <c r="K111" s="135">
        <f t="shared" si="3"/>
        <v>0</v>
      </c>
      <c r="L111" s="208" t="str">
        <f t="shared" si="4"/>
        <v>NO CONFORME</v>
      </c>
    </row>
    <row r="112" ht="15.75" customHeight="1">
      <c r="F112" s="208">
        <v>100.0</v>
      </c>
      <c r="G112" s="135">
        <f t="shared" si="1"/>
        <v>0</v>
      </c>
      <c r="H112" s="208" t="str">
        <f t="shared" si="2"/>
        <v>CRÍTICO</v>
      </c>
      <c r="K112" s="135">
        <f t="shared" si="3"/>
        <v>0</v>
      </c>
      <c r="L112" s="208" t="str">
        <f t="shared" si="4"/>
        <v>NO CONFORME</v>
      </c>
    </row>
    <row r="113" ht="15.75" customHeight="1">
      <c r="F113" s="208">
        <v>100.0</v>
      </c>
      <c r="G113" s="135">
        <f t="shared" si="1"/>
        <v>0</v>
      </c>
      <c r="H113" s="208" t="str">
        <f t="shared" si="2"/>
        <v>CRÍTICO</v>
      </c>
      <c r="K113" s="135">
        <f t="shared" si="3"/>
        <v>0</v>
      </c>
      <c r="L113" s="208" t="str">
        <f t="shared" si="4"/>
        <v>NO CONFORME</v>
      </c>
    </row>
    <row r="114" ht="15.75" customHeight="1">
      <c r="F114" s="208">
        <v>100.0</v>
      </c>
      <c r="G114" s="135">
        <f t="shared" si="1"/>
        <v>0</v>
      </c>
      <c r="H114" s="208" t="str">
        <f t="shared" si="2"/>
        <v>CRÍTICO</v>
      </c>
      <c r="K114" s="135">
        <f t="shared" si="3"/>
        <v>0</v>
      </c>
      <c r="L114" s="208" t="str">
        <f t="shared" si="4"/>
        <v>NO CONFORME</v>
      </c>
    </row>
    <row r="115" ht="15.75" customHeight="1">
      <c r="F115" s="208">
        <v>100.0</v>
      </c>
      <c r="G115" s="135">
        <f t="shared" si="1"/>
        <v>0</v>
      </c>
      <c r="H115" s="208" t="str">
        <f t="shared" si="2"/>
        <v>CRÍTICO</v>
      </c>
      <c r="K115" s="135">
        <f t="shared" si="3"/>
        <v>0</v>
      </c>
      <c r="L115" s="208" t="str">
        <f t="shared" si="4"/>
        <v>NO CONFORME</v>
      </c>
    </row>
    <row r="116" ht="15.75" customHeight="1">
      <c r="F116" s="208">
        <v>100.0</v>
      </c>
      <c r="G116" s="135">
        <f t="shared" si="1"/>
        <v>0</v>
      </c>
      <c r="H116" s="208" t="str">
        <f t="shared" si="2"/>
        <v>CRÍTICO</v>
      </c>
      <c r="K116" s="135">
        <f t="shared" si="3"/>
        <v>0</v>
      </c>
      <c r="L116" s="208" t="str">
        <f t="shared" si="4"/>
        <v>NO CONFORME</v>
      </c>
    </row>
    <row r="117" ht="15.75" customHeight="1">
      <c r="F117" s="208">
        <v>100.0</v>
      </c>
      <c r="G117" s="135">
        <f t="shared" si="1"/>
        <v>0</v>
      </c>
      <c r="H117" s="208" t="str">
        <f t="shared" si="2"/>
        <v>CRÍTICO</v>
      </c>
      <c r="K117" s="135">
        <f t="shared" si="3"/>
        <v>0</v>
      </c>
      <c r="L117" s="208" t="str">
        <f t="shared" si="4"/>
        <v>NO CONFORME</v>
      </c>
    </row>
    <row r="118" ht="15.75" customHeight="1">
      <c r="F118" s="208">
        <v>100.0</v>
      </c>
      <c r="G118" s="135">
        <f t="shared" si="1"/>
        <v>0</v>
      </c>
      <c r="H118" s="208" t="str">
        <f t="shared" si="2"/>
        <v>CRÍTICO</v>
      </c>
      <c r="K118" s="135">
        <f t="shared" si="3"/>
        <v>0</v>
      </c>
      <c r="L118" s="208" t="str">
        <f t="shared" si="4"/>
        <v>NO CONFORME</v>
      </c>
    </row>
    <row r="119" ht="15.75" customHeight="1">
      <c r="F119" s="208">
        <v>100.0</v>
      </c>
      <c r="G119" s="135">
        <f t="shared" si="1"/>
        <v>0</v>
      </c>
      <c r="H119" s="208" t="str">
        <f t="shared" si="2"/>
        <v>CRÍTICO</v>
      </c>
      <c r="K119" s="135">
        <f t="shared" si="3"/>
        <v>0</v>
      </c>
      <c r="L119" s="208" t="str">
        <f t="shared" si="4"/>
        <v>NO CONFORME</v>
      </c>
    </row>
    <row r="120" ht="15.75" customHeight="1">
      <c r="F120" s="208">
        <v>100.0</v>
      </c>
      <c r="G120" s="135">
        <f t="shared" si="1"/>
        <v>0</v>
      </c>
      <c r="H120" s="208" t="str">
        <f t="shared" si="2"/>
        <v>CRÍTICO</v>
      </c>
      <c r="K120" s="135">
        <f t="shared" si="3"/>
        <v>0</v>
      </c>
      <c r="L120" s="208" t="str">
        <f t="shared" si="4"/>
        <v>NO CONFORME</v>
      </c>
    </row>
    <row r="121" ht="15.75" customHeight="1">
      <c r="F121" s="208">
        <v>100.0</v>
      </c>
      <c r="G121" s="135">
        <f t="shared" si="1"/>
        <v>0</v>
      </c>
      <c r="H121" s="208" t="str">
        <f t="shared" si="2"/>
        <v>CRÍTICO</v>
      </c>
      <c r="K121" s="135">
        <f t="shared" si="3"/>
        <v>0</v>
      </c>
      <c r="L121" s="208" t="str">
        <f t="shared" si="4"/>
        <v>NO CONFORME</v>
      </c>
    </row>
    <row r="122" ht="15.75" customHeight="1">
      <c r="F122" s="208">
        <v>100.0</v>
      </c>
      <c r="G122" s="135">
        <f t="shared" si="1"/>
        <v>0</v>
      </c>
      <c r="H122" s="208" t="str">
        <f t="shared" si="2"/>
        <v>CRÍTICO</v>
      </c>
      <c r="K122" s="135">
        <f t="shared" si="3"/>
        <v>0</v>
      </c>
      <c r="L122" s="208" t="str">
        <f t="shared" si="4"/>
        <v>NO CONFORME</v>
      </c>
    </row>
    <row r="123" ht="15.75" customHeight="1">
      <c r="F123" s="208">
        <v>100.0</v>
      </c>
      <c r="G123" s="135">
        <f t="shared" si="1"/>
        <v>0</v>
      </c>
      <c r="H123" s="208" t="str">
        <f t="shared" si="2"/>
        <v>CRÍTICO</v>
      </c>
      <c r="K123" s="135">
        <f t="shared" si="3"/>
        <v>0</v>
      </c>
      <c r="L123" s="208" t="str">
        <f t="shared" si="4"/>
        <v>NO CONFORME</v>
      </c>
    </row>
    <row r="124" ht="15.75" customHeight="1">
      <c r="F124" s="208">
        <v>100.0</v>
      </c>
      <c r="G124" s="135">
        <f t="shared" si="1"/>
        <v>0</v>
      </c>
      <c r="H124" s="208" t="str">
        <f t="shared" si="2"/>
        <v>CRÍTICO</v>
      </c>
      <c r="K124" s="135">
        <f t="shared" si="3"/>
        <v>0</v>
      </c>
      <c r="L124" s="208" t="str">
        <f t="shared" si="4"/>
        <v>NO CONFORME</v>
      </c>
    </row>
    <row r="125" ht="15.75" customHeight="1">
      <c r="F125" s="208">
        <v>100.0</v>
      </c>
      <c r="G125" s="135">
        <f t="shared" si="1"/>
        <v>0</v>
      </c>
      <c r="H125" s="208" t="str">
        <f t="shared" si="2"/>
        <v>CRÍTICO</v>
      </c>
      <c r="K125" s="135">
        <f t="shared" si="3"/>
        <v>0</v>
      </c>
      <c r="L125" s="208" t="str">
        <f t="shared" si="4"/>
        <v>NO CONFORME</v>
      </c>
    </row>
    <row r="126" ht="15.75" customHeight="1">
      <c r="F126" s="208">
        <v>100.0</v>
      </c>
      <c r="G126" s="135">
        <f t="shared" si="1"/>
        <v>0</v>
      </c>
      <c r="H126" s="208" t="str">
        <f t="shared" si="2"/>
        <v>CRÍTICO</v>
      </c>
      <c r="K126" s="135">
        <f t="shared" si="3"/>
        <v>0</v>
      </c>
      <c r="L126" s="208" t="str">
        <f t="shared" si="4"/>
        <v>NO CONFORME</v>
      </c>
    </row>
    <row r="127" ht="15.75" customHeight="1">
      <c r="F127" s="208">
        <v>100.0</v>
      </c>
      <c r="G127" s="135">
        <f t="shared" si="1"/>
        <v>0</v>
      </c>
      <c r="H127" s="208" t="str">
        <f t="shared" si="2"/>
        <v>CRÍTICO</v>
      </c>
      <c r="K127" s="135">
        <f t="shared" si="3"/>
        <v>0</v>
      </c>
      <c r="L127" s="208" t="str">
        <f t="shared" si="4"/>
        <v>NO CONFORME</v>
      </c>
    </row>
    <row r="128" ht="15.75" customHeight="1">
      <c r="F128" s="208">
        <v>100.0</v>
      </c>
      <c r="G128" s="135">
        <f t="shared" si="1"/>
        <v>0</v>
      </c>
      <c r="H128" s="208" t="str">
        <f t="shared" si="2"/>
        <v>CRÍTICO</v>
      </c>
      <c r="K128" s="135">
        <f t="shared" si="3"/>
        <v>0</v>
      </c>
      <c r="L128" s="208" t="str">
        <f t="shared" si="4"/>
        <v>NO CONFORME</v>
      </c>
    </row>
    <row r="129" ht="15.75" customHeight="1">
      <c r="F129" s="208">
        <v>100.0</v>
      </c>
      <c r="G129" s="135">
        <f t="shared" si="1"/>
        <v>0</v>
      </c>
      <c r="H129" s="208" t="str">
        <f t="shared" si="2"/>
        <v>CRÍTICO</v>
      </c>
      <c r="K129" s="135">
        <f t="shared" si="3"/>
        <v>0</v>
      </c>
      <c r="L129" s="208" t="str">
        <f t="shared" si="4"/>
        <v>NO CONFORME</v>
      </c>
    </row>
    <row r="130" ht="15.75" customHeight="1">
      <c r="F130" s="208">
        <v>100.0</v>
      </c>
      <c r="G130" s="135">
        <f t="shared" si="1"/>
        <v>0</v>
      </c>
      <c r="H130" s="208" t="str">
        <f t="shared" si="2"/>
        <v>CRÍTICO</v>
      </c>
      <c r="K130" s="135">
        <f t="shared" si="3"/>
        <v>0</v>
      </c>
      <c r="L130" s="208" t="str">
        <f t="shared" si="4"/>
        <v>NO CONFORME</v>
      </c>
    </row>
    <row r="131" ht="15.75" customHeight="1">
      <c r="F131" s="208">
        <v>100.0</v>
      </c>
      <c r="G131" s="135">
        <f t="shared" si="1"/>
        <v>0</v>
      </c>
      <c r="H131" s="208" t="str">
        <f t="shared" si="2"/>
        <v>CRÍTICO</v>
      </c>
      <c r="K131" s="135">
        <f t="shared" si="3"/>
        <v>0</v>
      </c>
      <c r="L131" s="208" t="str">
        <f t="shared" si="4"/>
        <v>NO CONFORME</v>
      </c>
    </row>
    <row r="132" ht="15.75" customHeight="1">
      <c r="F132" s="208">
        <v>100.0</v>
      </c>
      <c r="G132" s="135">
        <f t="shared" si="1"/>
        <v>0</v>
      </c>
      <c r="H132" s="208" t="str">
        <f t="shared" si="2"/>
        <v>CRÍTICO</v>
      </c>
      <c r="K132" s="135">
        <f t="shared" si="3"/>
        <v>0</v>
      </c>
      <c r="L132" s="208" t="str">
        <f t="shared" si="4"/>
        <v>NO CONFORME</v>
      </c>
    </row>
    <row r="133" ht="15.75" customHeight="1">
      <c r="F133" s="208">
        <v>100.0</v>
      </c>
      <c r="G133" s="135">
        <f t="shared" si="1"/>
        <v>0</v>
      </c>
      <c r="H133" s="208" t="str">
        <f t="shared" si="2"/>
        <v>CRÍTICO</v>
      </c>
      <c r="K133" s="135">
        <f t="shared" si="3"/>
        <v>0</v>
      </c>
      <c r="L133" s="208" t="str">
        <f t="shared" si="4"/>
        <v>NO CONFORME</v>
      </c>
    </row>
    <row r="134" ht="15.75" customHeight="1">
      <c r="F134" s="208">
        <v>100.0</v>
      </c>
      <c r="G134" s="135">
        <f t="shared" si="1"/>
        <v>0</v>
      </c>
      <c r="H134" s="208" t="str">
        <f t="shared" si="2"/>
        <v>CRÍTICO</v>
      </c>
      <c r="K134" s="135">
        <f t="shared" si="3"/>
        <v>0</v>
      </c>
      <c r="L134" s="208" t="str">
        <f t="shared" si="4"/>
        <v>NO CONFORME</v>
      </c>
    </row>
    <row r="135" ht="15.75" customHeight="1">
      <c r="F135" s="208">
        <v>100.0</v>
      </c>
      <c r="G135" s="135">
        <f t="shared" si="1"/>
        <v>0</v>
      </c>
      <c r="H135" s="208" t="str">
        <f t="shared" si="2"/>
        <v>CRÍTICO</v>
      </c>
      <c r="K135" s="135">
        <f t="shared" si="3"/>
        <v>0</v>
      </c>
      <c r="L135" s="208" t="str">
        <f t="shared" si="4"/>
        <v>NO CONFORME</v>
      </c>
    </row>
    <row r="136" ht="15.75" customHeight="1">
      <c r="F136" s="208">
        <v>100.0</v>
      </c>
      <c r="G136" s="135">
        <f t="shared" si="1"/>
        <v>0</v>
      </c>
      <c r="H136" s="208" t="str">
        <f t="shared" si="2"/>
        <v>CRÍTICO</v>
      </c>
      <c r="K136" s="135">
        <f t="shared" si="3"/>
        <v>0</v>
      </c>
      <c r="L136" s="208" t="str">
        <f t="shared" si="4"/>
        <v>NO CONFORME</v>
      </c>
    </row>
    <row r="137" ht="15.75" customHeight="1">
      <c r="F137" s="208">
        <v>100.0</v>
      </c>
      <c r="G137" s="135">
        <f t="shared" si="1"/>
        <v>0</v>
      </c>
      <c r="H137" s="208" t="str">
        <f t="shared" si="2"/>
        <v>CRÍTICO</v>
      </c>
      <c r="K137" s="135">
        <f t="shared" si="3"/>
        <v>0</v>
      </c>
      <c r="L137" s="208" t="str">
        <f t="shared" si="4"/>
        <v>NO CONFORME</v>
      </c>
    </row>
    <row r="138" ht="15.75" customHeight="1">
      <c r="F138" s="208">
        <v>100.0</v>
      </c>
      <c r="G138" s="135">
        <f t="shared" si="1"/>
        <v>0</v>
      </c>
      <c r="H138" s="208" t="str">
        <f t="shared" si="2"/>
        <v>CRÍTICO</v>
      </c>
      <c r="K138" s="135">
        <f t="shared" si="3"/>
        <v>0</v>
      </c>
      <c r="L138" s="208" t="str">
        <f t="shared" si="4"/>
        <v>NO CONFORME</v>
      </c>
    </row>
    <row r="139" ht="15.75" customHeight="1">
      <c r="F139" s="208">
        <v>100.0</v>
      </c>
      <c r="G139" s="135">
        <f t="shared" si="1"/>
        <v>0</v>
      </c>
      <c r="H139" s="208" t="str">
        <f t="shared" si="2"/>
        <v>CRÍTICO</v>
      </c>
      <c r="K139" s="135">
        <f t="shared" si="3"/>
        <v>0</v>
      </c>
      <c r="L139" s="208" t="str">
        <f t="shared" si="4"/>
        <v>NO CONFORME</v>
      </c>
    </row>
    <row r="140" ht="15.75" customHeight="1">
      <c r="F140" s="208">
        <v>100.0</v>
      </c>
      <c r="G140" s="135">
        <f t="shared" si="1"/>
        <v>0</v>
      </c>
      <c r="H140" s="208" t="str">
        <f t="shared" si="2"/>
        <v>CRÍTICO</v>
      </c>
      <c r="K140" s="135">
        <f t="shared" si="3"/>
        <v>0</v>
      </c>
      <c r="L140" s="208" t="str">
        <f t="shared" si="4"/>
        <v>NO CONFORME</v>
      </c>
    </row>
    <row r="141" ht="15.75" customHeight="1">
      <c r="F141" s="208">
        <v>100.0</v>
      </c>
      <c r="G141" s="135">
        <f t="shared" si="1"/>
        <v>0</v>
      </c>
      <c r="H141" s="208" t="str">
        <f t="shared" si="2"/>
        <v>CRÍTICO</v>
      </c>
      <c r="K141" s="135">
        <f t="shared" si="3"/>
        <v>0</v>
      </c>
      <c r="L141" s="208" t="str">
        <f t="shared" si="4"/>
        <v>NO CONFORME</v>
      </c>
    </row>
    <row r="142" ht="15.75" customHeight="1">
      <c r="F142" s="208">
        <v>100.0</v>
      </c>
      <c r="G142" s="135">
        <f t="shared" si="1"/>
        <v>0</v>
      </c>
      <c r="H142" s="208" t="str">
        <f t="shared" si="2"/>
        <v>CRÍTICO</v>
      </c>
      <c r="K142" s="135">
        <f t="shared" si="3"/>
        <v>0</v>
      </c>
      <c r="L142" s="208" t="str">
        <f t="shared" si="4"/>
        <v>NO CONFORME</v>
      </c>
    </row>
    <row r="143" ht="15.75" customHeight="1">
      <c r="F143" s="208">
        <v>100.0</v>
      </c>
      <c r="G143" s="135">
        <f t="shared" si="1"/>
        <v>0</v>
      </c>
      <c r="H143" s="208" t="str">
        <f t="shared" si="2"/>
        <v>CRÍTICO</v>
      </c>
      <c r="K143" s="135">
        <f t="shared" si="3"/>
        <v>0</v>
      </c>
      <c r="L143" s="208" t="str">
        <f t="shared" si="4"/>
        <v>NO CONFORME</v>
      </c>
    </row>
    <row r="144" ht="15.75" customHeight="1">
      <c r="F144" s="208">
        <v>100.0</v>
      </c>
      <c r="G144" s="135">
        <f t="shared" si="1"/>
        <v>0</v>
      </c>
      <c r="H144" s="208" t="str">
        <f t="shared" si="2"/>
        <v>CRÍTICO</v>
      </c>
      <c r="K144" s="135">
        <f t="shared" si="3"/>
        <v>0</v>
      </c>
      <c r="L144" s="208" t="str">
        <f t="shared" si="4"/>
        <v>NO CONFORME</v>
      </c>
    </row>
    <row r="145" ht="15.75" customHeight="1">
      <c r="F145" s="208">
        <v>100.0</v>
      </c>
      <c r="G145" s="135">
        <f t="shared" si="1"/>
        <v>0</v>
      </c>
      <c r="H145" s="208" t="str">
        <f t="shared" si="2"/>
        <v>CRÍTICO</v>
      </c>
      <c r="K145" s="135">
        <f t="shared" si="3"/>
        <v>0</v>
      </c>
      <c r="L145" s="208" t="str">
        <f t="shared" si="4"/>
        <v>NO CONFORME</v>
      </c>
    </row>
    <row r="146" ht="15.75" customHeight="1">
      <c r="F146" s="208">
        <v>100.0</v>
      </c>
      <c r="G146" s="135">
        <f t="shared" si="1"/>
        <v>0</v>
      </c>
      <c r="H146" s="208" t="str">
        <f t="shared" si="2"/>
        <v>CRÍTICO</v>
      </c>
      <c r="K146" s="135">
        <f t="shared" si="3"/>
        <v>0</v>
      </c>
      <c r="L146" s="208" t="str">
        <f t="shared" si="4"/>
        <v>NO CONFORME</v>
      </c>
    </row>
    <row r="147" ht="15.75" customHeight="1">
      <c r="F147" s="208">
        <v>100.0</v>
      </c>
      <c r="G147" s="135">
        <f t="shared" si="1"/>
        <v>0</v>
      </c>
      <c r="H147" s="208" t="str">
        <f t="shared" si="2"/>
        <v>CRÍTICO</v>
      </c>
      <c r="K147" s="135">
        <f t="shared" si="3"/>
        <v>0</v>
      </c>
      <c r="L147" s="208" t="str">
        <f t="shared" si="4"/>
        <v>NO CONFORME</v>
      </c>
    </row>
    <row r="148" ht="15.75" customHeight="1">
      <c r="F148" s="208">
        <v>100.0</v>
      </c>
      <c r="G148" s="135">
        <f t="shared" si="1"/>
        <v>0</v>
      </c>
      <c r="H148" s="208" t="str">
        <f t="shared" si="2"/>
        <v>CRÍTICO</v>
      </c>
      <c r="K148" s="135">
        <f t="shared" si="3"/>
        <v>0</v>
      </c>
      <c r="L148" s="208" t="str">
        <f t="shared" si="4"/>
        <v>NO CONFORME</v>
      </c>
    </row>
    <row r="149" ht="15.75" customHeight="1">
      <c r="F149" s="208">
        <v>100.0</v>
      </c>
      <c r="G149" s="135">
        <f t="shared" si="1"/>
        <v>0</v>
      </c>
      <c r="H149" s="208" t="str">
        <f t="shared" si="2"/>
        <v>CRÍTICO</v>
      </c>
      <c r="K149" s="135">
        <f t="shared" si="3"/>
        <v>0</v>
      </c>
      <c r="L149" s="208" t="str">
        <f t="shared" si="4"/>
        <v>NO CONFORME</v>
      </c>
    </row>
    <row r="150" ht="15.75" customHeight="1">
      <c r="F150" s="208">
        <v>100.0</v>
      </c>
      <c r="G150" s="135">
        <f t="shared" si="1"/>
        <v>0</v>
      </c>
      <c r="H150" s="208" t="str">
        <f t="shared" si="2"/>
        <v>CRÍTICO</v>
      </c>
      <c r="K150" s="135">
        <f t="shared" si="3"/>
        <v>0</v>
      </c>
      <c r="L150" s="208" t="str">
        <f t="shared" si="4"/>
        <v>NO CONFORME</v>
      </c>
    </row>
    <row r="151" ht="15.75" customHeight="1">
      <c r="F151" s="208">
        <v>100.0</v>
      </c>
      <c r="G151" s="135">
        <f t="shared" si="1"/>
        <v>0</v>
      </c>
      <c r="H151" s="208" t="str">
        <f t="shared" si="2"/>
        <v>CRÍTICO</v>
      </c>
      <c r="K151" s="135">
        <f t="shared" si="3"/>
        <v>0</v>
      </c>
      <c r="L151" s="208" t="str">
        <f t="shared" si="4"/>
        <v>NO CONFORME</v>
      </c>
    </row>
    <row r="152" ht="15.75" customHeight="1">
      <c r="F152" s="208">
        <v>100.0</v>
      </c>
      <c r="G152" s="135">
        <f t="shared" si="1"/>
        <v>0</v>
      </c>
      <c r="H152" s="208" t="str">
        <f t="shared" si="2"/>
        <v>CRÍTICO</v>
      </c>
      <c r="K152" s="135">
        <f t="shared" si="3"/>
        <v>0</v>
      </c>
      <c r="L152" s="208" t="str">
        <f t="shared" si="4"/>
        <v>NO CONFORME</v>
      </c>
    </row>
    <row r="153" ht="15.75" customHeight="1">
      <c r="F153" s="208">
        <v>100.0</v>
      </c>
      <c r="G153" s="135">
        <f t="shared" si="1"/>
        <v>0</v>
      </c>
      <c r="H153" s="208" t="str">
        <f t="shared" si="2"/>
        <v>CRÍTICO</v>
      </c>
      <c r="K153" s="135">
        <f t="shared" si="3"/>
        <v>0</v>
      </c>
      <c r="L153" s="208" t="str">
        <f t="shared" si="4"/>
        <v>NO CONFORME</v>
      </c>
    </row>
    <row r="154" ht="15.75" customHeight="1">
      <c r="F154" s="208">
        <v>100.0</v>
      </c>
      <c r="G154" s="135">
        <f t="shared" si="1"/>
        <v>0</v>
      </c>
      <c r="H154" s="208" t="str">
        <f t="shared" si="2"/>
        <v>CRÍTICO</v>
      </c>
      <c r="K154" s="135">
        <f t="shared" si="3"/>
        <v>0</v>
      </c>
      <c r="L154" s="208" t="str">
        <f t="shared" si="4"/>
        <v>NO CONFORME</v>
      </c>
    </row>
    <row r="155" ht="15.75" customHeight="1">
      <c r="F155" s="208">
        <v>100.0</v>
      </c>
      <c r="G155" s="135">
        <f t="shared" si="1"/>
        <v>0</v>
      </c>
      <c r="H155" s="208" t="str">
        <f t="shared" si="2"/>
        <v>CRÍTICO</v>
      </c>
      <c r="K155" s="135">
        <f t="shared" si="3"/>
        <v>0</v>
      </c>
      <c r="L155" s="208" t="str">
        <f t="shared" si="4"/>
        <v>NO CONFORME</v>
      </c>
    </row>
    <row r="156" ht="15.75" customHeight="1">
      <c r="F156" s="208">
        <v>100.0</v>
      </c>
      <c r="G156" s="135">
        <f t="shared" si="1"/>
        <v>0</v>
      </c>
      <c r="H156" s="208" t="str">
        <f t="shared" si="2"/>
        <v>CRÍTICO</v>
      </c>
      <c r="K156" s="135">
        <f t="shared" si="3"/>
        <v>0</v>
      </c>
      <c r="L156" s="208" t="str">
        <f t="shared" si="4"/>
        <v>NO CONFORME</v>
      </c>
    </row>
    <row r="157" ht="15.75" customHeight="1">
      <c r="F157" s="208">
        <v>100.0</v>
      </c>
      <c r="G157" s="135">
        <f t="shared" si="1"/>
        <v>0</v>
      </c>
      <c r="H157" s="208" t="str">
        <f t="shared" si="2"/>
        <v>CRÍTICO</v>
      </c>
      <c r="K157" s="135">
        <f t="shared" si="3"/>
        <v>0</v>
      </c>
      <c r="L157" s="208" t="str">
        <f t="shared" si="4"/>
        <v>NO CONFORME</v>
      </c>
    </row>
    <row r="158" ht="15.75" customHeight="1">
      <c r="F158" s="208">
        <v>100.0</v>
      </c>
      <c r="G158" s="135">
        <f t="shared" si="1"/>
        <v>0</v>
      </c>
      <c r="H158" s="208" t="str">
        <f t="shared" si="2"/>
        <v>CRÍTICO</v>
      </c>
      <c r="K158" s="135">
        <f t="shared" si="3"/>
        <v>0</v>
      </c>
      <c r="L158" s="208" t="str">
        <f t="shared" si="4"/>
        <v>NO CONFORME</v>
      </c>
    </row>
    <row r="159" ht="15.75" customHeight="1">
      <c r="F159" s="208">
        <v>100.0</v>
      </c>
      <c r="G159" s="135">
        <f t="shared" si="1"/>
        <v>0</v>
      </c>
      <c r="H159" s="208" t="str">
        <f t="shared" si="2"/>
        <v>CRÍTICO</v>
      </c>
      <c r="K159" s="135">
        <f t="shared" si="3"/>
        <v>0</v>
      </c>
      <c r="L159" s="208" t="str">
        <f t="shared" si="4"/>
        <v>NO CONFORME</v>
      </c>
    </row>
    <row r="160" ht="15.75" customHeight="1">
      <c r="F160" s="208">
        <v>100.0</v>
      </c>
      <c r="G160" s="135">
        <f t="shared" si="1"/>
        <v>0</v>
      </c>
      <c r="H160" s="208" t="str">
        <f t="shared" si="2"/>
        <v>CRÍTICO</v>
      </c>
      <c r="K160" s="135">
        <f t="shared" si="3"/>
        <v>0</v>
      </c>
      <c r="L160" s="208" t="str">
        <f t="shared" si="4"/>
        <v>NO CONFORME</v>
      </c>
    </row>
    <row r="161" ht="15.75" customHeight="1">
      <c r="F161" s="208">
        <v>100.0</v>
      </c>
      <c r="G161" s="135">
        <f t="shared" si="1"/>
        <v>0</v>
      </c>
      <c r="H161" s="208" t="str">
        <f t="shared" si="2"/>
        <v>CRÍTICO</v>
      </c>
      <c r="K161" s="135">
        <f t="shared" si="3"/>
        <v>0</v>
      </c>
      <c r="L161" s="208" t="str">
        <f t="shared" si="4"/>
        <v>NO CONFORME</v>
      </c>
    </row>
    <row r="162" ht="15.75" customHeight="1">
      <c r="F162" s="208">
        <v>100.0</v>
      </c>
      <c r="G162" s="135">
        <f t="shared" si="1"/>
        <v>0</v>
      </c>
      <c r="H162" s="208" t="str">
        <f t="shared" si="2"/>
        <v>CRÍTICO</v>
      </c>
      <c r="K162" s="135">
        <f t="shared" si="3"/>
        <v>0</v>
      </c>
      <c r="L162" s="208" t="str">
        <f t="shared" si="4"/>
        <v>NO CONFORME</v>
      </c>
    </row>
    <row r="163" ht="15.75" customHeight="1">
      <c r="F163" s="208">
        <v>100.0</v>
      </c>
      <c r="G163" s="135">
        <f t="shared" si="1"/>
        <v>0</v>
      </c>
      <c r="H163" s="208" t="str">
        <f t="shared" si="2"/>
        <v>CRÍTICO</v>
      </c>
      <c r="K163" s="135">
        <f t="shared" si="3"/>
        <v>0</v>
      </c>
      <c r="L163" s="208" t="str">
        <f t="shared" si="4"/>
        <v>NO CONFORME</v>
      </c>
    </row>
    <row r="164" ht="15.75" customHeight="1">
      <c r="F164" s="208">
        <v>100.0</v>
      </c>
      <c r="G164" s="135">
        <f t="shared" si="1"/>
        <v>0</v>
      </c>
      <c r="H164" s="208" t="str">
        <f t="shared" si="2"/>
        <v>CRÍTICO</v>
      </c>
      <c r="K164" s="135">
        <f t="shared" si="3"/>
        <v>0</v>
      </c>
      <c r="L164" s="208" t="str">
        <f t="shared" si="4"/>
        <v>NO CONFORME</v>
      </c>
    </row>
    <row r="165" ht="15.75" customHeight="1">
      <c r="F165" s="208">
        <v>100.0</v>
      </c>
      <c r="G165" s="135">
        <f t="shared" si="1"/>
        <v>0</v>
      </c>
      <c r="H165" s="208" t="str">
        <f t="shared" si="2"/>
        <v>CRÍTICO</v>
      </c>
      <c r="K165" s="135">
        <f t="shared" si="3"/>
        <v>0</v>
      </c>
      <c r="L165" s="208" t="str">
        <f t="shared" si="4"/>
        <v>NO CONFORME</v>
      </c>
    </row>
    <row r="166" ht="15.75" customHeight="1">
      <c r="F166" s="208">
        <v>100.0</v>
      </c>
      <c r="G166" s="135">
        <f t="shared" si="1"/>
        <v>0</v>
      </c>
      <c r="H166" s="208" t="str">
        <f t="shared" si="2"/>
        <v>CRÍTICO</v>
      </c>
      <c r="K166" s="135">
        <f t="shared" si="3"/>
        <v>0</v>
      </c>
      <c r="L166" s="208" t="str">
        <f t="shared" si="4"/>
        <v>NO CONFORME</v>
      </c>
    </row>
    <row r="167" ht="15.75" customHeight="1">
      <c r="F167" s="208">
        <v>100.0</v>
      </c>
      <c r="G167" s="135">
        <f t="shared" si="1"/>
        <v>0</v>
      </c>
      <c r="H167" s="208" t="str">
        <f t="shared" si="2"/>
        <v>CRÍTICO</v>
      </c>
      <c r="K167" s="135">
        <f t="shared" si="3"/>
        <v>0</v>
      </c>
      <c r="L167" s="208" t="str">
        <f t="shared" si="4"/>
        <v>NO CONFORME</v>
      </c>
    </row>
    <row r="168" ht="15.75" customHeight="1">
      <c r="F168" s="208">
        <v>100.0</v>
      </c>
      <c r="G168" s="135">
        <f t="shared" si="1"/>
        <v>0</v>
      </c>
      <c r="H168" s="208" t="str">
        <f t="shared" si="2"/>
        <v>CRÍTICO</v>
      </c>
      <c r="K168" s="135">
        <f t="shared" si="3"/>
        <v>0</v>
      </c>
      <c r="L168" s="208" t="str">
        <f t="shared" si="4"/>
        <v>NO CONFORME</v>
      </c>
    </row>
    <row r="169" ht="15.75" customHeight="1">
      <c r="F169" s="208">
        <v>100.0</v>
      </c>
      <c r="G169" s="135">
        <f t="shared" si="1"/>
        <v>0</v>
      </c>
      <c r="H169" s="208" t="str">
        <f t="shared" si="2"/>
        <v>CRÍTICO</v>
      </c>
      <c r="K169" s="135">
        <f t="shared" si="3"/>
        <v>0</v>
      </c>
      <c r="L169" s="208" t="str">
        <f t="shared" si="4"/>
        <v>NO CONFORME</v>
      </c>
    </row>
    <row r="170" ht="15.75" customHeight="1">
      <c r="F170" s="208">
        <v>100.0</v>
      </c>
      <c r="G170" s="135">
        <f t="shared" si="1"/>
        <v>0</v>
      </c>
      <c r="H170" s="208" t="str">
        <f t="shared" si="2"/>
        <v>CRÍTICO</v>
      </c>
      <c r="K170" s="135">
        <f t="shared" si="3"/>
        <v>0</v>
      </c>
      <c r="L170" s="208" t="str">
        <f t="shared" si="4"/>
        <v>NO CONFORME</v>
      </c>
    </row>
    <row r="171" ht="15.75" customHeight="1">
      <c r="F171" s="208">
        <v>100.0</v>
      </c>
      <c r="G171" s="135">
        <f t="shared" si="1"/>
        <v>0</v>
      </c>
      <c r="H171" s="208" t="str">
        <f t="shared" si="2"/>
        <v>CRÍTICO</v>
      </c>
      <c r="K171" s="135">
        <f t="shared" si="3"/>
        <v>0</v>
      </c>
      <c r="L171" s="208" t="str">
        <f t="shared" si="4"/>
        <v>NO CONFORME</v>
      </c>
    </row>
    <row r="172" ht="15.75" customHeight="1">
      <c r="F172" s="208">
        <v>100.0</v>
      </c>
      <c r="G172" s="135">
        <f t="shared" si="1"/>
        <v>0</v>
      </c>
      <c r="H172" s="208" t="str">
        <f t="shared" si="2"/>
        <v>CRÍTICO</v>
      </c>
      <c r="K172" s="135">
        <f t="shared" si="3"/>
        <v>0</v>
      </c>
      <c r="L172" s="208" t="str">
        <f t="shared" si="4"/>
        <v>NO CONFORME</v>
      </c>
    </row>
    <row r="173" ht="15.75" customHeight="1">
      <c r="F173" s="208">
        <v>100.0</v>
      </c>
      <c r="G173" s="135">
        <f t="shared" si="1"/>
        <v>0</v>
      </c>
      <c r="H173" s="208" t="str">
        <f t="shared" si="2"/>
        <v>CRÍTICO</v>
      </c>
      <c r="K173" s="135">
        <f t="shared" si="3"/>
        <v>0</v>
      </c>
      <c r="L173" s="208" t="str">
        <f t="shared" si="4"/>
        <v>NO CONFORME</v>
      </c>
    </row>
    <row r="174" ht="15.75" customHeight="1">
      <c r="F174" s="208">
        <v>100.0</v>
      </c>
      <c r="G174" s="135">
        <f t="shared" si="1"/>
        <v>0</v>
      </c>
      <c r="H174" s="208" t="str">
        <f t="shared" si="2"/>
        <v>CRÍTICO</v>
      </c>
      <c r="K174" s="135">
        <f t="shared" si="3"/>
        <v>0</v>
      </c>
      <c r="L174" s="208" t="str">
        <f t="shared" si="4"/>
        <v>NO CONFORME</v>
      </c>
    </row>
    <row r="175" ht="15.75" customHeight="1">
      <c r="F175" s="208">
        <v>100.0</v>
      </c>
      <c r="G175" s="135">
        <f t="shared" si="1"/>
        <v>0</v>
      </c>
      <c r="H175" s="208" t="str">
        <f t="shared" si="2"/>
        <v>CRÍTICO</v>
      </c>
      <c r="K175" s="135">
        <f t="shared" si="3"/>
        <v>0</v>
      </c>
      <c r="L175" s="208" t="str">
        <f t="shared" si="4"/>
        <v>NO CONFORME</v>
      </c>
    </row>
    <row r="176" ht="15.75" customHeight="1">
      <c r="F176" s="208">
        <v>100.0</v>
      </c>
      <c r="G176" s="135">
        <f t="shared" si="1"/>
        <v>0</v>
      </c>
      <c r="H176" s="208" t="str">
        <f t="shared" si="2"/>
        <v>CRÍTICO</v>
      </c>
      <c r="K176" s="135">
        <f t="shared" si="3"/>
        <v>0</v>
      </c>
      <c r="L176" s="208" t="str">
        <f t="shared" si="4"/>
        <v>NO CONFORME</v>
      </c>
    </row>
    <row r="177" ht="15.75" customHeight="1">
      <c r="F177" s="208">
        <v>100.0</v>
      </c>
      <c r="G177" s="135">
        <f t="shared" si="1"/>
        <v>0</v>
      </c>
      <c r="H177" s="208" t="str">
        <f t="shared" si="2"/>
        <v>CRÍTICO</v>
      </c>
      <c r="K177" s="135">
        <f t="shared" si="3"/>
        <v>0</v>
      </c>
      <c r="L177" s="208" t="str">
        <f t="shared" si="4"/>
        <v>NO CONFORME</v>
      </c>
    </row>
    <row r="178" ht="15.75" customHeight="1">
      <c r="F178" s="208">
        <v>100.0</v>
      </c>
      <c r="G178" s="135">
        <f t="shared" si="1"/>
        <v>0</v>
      </c>
      <c r="H178" s="208" t="str">
        <f t="shared" si="2"/>
        <v>CRÍTICO</v>
      </c>
      <c r="K178" s="135">
        <f t="shared" si="3"/>
        <v>0</v>
      </c>
      <c r="L178" s="208" t="str">
        <f t="shared" si="4"/>
        <v>NO CONFORME</v>
      </c>
    </row>
    <row r="179" ht="15.75" customHeight="1">
      <c r="F179" s="208">
        <v>100.0</v>
      </c>
      <c r="G179" s="135">
        <f t="shared" si="1"/>
        <v>0</v>
      </c>
      <c r="H179" s="208" t="str">
        <f t="shared" si="2"/>
        <v>CRÍTICO</v>
      </c>
      <c r="K179" s="135">
        <f t="shared" si="3"/>
        <v>0</v>
      </c>
      <c r="L179" s="208" t="str">
        <f t="shared" si="4"/>
        <v>NO CONFORME</v>
      </c>
    </row>
    <row r="180" ht="15.75" customHeight="1">
      <c r="F180" s="208">
        <v>100.0</v>
      </c>
      <c r="G180" s="135">
        <f t="shared" si="1"/>
        <v>0</v>
      </c>
      <c r="H180" s="208" t="str">
        <f t="shared" si="2"/>
        <v>CRÍTICO</v>
      </c>
      <c r="K180" s="135">
        <f t="shared" si="3"/>
        <v>0</v>
      </c>
      <c r="L180" s="208" t="str">
        <f t="shared" si="4"/>
        <v>NO CONFORME</v>
      </c>
    </row>
    <row r="181" ht="15.75" customHeight="1">
      <c r="F181" s="208">
        <v>100.0</v>
      </c>
      <c r="G181" s="135">
        <f t="shared" si="1"/>
        <v>0</v>
      </c>
      <c r="H181" s="208" t="str">
        <f t="shared" si="2"/>
        <v>CRÍTICO</v>
      </c>
      <c r="K181" s="135">
        <f t="shared" si="3"/>
        <v>0</v>
      </c>
      <c r="L181" s="208" t="str">
        <f t="shared" si="4"/>
        <v>NO CONFORME</v>
      </c>
    </row>
    <row r="182" ht="15.75" customHeight="1">
      <c r="F182" s="208">
        <v>100.0</v>
      </c>
      <c r="G182" s="135">
        <f t="shared" si="1"/>
        <v>0</v>
      </c>
      <c r="H182" s="208" t="str">
        <f t="shared" si="2"/>
        <v>CRÍTICO</v>
      </c>
      <c r="K182" s="135">
        <f t="shared" si="3"/>
        <v>0</v>
      </c>
      <c r="L182" s="208" t="str">
        <f t="shared" si="4"/>
        <v>NO CONFORME</v>
      </c>
    </row>
    <row r="183" ht="15.75" customHeight="1">
      <c r="F183" s="208">
        <v>100.0</v>
      </c>
      <c r="G183" s="135">
        <f t="shared" si="1"/>
        <v>0</v>
      </c>
      <c r="H183" s="208" t="str">
        <f t="shared" si="2"/>
        <v>CRÍTICO</v>
      </c>
      <c r="K183" s="135">
        <f t="shared" si="3"/>
        <v>0</v>
      </c>
      <c r="L183" s="208" t="str">
        <f t="shared" si="4"/>
        <v>NO CONFORME</v>
      </c>
    </row>
    <row r="184" ht="15.75" customHeight="1">
      <c r="F184" s="208">
        <v>100.0</v>
      </c>
      <c r="G184" s="135">
        <f t="shared" si="1"/>
        <v>0</v>
      </c>
      <c r="H184" s="208" t="str">
        <f t="shared" si="2"/>
        <v>CRÍTICO</v>
      </c>
      <c r="K184" s="135">
        <f t="shared" si="3"/>
        <v>0</v>
      </c>
      <c r="L184" s="208" t="str">
        <f t="shared" si="4"/>
        <v>NO CONFORME</v>
      </c>
    </row>
    <row r="185" ht="15.75" customHeight="1">
      <c r="F185" s="208">
        <v>100.0</v>
      </c>
      <c r="G185" s="135">
        <f t="shared" si="1"/>
        <v>0</v>
      </c>
      <c r="H185" s="208" t="str">
        <f t="shared" si="2"/>
        <v>CRÍTICO</v>
      </c>
      <c r="K185" s="135">
        <f t="shared" si="3"/>
        <v>0</v>
      </c>
      <c r="L185" s="208" t="str">
        <f t="shared" si="4"/>
        <v>NO CONFORME</v>
      </c>
    </row>
    <row r="186" ht="15.75" customHeight="1">
      <c r="F186" s="208">
        <v>100.0</v>
      </c>
      <c r="G186" s="135">
        <f t="shared" si="1"/>
        <v>0</v>
      </c>
      <c r="H186" s="208" t="str">
        <f t="shared" si="2"/>
        <v>CRÍTICO</v>
      </c>
      <c r="K186" s="135">
        <f t="shared" si="3"/>
        <v>0</v>
      </c>
      <c r="L186" s="208" t="str">
        <f t="shared" si="4"/>
        <v>NO CONFORME</v>
      </c>
    </row>
    <row r="187" ht="15.75" customHeight="1">
      <c r="F187" s="208">
        <v>100.0</v>
      </c>
      <c r="G187" s="135">
        <f t="shared" si="1"/>
        <v>0</v>
      </c>
      <c r="H187" s="208" t="str">
        <f t="shared" si="2"/>
        <v>CRÍTICO</v>
      </c>
      <c r="K187" s="135">
        <f t="shared" si="3"/>
        <v>0</v>
      </c>
      <c r="L187" s="208" t="str">
        <f t="shared" si="4"/>
        <v>NO CONFORME</v>
      </c>
    </row>
    <row r="188" ht="15.75" customHeight="1">
      <c r="F188" s="208">
        <v>100.0</v>
      </c>
      <c r="G188" s="135">
        <f t="shared" si="1"/>
        <v>0</v>
      </c>
      <c r="H188" s="208" t="str">
        <f t="shared" si="2"/>
        <v>CRÍTICO</v>
      </c>
      <c r="K188" s="135">
        <f t="shared" si="3"/>
        <v>0</v>
      </c>
      <c r="L188" s="208" t="str">
        <f t="shared" si="4"/>
        <v>NO CONFORME</v>
      </c>
    </row>
    <row r="189" ht="15.75" customHeight="1">
      <c r="F189" s="208">
        <v>100.0</v>
      </c>
      <c r="G189" s="135">
        <f t="shared" si="1"/>
        <v>0</v>
      </c>
      <c r="H189" s="208" t="str">
        <f t="shared" si="2"/>
        <v>CRÍTICO</v>
      </c>
      <c r="K189" s="135">
        <f t="shared" si="3"/>
        <v>0</v>
      </c>
      <c r="L189" s="208" t="str">
        <f t="shared" si="4"/>
        <v>NO CONFORME</v>
      </c>
    </row>
    <row r="190" ht="15.75" customHeight="1">
      <c r="F190" s="208">
        <v>100.0</v>
      </c>
      <c r="G190" s="135">
        <f t="shared" si="1"/>
        <v>0</v>
      </c>
      <c r="H190" s="208" t="str">
        <f t="shared" si="2"/>
        <v>CRÍTICO</v>
      </c>
      <c r="K190" s="135">
        <f t="shared" si="3"/>
        <v>0</v>
      </c>
      <c r="L190" s="208" t="str">
        <f t="shared" si="4"/>
        <v>NO CONFORME</v>
      </c>
    </row>
    <row r="191" ht="15.75" customHeight="1">
      <c r="F191" s="208">
        <v>100.0</v>
      </c>
      <c r="G191" s="135">
        <f t="shared" si="1"/>
        <v>0</v>
      </c>
      <c r="H191" s="208" t="str">
        <f t="shared" si="2"/>
        <v>CRÍTICO</v>
      </c>
      <c r="K191" s="135">
        <f t="shared" si="3"/>
        <v>0</v>
      </c>
      <c r="L191" s="208" t="str">
        <f t="shared" si="4"/>
        <v>NO CONFORME</v>
      </c>
    </row>
    <row r="192" ht="15.75" customHeight="1">
      <c r="F192" s="208">
        <v>100.0</v>
      </c>
      <c r="G192" s="135">
        <f t="shared" si="1"/>
        <v>0</v>
      </c>
      <c r="H192" s="208" t="str">
        <f t="shared" si="2"/>
        <v>CRÍTICO</v>
      </c>
      <c r="K192" s="135">
        <f t="shared" si="3"/>
        <v>0</v>
      </c>
      <c r="L192" s="208" t="str">
        <f t="shared" si="4"/>
        <v>NO CONFORME</v>
      </c>
    </row>
    <row r="193" ht="15.75" customHeight="1">
      <c r="F193" s="208">
        <v>100.0</v>
      </c>
      <c r="G193" s="135">
        <f t="shared" si="1"/>
        <v>0</v>
      </c>
      <c r="H193" s="208" t="str">
        <f t="shared" si="2"/>
        <v>CRÍTICO</v>
      </c>
      <c r="K193" s="135">
        <f t="shared" si="3"/>
        <v>0</v>
      </c>
      <c r="L193" s="208" t="str">
        <f t="shared" si="4"/>
        <v>NO CONFORME</v>
      </c>
    </row>
    <row r="194" ht="15.75" customHeight="1">
      <c r="F194" s="208">
        <v>100.0</v>
      </c>
      <c r="G194" s="135">
        <f t="shared" si="1"/>
        <v>0</v>
      </c>
      <c r="H194" s="208" t="str">
        <f t="shared" si="2"/>
        <v>CRÍTICO</v>
      </c>
      <c r="K194" s="135">
        <f t="shared" si="3"/>
        <v>0</v>
      </c>
      <c r="L194" s="208" t="str">
        <f t="shared" si="4"/>
        <v>NO CONFORME</v>
      </c>
    </row>
    <row r="195" ht="15.75" customHeight="1">
      <c r="F195" s="208">
        <v>100.0</v>
      </c>
      <c r="G195" s="135">
        <f t="shared" si="1"/>
        <v>0</v>
      </c>
      <c r="H195" s="208" t="str">
        <f t="shared" si="2"/>
        <v>CRÍTICO</v>
      </c>
      <c r="K195" s="135">
        <f t="shared" si="3"/>
        <v>0</v>
      </c>
      <c r="L195" s="208" t="str">
        <f t="shared" si="4"/>
        <v>NO CONFORME</v>
      </c>
    </row>
    <row r="196" ht="15.75" customHeight="1">
      <c r="F196" s="208">
        <v>100.0</v>
      </c>
      <c r="G196" s="135">
        <f t="shared" si="1"/>
        <v>0</v>
      </c>
      <c r="H196" s="208" t="str">
        <f t="shared" si="2"/>
        <v>CRÍTICO</v>
      </c>
      <c r="K196" s="135">
        <f t="shared" si="3"/>
        <v>0</v>
      </c>
      <c r="L196" s="208" t="str">
        <f t="shared" si="4"/>
        <v>NO CONFORME</v>
      </c>
    </row>
    <row r="197" ht="15.75" customHeight="1">
      <c r="F197" s="208">
        <v>100.0</v>
      </c>
      <c r="G197" s="135">
        <f t="shared" si="1"/>
        <v>0</v>
      </c>
      <c r="H197" s="208" t="str">
        <f t="shared" si="2"/>
        <v>CRÍTICO</v>
      </c>
      <c r="K197" s="135">
        <f t="shared" si="3"/>
        <v>0</v>
      </c>
      <c r="L197" s="208" t="str">
        <f t="shared" si="4"/>
        <v>NO CONFORME</v>
      </c>
    </row>
    <row r="198" ht="15.75" customHeight="1">
      <c r="F198" s="208">
        <v>100.0</v>
      </c>
      <c r="G198" s="135">
        <f t="shared" si="1"/>
        <v>0</v>
      </c>
      <c r="H198" s="208" t="str">
        <f t="shared" si="2"/>
        <v>CRÍTICO</v>
      </c>
      <c r="K198" s="135">
        <f t="shared" si="3"/>
        <v>0</v>
      </c>
      <c r="L198" s="208" t="str">
        <f t="shared" si="4"/>
        <v>NO CONFORME</v>
      </c>
    </row>
    <row r="199" ht="15.75" customHeight="1">
      <c r="F199" s="208">
        <v>100.0</v>
      </c>
      <c r="G199" s="135">
        <f t="shared" si="1"/>
        <v>0</v>
      </c>
      <c r="H199" s="208" t="str">
        <f t="shared" si="2"/>
        <v>CRÍTICO</v>
      </c>
      <c r="K199" s="135">
        <f t="shared" si="3"/>
        <v>0</v>
      </c>
      <c r="L199" s="208" t="str">
        <f t="shared" si="4"/>
        <v>NO CONFORME</v>
      </c>
    </row>
    <row r="200" ht="15.75" customHeight="1">
      <c r="F200" s="208">
        <v>100.0</v>
      </c>
      <c r="G200" s="135">
        <f t="shared" si="1"/>
        <v>0</v>
      </c>
      <c r="H200" s="208" t="str">
        <f t="shared" si="2"/>
        <v>CRÍTICO</v>
      </c>
      <c r="K200" s="135">
        <f t="shared" si="3"/>
        <v>0</v>
      </c>
      <c r="L200" s="208" t="str">
        <f t="shared" si="4"/>
        <v>NO CONFORME</v>
      </c>
    </row>
    <row r="201" ht="15.75" customHeight="1">
      <c r="F201" s="208">
        <v>100.0</v>
      </c>
      <c r="G201" s="135">
        <f t="shared" si="1"/>
        <v>0</v>
      </c>
      <c r="H201" s="208" t="str">
        <f t="shared" si="2"/>
        <v>CRÍTICO</v>
      </c>
      <c r="K201" s="135">
        <f t="shared" si="3"/>
        <v>0</v>
      </c>
      <c r="L201" s="208" t="str">
        <f t="shared" si="4"/>
        <v>NO CONFORME</v>
      </c>
    </row>
    <row r="202" ht="15.75" customHeight="1">
      <c r="F202" s="208">
        <v>100.0</v>
      </c>
      <c r="G202" s="135">
        <f t="shared" si="1"/>
        <v>0</v>
      </c>
      <c r="H202" s="208" t="str">
        <f t="shared" si="2"/>
        <v>CRÍTICO</v>
      </c>
      <c r="K202" s="135">
        <f t="shared" si="3"/>
        <v>0</v>
      </c>
      <c r="L202" s="208" t="str">
        <f t="shared" si="4"/>
        <v>NO CONFORME</v>
      </c>
    </row>
    <row r="203" ht="15.75" customHeight="1">
      <c r="F203" s="208">
        <v>100.0</v>
      </c>
      <c r="G203" s="135">
        <f t="shared" si="1"/>
        <v>0</v>
      </c>
      <c r="H203" s="208" t="str">
        <f t="shared" si="2"/>
        <v>CRÍTICO</v>
      </c>
      <c r="K203" s="135">
        <f t="shared" si="3"/>
        <v>0</v>
      </c>
      <c r="L203" s="208" t="str">
        <f t="shared" si="4"/>
        <v>NO CONFORME</v>
      </c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