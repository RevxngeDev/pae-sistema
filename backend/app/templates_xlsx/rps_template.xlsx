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UT" sheetId="1" r:id="rId5"/>
    <sheet state="visible" name="ALIM Y NUTRI RPS" sheetId="2" r:id="rId6"/>
    <sheet state="visible" name="MATERIA PRIMA RPS" sheetId="3" r:id="rId7"/>
    <sheet state="visible" name="TEMPERAURAS Y ORGANOL" sheetId="4" r:id="rId8"/>
    <sheet state="visible" name="CONDICIONES DE OPERACIÓN" sheetId="5" r:id="rId9"/>
    <sheet state="visible" name="GRAMAJES RPS" sheetId="6" r:id="rId10"/>
    <sheet state="visible" name="REGISTRO FOTOGRÁFICO" sheetId="7" r:id="rId11"/>
    <sheet state="visible" name="REGISTRO FOTOGRÁFICO HALLAZGOS" sheetId="8" r:id="rId12"/>
    <sheet state="visible" name="ANALISIS_VISITAS_RPS" sheetId="9" r:id="rId13"/>
  </sheets>
  <definedNames/>
  <calcPr/>
</workbook>
</file>

<file path=xl/sharedStrings.xml><?xml version="1.0" encoding="utf-8"?>
<sst xmlns="http://schemas.openxmlformats.org/spreadsheetml/2006/main" count="541" uniqueCount="304">
  <si>
    <t>UNIDAD ADMINISTRATIVA ESPECIAL DE ALIMENTACIÓN ESCOLAR</t>
  </si>
  <si>
    <t>VERSIÓN: 1</t>
  </si>
  <si>
    <t>FORMATO DE REQUERIMIENTOS ALIMENTARIOS Y NUTRICIONALES RACIÓN PREÁRADA EN SITIO</t>
  </si>
  <si>
    <t>ETCNoC</t>
  </si>
  <si>
    <t>Municipio Puerto Gaitán</t>
  </si>
  <si>
    <t>Fecha de la visita:</t>
  </si>
  <si>
    <t>Sede educativa:</t>
  </si>
  <si>
    <t>Augusto Cespedes/Jorge Eliecer Gaitán</t>
  </si>
  <si>
    <t>Operador:</t>
  </si>
  <si>
    <t>Productora de Alimentos PA</t>
  </si>
  <si>
    <t>No. Visita:</t>
  </si>
  <si>
    <t>1ra visita X</t>
  </si>
  <si>
    <t>2da visita</t>
  </si>
  <si>
    <t>3 visita</t>
  </si>
  <si>
    <t>No. Contrato/Convenio</t>
  </si>
  <si>
    <t>644/2026</t>
  </si>
  <si>
    <t>No de servicios:</t>
  </si>
  <si>
    <t>Nombre de quien atiende la visita</t>
  </si>
  <si>
    <t>JOHANA ORJUELA</t>
  </si>
  <si>
    <t>Cargo de quien atiende la visita</t>
  </si>
  <si>
    <t>Coordinadora de campo</t>
  </si>
  <si>
    <t>Nombre de quien realiza la visita</t>
  </si>
  <si>
    <t>ADRIANA CASTAÑEDA</t>
  </si>
  <si>
    <t>Cargo de quien realizala visita</t>
  </si>
  <si>
    <t xml:space="preserve">Supervisora </t>
  </si>
  <si>
    <t>Información de las raciones entregadas</t>
  </si>
  <si>
    <t>Descripción del menú:</t>
  </si>
  <si>
    <t>N/A</t>
  </si>
  <si>
    <t>Intercambios</t>
  </si>
  <si>
    <t>Alimento:</t>
  </si>
  <si>
    <t>Motivo del intercambio</t>
  </si>
  <si>
    <t>Fecha:</t>
  </si>
  <si>
    <t>Autorizado por:</t>
  </si>
  <si>
    <t>Califique según nivel de cumplimiento: C (Cumple) NC (No cumple) N/A (No aplica)</t>
  </si>
  <si>
    <t>Requerimientos alimentario y nutricional</t>
  </si>
  <si>
    <t>Cumplimiento de la minuta patrón</t>
  </si>
  <si>
    <t>Calificación</t>
  </si>
  <si>
    <t>Se cuenta con la totalidad de la materia prima correspondientes al cálculo de las minutas aprobadas, multiplicadas por el número de servicios y tipo de menú.</t>
  </si>
  <si>
    <t>C</t>
  </si>
  <si>
    <t>El menu del dia es acorde a lo establecido en el ciclo de menus y minuta patron adoptada.</t>
  </si>
  <si>
    <t>Se encuentran estandarizadas el tamaño de porciones de las preparaciones según el grado de los estudiantes.</t>
  </si>
  <si>
    <t>El ciclo de menú se ejecuta bajo las especificaciones técnicas definidas.</t>
  </si>
  <si>
    <t xml:space="preserve">El menú entregado según el tipo de complemento corresponde a lo programado y aprobado. </t>
  </si>
  <si>
    <t>En caso de presentarse intercambios, estos se realizan de acuerdo al componente, a la frecuencia y cuentan con documento soporte de aprobación.</t>
  </si>
  <si>
    <t>Los alimentos preparados cumplen con las características organolépticas propias de la preparación  o alimentos que hacen parte del menú servido.</t>
  </si>
  <si>
    <t>Todas las preparaciones que se incluyen en el ciclo de menús, cuentan con su respectiva receta estandarizada.</t>
  </si>
  <si>
    <t>El  menú entregado a los estudiantes tiene aspecto atractivo y buena presentación.</t>
  </si>
  <si>
    <t>Se cuenta con elementos de estandarización tanto para servido como para preparacion.</t>
  </si>
  <si>
    <t>Se cumple con los horarios de distribución establecidos para el servicio  y no se generan retrasos durante el suministro.</t>
  </si>
  <si>
    <t>En el ciclo de minutas incluye alimentos y/o preparaciones propias del territorio</t>
  </si>
  <si>
    <t>En el comedor escolar se promocionan practicas adecuadas de habitos alimentarios en los estudiantes beneficiarios.</t>
  </si>
  <si>
    <t>La aceptabilidad de los alimentos preparados es adecuada.</t>
  </si>
  <si>
    <t>El desperdicio de alimentos en la etapa de descomide es bajo.</t>
  </si>
  <si>
    <t>Observaciones</t>
  </si>
  <si>
    <t>Ninguna</t>
  </si>
  <si>
    <t>FIRMA</t>
  </si>
  <si>
    <t>Nombre: Johana Orjuela</t>
  </si>
  <si>
    <t>Nombre: Adriana Paola Castañeda</t>
  </si>
  <si>
    <t>Documento:</t>
  </si>
  <si>
    <t>Documento: 1115950530</t>
  </si>
  <si>
    <t>Cargo: Coordinadora de campo</t>
  </si>
  <si>
    <t>Cargo: Supervisora</t>
  </si>
  <si>
    <t xml:space="preserve">1ra visita </t>
  </si>
  <si>
    <t xml:space="preserve">Nombre: </t>
  </si>
  <si>
    <t xml:space="preserve">Cargo: </t>
  </si>
  <si>
    <t>VERSIÓN:</t>
  </si>
  <si>
    <t xml:space="preserve">FORMATO DE VERIFICACIÓN DE MATERIA PRIMA RACIÓN PREPARADA EN SITIO
</t>
  </si>
  <si>
    <t>CÓDIGO:</t>
  </si>
  <si>
    <t>VIGENTE DESDE:</t>
  </si>
  <si>
    <t>ENTIDAD TERRITORIAL:</t>
  </si>
  <si>
    <t>D</t>
  </si>
  <si>
    <t>Tipo de Complemento:</t>
  </si>
  <si>
    <t>Jornada Mañana</t>
  </si>
  <si>
    <t>Jornada Tarde</t>
  </si>
  <si>
    <t>Almuerzo</t>
  </si>
  <si>
    <t>No Servicios</t>
  </si>
  <si>
    <t>Datos del Menú a verificar</t>
  </si>
  <si>
    <t>Descripción del Menú:</t>
  </si>
  <si>
    <t>Verificación de materia prima</t>
  </si>
  <si>
    <t>Materia Prima</t>
  </si>
  <si>
    <t>Proveedor</t>
  </si>
  <si>
    <t>Lote</t>
  </si>
  <si>
    <t>Fecha vencimiento</t>
  </si>
  <si>
    <t>Unidad de medida</t>
  </si>
  <si>
    <t>Temperatura (aplica para productos de alto riesgo)</t>
  </si>
  <si>
    <t xml:space="preserve">Cantidad esperada </t>
  </si>
  <si>
    <t>Cantidad encontrada</t>
  </si>
  <si>
    <t>Cantidad faltante</t>
  </si>
  <si>
    <t>Caracteristicas Organolepticas</t>
  </si>
  <si>
    <t>Cumplimiento (C/NC)</t>
  </si>
  <si>
    <t>color</t>
  </si>
  <si>
    <t>olor</t>
  </si>
  <si>
    <t>textura</t>
  </si>
  <si>
    <t xml:space="preserve">Verificación de materia prima - Día siguiente - Fecha:                              </t>
  </si>
  <si>
    <t>Cantidad esperada</t>
  </si>
  <si>
    <t xml:space="preserve">Cantidad encontrada </t>
  </si>
  <si>
    <t>INDICADOR:  No de materias primas que cumplen los criterios de calidad  de aceptación / No de materias verificadas</t>
  </si>
  <si>
    <t>Porcentaje de cumplimiento:</t>
  </si>
  <si>
    <t>%</t>
  </si>
  <si>
    <t xml:space="preserve">Observaciones : </t>
  </si>
  <si>
    <t>FIRMAS</t>
  </si>
  <si>
    <t>Nombre:</t>
  </si>
  <si>
    <t>Cargo:</t>
  </si>
  <si>
    <t xml:space="preserve">FORMATO DE VERIFICACIÓN TEMPERATURAS Y CARACTERÍSTICAS ORGANOLÉPTICAS ALIMENTOS PREPARADOS Y DISTRIBUIDOS RACIÓN PREPARADA EN SITIO
</t>
  </si>
  <si>
    <t xml:space="preserve">Organolépticas y temperaturas </t>
  </si>
  <si>
    <t>Preparación</t>
  </si>
  <si>
    <t>Apariencia</t>
  </si>
  <si>
    <t>Sabor</t>
  </si>
  <si>
    <t>Olor</t>
  </si>
  <si>
    <t>Textura</t>
  </si>
  <si>
    <t>Temperatura final de cocción</t>
  </si>
  <si>
    <t>Temperatura distribución inicial</t>
  </si>
  <si>
    <t>Temperatura distribución final</t>
  </si>
  <si>
    <t xml:space="preserve">Cumplimiento </t>
  </si>
  <si>
    <t>Cumple</t>
  </si>
  <si>
    <t>No cumple</t>
  </si>
  <si>
    <t>T (°C)</t>
  </si>
  <si>
    <t>INDICADOR: No de preparaciones que cumplen criterios de calidad y organolepticos / No de preparaciones verificadas</t>
  </si>
  <si>
    <t xml:space="preserve">Observaciones: </t>
  </si>
  <si>
    <t>VERSIÓN 1</t>
  </si>
  <si>
    <t>FORMATO DE CONDICIONES DE DE OPERACIÓN RACIÓN PREPARADA EN SITIO</t>
  </si>
  <si>
    <t>Municipio de Puerto Gaitán</t>
  </si>
  <si>
    <t>Ciudad/Municipio</t>
  </si>
  <si>
    <t>Meta/Puerto Gaitán</t>
  </si>
  <si>
    <t>Sede educativa</t>
  </si>
  <si>
    <t>No. de servicios</t>
  </si>
  <si>
    <t>Hora inicial:</t>
  </si>
  <si>
    <t>Hora final:</t>
  </si>
  <si>
    <t>Modalidad</t>
  </si>
  <si>
    <t>RPS</t>
  </si>
  <si>
    <t>X</t>
  </si>
  <si>
    <t xml:space="preserve"> </t>
  </si>
  <si>
    <t>No. Visita</t>
  </si>
  <si>
    <t>1ra Visita X</t>
  </si>
  <si>
    <t>2da Visita</t>
  </si>
  <si>
    <t>3ra Visita</t>
  </si>
  <si>
    <t>4ta Visita</t>
  </si>
  <si>
    <t xml:space="preserve">Nombre de quien realiza la visita </t>
  </si>
  <si>
    <t>Cargo de quien realiza la visita.</t>
  </si>
  <si>
    <t>CALIFICACIÓN: CUMPLE (2) CUMPLE PARCIALMENTE (1) NO CUMPLE: (0) NO OBSERVADO (NO) NO APLICA (NA)</t>
  </si>
  <si>
    <t>Condiciones higiénico sanitarias</t>
  </si>
  <si>
    <t>Edificaciones e instalaciones</t>
  </si>
  <si>
    <t>El servicio de alimentación esta aislado de focos de insalubridad. Sus accesos y alrededores se mantienen limpios, libres de acumulación de basuras, estancamiento de aguas y en buen estado de mantenimiento.</t>
  </si>
  <si>
    <t>Las instalaciones están diseñadas y construidas para proteger los ambientes de producción  de contaminantes e ingreso de plagas, animales domésticos y otros.</t>
  </si>
  <si>
    <t xml:space="preserve">Las instalaciones son de materiales que no generan sustancias tóxicas,  resistentes, no porosos, impermeables, no absorbentes, no deslizantes y con acabados libres de grietas o defectos que dificulten la limpieza y desinfección. </t>
  </si>
  <si>
    <t>Se cuenta con servicios sanitarios exclusivos para el personal y se encuentran en buen estado de funcionamiento</t>
  </si>
  <si>
    <t>Las Instalaciones sanitarias se encuentran limpias y con la dotación adecuada (jabón líquido,gel antibacterial toallas, papel higiénico y papeleras con bolsa).</t>
  </si>
  <si>
    <t>PUNTAJE ESPERADO</t>
  </si>
  <si>
    <t>PUNTAJE OBTENIDO</t>
  </si>
  <si>
    <t>Plan de saneamiento</t>
  </si>
  <si>
    <t xml:space="preserve">Programa de Limpieza y Desinfección </t>
  </si>
  <si>
    <t>Todas las áreas y superficies del servicio  se encuentran en adecuadas condiciones  higiene y limpieza, se evita la acumulación de agua y los registros son diligenciados correctamente y se realizan de manera oportuna..</t>
  </si>
  <si>
    <t>Se aplican  protocolos  para la limpieza y desinfección de  equipos, menaje y utensilios (platos, vasos, cubiertos, pocillos, bandejas, tablas de picar, cuchillos, entre otros) y los registros son diligenciados correctamente y se realizan de manera oportuna.</t>
  </si>
  <si>
    <t>Los implementos (paños absorbentes, traperos, recogedores, toallas, guantes entre otros) que se utilizan para el aseo, permanecen en adecuadas condiciones de limpieza y en el lugar establecido.</t>
  </si>
  <si>
    <t xml:space="preserve">Los equipos, utensilios y menaje empleados  se limpian y desinfectan antes de cada uso y son de  materiales resistentes al uso y a la corrosión . </t>
  </si>
  <si>
    <t>Los sistemas de extracción  cumplen con las condiciones higiénicas establecidas, mantenimiento, procedimientos del lavado y los registros son diligenciados correctamente y se realizan de manera oportuna.</t>
  </si>
  <si>
    <t>Control de plagas</t>
  </si>
  <si>
    <t>No se evidencia indicio o presencia de plagas y las áreas cuentan con barreras que minimicen el ingreso de vectores.</t>
  </si>
  <si>
    <t>Se realiza un control de plagas y se cuenta con los siguientes documentos soportes: diagnóstico empresa fumigadora, cronograma, formato de inspección interno, documentación de empresa fumigadora, fichas técnicas. Se encuentran diligenciadas de forma adecuada y oportuna.  Fecha de la ultima fumigación: ________________________</t>
  </si>
  <si>
    <t>Manejo y disposición de residuos sólidos y líquidos</t>
  </si>
  <si>
    <t>Existe al interior del servicio de alimentación, recipientes de material sanitario, para la recolección de residuos sólidos,  en buen estado, en cantidad suficiente,  bien ubicados e identificados  conforme a la norma sanitaria vigente.</t>
  </si>
  <si>
    <t>La clasificación de residuos sólidos se realiza de acuerdo con lo establecido en el programa de manejo de residuos. Adicionalmente, los residuos sólidos son retirados con la frecuencia necesaria para evitar generación de olores y/o proliferación de plagas.</t>
  </si>
  <si>
    <t>El manejo de los residuos líquidos y sólidos no representa riesgo de contaminación para los alimentos ni para las superficies en contacto con estos.</t>
  </si>
  <si>
    <t>Se cumple cuenta con protocolos para el manejo y disposición de aceite vegetal usado.</t>
  </si>
  <si>
    <t>Existe documentación y registro de la limpieza de trampas de grasas.</t>
  </si>
  <si>
    <t>Abastecimiento de agua y control de plagas</t>
  </si>
  <si>
    <t>Disponen de un tanque de almacenamiento de agua potable y se encuentra construido de material higiénico sanitario, hermético y se encuentra en constante circulación, además tiene la capacidad suficiente para un día de producción.</t>
  </si>
  <si>
    <t>Se realiza la limpieza y desinfección periódica del tanque de  almacenamiento de agua potable.
Fecha de la última limpieza y desinfección realizada:  ____________________</t>
  </si>
  <si>
    <t>Personal manipulador</t>
  </si>
  <si>
    <t>El personal manipulador no presenta afecciones  de la piel o enfermedades infectocontagiosas.</t>
  </si>
  <si>
    <t>Cuenta con la dotación completa, limpia, en buen estado y hace uso adecuado de la misma de acuerdo a lo establecido en la normatividad vigente.</t>
  </si>
  <si>
    <t>Cumple con las buenas practicas de manufactura durante todas las etapas del proceso de acuerdo a lo establecido en la normatividad vigente.</t>
  </si>
  <si>
    <t>Condiciones de distribución y transporte en recepción de materia prima</t>
  </si>
  <si>
    <t>Las condiciones sanitarias del vehículo transportador de alimentos, cumple con lo establecido en la normatividad sanitaria vigente. (Condiciones de higiene y limpieza adecuadas  pisos, paredes, techo, estibas, canastillas).</t>
  </si>
  <si>
    <t>El vehículo cuenta con concepto sanitario expedido por la autoridad competente con concepto  favorable.</t>
  </si>
  <si>
    <t xml:space="preserve">Los conductores y auxiliares cumplen con los documentos exigidos para manipular alimentos, portan la dotación de acuerdo a lo establecido en la Resolución 2674 de 2013  e implementan buenas practicas de manufactura. </t>
  </si>
  <si>
    <t>Las materias primas,  se reciben en un lugar limpio y en condiciones físicas que minimicen el riesgo de contaminación o alteración de las características propias de cada producto.</t>
  </si>
  <si>
    <t>Se da cumplimiento a los criterios de aceptación y rechazo de la materia prima recibida y existen controles de este proceso (fecha de vencimiento, lote, condiciones de empaque y cumplimiento de la Resolución 5109 de 2005 y demás normatividad vigente).</t>
  </si>
  <si>
    <t>El personal manipulador verifica la temperatura de las materias primas que requieren refrigeración y congelación.</t>
  </si>
  <si>
    <t>Almacenamiento</t>
  </si>
  <si>
    <t>Se almacenan los alimentos de alto riesgo (lácteos y cárnicos etc.) dentro de los rangos de temperatura exigidos en la resolución 2674 de 2013 y normatividad sanitaria vigente.</t>
  </si>
  <si>
    <t>Se almacenan los productos de acuerdo con las características de los mismos, en sitios adecuados minimizando el riesgo de contaminación.</t>
  </si>
  <si>
    <t>Los alimentos y materias primas se encuentran  libres de presencia de moho, abombamiento, pérdida del vacío, fecha caducada u otro aspecto que incumpla con las características de calidad o inocuidad de los productos.</t>
  </si>
  <si>
    <t>El rotulado y etiquetado del empaque primario de los alimentos cumple con lo estipulado en la Resolución 5109 de 2005 y demás normatividad vigente.</t>
  </si>
  <si>
    <t>Los registros de control de temperatura de los alimentos en refrigeración y congelación, son diligenciados correctamente y se realizan de manera oportuna.</t>
  </si>
  <si>
    <t xml:space="preserve">Se asigna rotulación que permite la identificación de los alimentos, la cual es visible, y se lleva control de primeros en vencer, primero en salir  con el fin de garantizar la adecuada rotación de materia prima </t>
  </si>
  <si>
    <t>La materia prima no conforme se encuentra en un área específica, está debidamente identificada para evitar su uso.</t>
  </si>
  <si>
    <t>Preparación, ensamble y distribución</t>
  </si>
  <si>
    <t>Los procesos de producción se realizan de manera secuencial y continua de tal forma  que se protegen los alimentos de posibles riesgos de contaminación.</t>
  </si>
  <si>
    <t>Se lavan y desinfectan los empaques, los alimentos o materias primas crudas como frutas, verduras y hortalizas y productos de pesca con agua potable, antes de su preparación y en los tiempos establecidos de desinfección.</t>
  </si>
  <si>
    <t>Los procedimientos de operación como: lavar, pelar, cortar, clasificar, extraer, batir, entre otros, se realizan de manera que se protejan los alimentos y materias primas de posibles riesgos de contaminación.</t>
  </si>
  <si>
    <t>Los tiempos de exposición de los alimentos se encuentran dentro de lo establecido en la normatividad vigente y no generan posibles riesgos de contaminación. Adicionalmente, los procesos de descongelación requeridos se realizan de forma controlada para evitar el desarrollo de microorganismos.</t>
  </si>
  <si>
    <t>Todos los complementos están libres de contaminación física, biológica, química y cumplen con  las características de calidad o inocuidad.</t>
  </si>
  <si>
    <t>Se realizan actividades de mantenimiento preventivo a los equipos que aplica, según lo establecido en los manuales del fabricante y se garantiza el cuidado, buen uso y buen estado de la totalidad de equipos y utensilios dispuestos para la operación.</t>
  </si>
  <si>
    <t xml:space="preserve">Se realiza monitoreo de las temperaturas para los alimentos fríos y calientes en las diferentes etapas de proceso </t>
  </si>
  <si>
    <t xml:space="preserve">Las temperaturas para los alimentos fríos y calientes en las diferentes etapas de proceso se mantienen dentro del rango de seguridad que garantiza inocuidad. </t>
  </si>
  <si>
    <t>Se dispone del menaje suficiente para cada modalidad, de acuerdo al  número de raciones y se encuentra en buen estado.</t>
  </si>
  <si>
    <t>Aseguramiento y control de la calidad</t>
  </si>
  <si>
    <t>El comedor escolar cuenta con visita realizada por la Entidad territorial de salud y tiene concepto sanitario Favorable o Favorable con Requerimientos</t>
  </si>
  <si>
    <t>Se cuenta con instrumentos de medición con el fin de realizar control en cada una de las etapas de producción y se garantiza la confiabilidad de las mediciones realizadas.</t>
  </si>
  <si>
    <t>INDICADOR: Porcentaje de cumplimiento de condiciones operativas</t>
  </si>
  <si>
    <t>TOTAL CALIFICACIÓN</t>
  </si>
  <si>
    <t>PUNTAJE OBTENIDO:</t>
  </si>
  <si>
    <t>Porcentaje de Cumplimiento:</t>
  </si>
  <si>
    <t xml:space="preserve"> FORMATO DE VERIFICACIÓN GRAMAJES PARA COMEDORES ESCOLARES DEL PROGRAMA DE ALIMENTACIÓN ESCOLAR - PAE</t>
  </si>
  <si>
    <t>Institución Educativa</t>
  </si>
  <si>
    <t>ETC</t>
  </si>
  <si>
    <t>Ciudad/ Municipio</t>
  </si>
  <si>
    <t>PUERTO GAITÁN</t>
  </si>
  <si>
    <t>Dirección:</t>
  </si>
  <si>
    <t>Fecha Visita:</t>
  </si>
  <si>
    <t>Hora inicio:</t>
  </si>
  <si>
    <t xml:space="preserve">Operador: </t>
  </si>
  <si>
    <t>No Contrato / Convenio</t>
  </si>
  <si>
    <t>Hora de terminación:</t>
  </si>
  <si>
    <t>Instrumento: Marque con una X</t>
  </si>
  <si>
    <t>Balanza</t>
  </si>
  <si>
    <t xml:space="preserve">Marca </t>
  </si>
  <si>
    <t>Número de menú programado</t>
  </si>
  <si>
    <t xml:space="preserve">Se presentaron intercambios </t>
  </si>
  <si>
    <t>Si</t>
  </si>
  <si>
    <t>No</t>
  </si>
  <si>
    <t>Gramera</t>
  </si>
  <si>
    <t>Fecha de última calibración</t>
  </si>
  <si>
    <t>Número de menú entregado</t>
  </si>
  <si>
    <t>Presentaron soporte de autorización</t>
  </si>
  <si>
    <t>Alimentos a entregar de acuerdo al menú programado</t>
  </si>
  <si>
    <t>Alimentos verificados en la visita de acuerdo al menú entregado</t>
  </si>
  <si>
    <t>CUMPLIMIENTO DE GRAMAJES</t>
  </si>
  <si>
    <t>GRUPO DE EDAD</t>
  </si>
  <si>
    <t>PRIMARIA, CUARTO Y QUINTO</t>
  </si>
  <si>
    <t>NIVEL SECUNDARIA</t>
  </si>
  <si>
    <t>Componente</t>
  </si>
  <si>
    <t>MUESTRA 1</t>
  </si>
  <si>
    <t>MUESTRA 2</t>
  </si>
  <si>
    <t>MUESTRA 3</t>
  </si>
  <si>
    <t>Peso esperado</t>
  </si>
  <si>
    <t xml:space="preserve">Concepto 
(Cumple 1 - No Cumple 0)        </t>
  </si>
  <si>
    <t>Peso / Volumen</t>
  </si>
  <si>
    <t>Ración para preparar en sitio – CCT</t>
  </si>
  <si>
    <t>CUMPLE</t>
  </si>
  <si>
    <t>NO CUMPLE</t>
  </si>
  <si>
    <t>OBSERVACIONES:</t>
  </si>
  <si>
    <t>Se realizaron cambios en el menú?</t>
  </si>
  <si>
    <t>SI</t>
  </si>
  <si>
    <t>NO</t>
  </si>
  <si>
    <t>Los cambios están aprobados por la ETC?</t>
  </si>
  <si>
    <t>TOTAL CUMPLIMIENTO DE GRAMAJES</t>
  </si>
  <si>
    <t>OBSERVACIONES</t>
  </si>
  <si>
    <t>PUNTAJE POSIBLE</t>
  </si>
  <si>
    <t>PUNTAJE REAL</t>
  </si>
  <si>
    <t>PORCENTAJE %</t>
  </si>
  <si>
    <t>MUNICIPIO DE PUERTO GAITÁN – SECRETARÍA DE EDUCACIÓN</t>
  </si>
  <si>
    <t>REGISTRO FOTOGRÁFICO GENERAL
Contrato Interventoría PAE N° 656/2026</t>
  </si>
  <si>
    <t>Contrato N°: 0644/2026     |     Operador: Productora de Alimentos PA S.A.S.</t>
  </si>
  <si>
    <t>Sede educativa: ___________________________     Fecha: _______________     Período: _______________</t>
  </si>
  <si>
    <t>FOTOGRAFÍA 1</t>
  </si>
  <si>
    <t>FOTOGRAFÍA 2</t>
  </si>
  <si>
    <t>[ FOTOGRAFÍA 1 ]</t>
  </si>
  <si>
    <t>[ FOTOGRAFÍA 2 ]</t>
  </si>
  <si>
    <t>Descripción F1: ___________________________________</t>
  </si>
  <si>
    <t>Descripción F2: ___________________________________</t>
  </si>
  <si>
    <t>[ FOTOGRAFÍA 3 ]</t>
  </si>
  <si>
    <t>[ FOTOGRAFÍA 4 ]</t>
  </si>
  <si>
    <t>Descripción F3: ___________________________________</t>
  </si>
  <si>
    <t>Descripción F4: ___________________________________</t>
  </si>
  <si>
    <t>[ FOTOGRAFÍA 5 ]</t>
  </si>
  <si>
    <t>[ FOTOGRAFÍA 6 ]</t>
  </si>
  <si>
    <t>Descripción F5: ___________________________________</t>
  </si>
  <si>
    <t>Descripción F6: ___________________________________</t>
  </si>
  <si>
    <t>[ FOTOGRAFÍA 7 ]</t>
  </si>
  <si>
    <t>[ FOTOGRAFÍA 8 ]</t>
  </si>
  <si>
    <t>Descripción F7: ___________________________________</t>
  </si>
  <si>
    <t>Descripción F8: ___________________________________</t>
  </si>
  <si>
    <t>[ FOTOGRAFÍA 9 ]</t>
  </si>
  <si>
    <t>[ FOTOGRAFÍA 10 ]</t>
  </si>
  <si>
    <t>Descripción F9: ___________________________________</t>
  </si>
  <si>
    <t>Descripción F10: ___________________________________</t>
  </si>
  <si>
    <t>[ FOTOGRAFÍA 11 ]</t>
  </si>
  <si>
    <t>[ FOTOGRAFÍA 12 ]</t>
  </si>
  <si>
    <t>Descripción F11: ___________________________________</t>
  </si>
  <si>
    <t>Descripción F12: ___________________________________</t>
  </si>
  <si>
    <t>Elaboró (Interventoría): _________________________     Firma: _____________     Fecha: ___________</t>
  </si>
  <si>
    <t>REGISTRO FOTOGRÁFICO HALLAZGOS
Contrato Interventoría PAE N° 656/2026</t>
  </si>
  <si>
    <t>ANÁLISIS CONSOLIDADO DE VISITAS – RPS</t>
  </si>
  <si>
    <t>FECHA</t>
  </si>
  <si>
    <t>SEDE EDUCATIVA</t>
  </si>
  <si>
    <t>RESPONSABLE</t>
  </si>
  <si>
    <t>TIPO DE VISITA</t>
  </si>
  <si>
    <t>PUNTAJE MÁXIMO</t>
  </si>
  <si>
    <t>% CUMPLIMIENTO</t>
  </si>
  <si>
    <t>CALIFICACIÓN</t>
  </si>
  <si>
    <t>HALLAZGOS CRÍTICOS</t>
  </si>
  <si>
    <t>INDICADORES GENERALES</t>
  </si>
  <si>
    <t>PROMEDIO GENERAL</t>
  </si>
  <si>
    <t>EXCELENTE</t>
  </si>
  <si>
    <t>MÁXIMO CUMPLIMIENTO</t>
  </si>
  <si>
    <t>BUENO</t>
  </si>
  <si>
    <t>MÍNIMO CUMPLIMIENTO</t>
  </si>
  <si>
    <t>ACEPTABLE</t>
  </si>
  <si>
    <t>TOTAL VISITAS</t>
  </si>
  <si>
    <t>CRÍTICO</t>
  </si>
  <si>
    <t>VISITAS CRÍTICAS</t>
  </si>
  <si>
    <t>VISITAS EXCELENTES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</si>
</sst>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33">
    <font>
      <sz val="11.0"/>
      <color theme="1"/>
      <name val="Calibri"/>
      <scheme val="minor"/>
    </font>
    <font>
      <sz val="10.0"/>
      <color theme="1"/>
      <name val="Arial"/>
    </font>
    <font/>
    <font>
      <b/>
      <sz val="10.0"/>
      <color theme="1"/>
      <name val="Arial"/>
    </font>
    <font>
      <sz val="11.0"/>
      <color theme="1"/>
      <name val="Arial"/>
    </font>
    <font>
      <sz val="11.0"/>
      <color rgb="FFD0CECE"/>
      <name val="Arial"/>
    </font>
    <font>
      <b/>
      <sz val="11.0"/>
      <color theme="1"/>
      <name val="Arial"/>
    </font>
    <font>
      <b/>
      <sz val="11.0"/>
      <color rgb="FFD0CECE"/>
      <name val="Arial"/>
    </font>
    <font>
      <sz val="10.0"/>
      <color rgb="FFD0CECE"/>
      <name val="Arial"/>
    </font>
    <font>
      <i/>
      <sz val="10.0"/>
      <color theme="1"/>
      <name val="Arial"/>
    </font>
    <font>
      <sz val="10.0"/>
      <color rgb="FFAEABAB"/>
      <name val="Arial"/>
    </font>
    <font>
      <sz val="11.0"/>
      <color theme="1"/>
      <name val="Calibri"/>
    </font>
    <font>
      <b/>
      <sz val="11.0"/>
      <color theme="1"/>
      <name val="Calibri"/>
    </font>
    <font>
      <sz val="16.0"/>
      <color theme="1"/>
      <name val="Arial Narrow"/>
    </font>
    <font>
      <b/>
      <sz val="12.0"/>
      <color theme="1"/>
      <name val="Arial Narrow"/>
    </font>
    <font>
      <b/>
      <sz val="11.0"/>
      <color theme="1"/>
      <name val="Arial Narrow"/>
    </font>
    <font>
      <b/>
      <sz val="11.0"/>
      <color theme="1"/>
      <name val="Tahoma"/>
    </font>
    <font>
      <sz val="11.0"/>
      <color theme="1"/>
      <name val="Arial Narrow"/>
    </font>
    <font>
      <sz val="11.0"/>
      <color rgb="FFFF0000"/>
      <name val="Calibri"/>
    </font>
    <font>
      <b/>
      <sz val="9.0"/>
      <color theme="1"/>
      <name val="Arial Narrow"/>
    </font>
    <font>
      <b/>
      <sz val="12.0"/>
      <color theme="1"/>
      <name val="Arial"/>
    </font>
    <font>
      <b/>
      <sz val="10.0"/>
      <color theme="1"/>
      <name val="Arial Narrow"/>
    </font>
    <font>
      <b/>
      <sz val="9.0"/>
      <color rgb="FFFFFFFF"/>
      <name val="Arial"/>
    </font>
    <font>
      <b/>
      <sz val="14.0"/>
      <color rgb="FFFFFFFF"/>
      <name val="Arial"/>
    </font>
    <font>
      <sz val="9.0"/>
      <color rgb="FF1F4E79"/>
      <name val="Arial"/>
    </font>
    <font>
      <sz val="9.0"/>
      <color theme="1"/>
      <name val="Arial"/>
    </font>
    <font>
      <i/>
      <sz val="10.0"/>
      <color rgb="FFAAAAAA"/>
      <name val="Arial"/>
    </font>
    <font>
      <sz val="8.0"/>
      <color theme="1"/>
      <name val="Arial"/>
    </font>
    <font>
      <b/>
      <sz val="9.0"/>
      <color rgb="FFFF0066"/>
      <name val="Arial"/>
    </font>
    <font>
      <b/>
      <sz val="14.0"/>
      <color rgb="FFFF0066"/>
      <name val="Arial"/>
    </font>
    <font>
      <b/>
      <sz val="16.0"/>
      <color theme="1"/>
      <name val="Calibri"/>
    </font>
    <font>
      <b/>
      <sz val="11.0"/>
      <color rgb="FFFFFFFF"/>
      <name val="Calibri"/>
    </font>
    <font>
      <color theme="1"/>
      <name val="Calibri"/>
    </font>
  </fonts>
  <fills count="16">
    <fill>
      <patternFill patternType="none"/>
    </fill>
    <fill>
      <patternFill patternType="lightGray"/>
    </fill>
    <fill>
      <patternFill patternType="solid">
        <fgColor theme="0"/>
        <bgColor theme="0"/>
      </patternFill>
    </fill>
    <fill>
      <patternFill patternType="solid">
        <fgColor rgb="FFF7931E"/>
        <bgColor rgb="FFF7931E"/>
      </patternFill>
    </fill>
    <fill>
      <patternFill patternType="solid">
        <fgColor theme="5"/>
        <bgColor theme="5"/>
      </patternFill>
    </fill>
    <fill>
      <patternFill patternType="solid">
        <fgColor rgb="FFFBE4D5"/>
        <bgColor rgb="FFFBE4D5"/>
      </patternFill>
    </fill>
    <fill>
      <patternFill patternType="solid">
        <fgColor rgb="FFF2F2F2"/>
        <bgColor rgb="FFF2F2F2"/>
      </patternFill>
    </fill>
    <fill>
      <patternFill patternType="solid">
        <fgColor rgb="FFF4B083"/>
        <bgColor rgb="FFF4B083"/>
      </patternFill>
    </fill>
    <fill>
      <patternFill patternType="solid">
        <fgColor rgb="FFD8D8D8"/>
        <bgColor rgb="FFD8D8D8"/>
      </patternFill>
    </fill>
    <fill>
      <patternFill patternType="solid">
        <fgColor rgb="FF8EAADB"/>
        <bgColor rgb="FF8EAADB"/>
      </patternFill>
    </fill>
    <fill>
      <patternFill patternType="solid">
        <fgColor rgb="FFBFBFBF"/>
        <bgColor rgb="FFBFBFBF"/>
      </patternFill>
    </fill>
    <fill>
      <patternFill patternType="solid">
        <fgColor rgb="FF1F4E79"/>
        <bgColor rgb="FF1F4E79"/>
      </patternFill>
    </fill>
    <fill>
      <patternFill patternType="solid">
        <fgColor rgb="FF2E75B6"/>
        <bgColor rgb="FF2E75B6"/>
      </patternFill>
    </fill>
    <fill>
      <patternFill patternType="solid">
        <fgColor rgb="FFD6E4F0"/>
        <bgColor rgb="FFD6E4F0"/>
      </patternFill>
    </fill>
    <fill>
      <patternFill patternType="solid">
        <fgColor rgb="FFEBF3FB"/>
        <bgColor rgb="FFEBF3FB"/>
      </patternFill>
    </fill>
    <fill>
      <patternFill patternType="solid">
        <fgColor rgb="FF1E3A5F"/>
        <bgColor rgb="FF1E3A5F"/>
      </patternFill>
    </fill>
  </fills>
  <borders count="75">
    <border/>
    <border>
      <left style="thin">
        <color rgb="FF000000"/>
      </left>
      <top style="thin">
        <color rgb="FF000000"/>
      </top>
    </border>
    <border>
      <top style="thin">
        <color rgb="FF000000"/>
      </top>
    </border>
    <border>
      <right style="thin">
        <color rgb="FF000000"/>
      </right>
      <top style="thin">
        <color rgb="FF000000"/>
      </top>
    </border>
    <border>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left/>
      <top/>
      <bottom/>
    </border>
    <border>
      <top/>
      <bottom/>
    </border>
    <border>
      <left/>
      <top/>
    </border>
    <border>
      <top/>
    </border>
    <border>
      <left/>
    </border>
    <border>
      <left style="thin">
        <color rgb="FFA5A5A5"/>
      </left>
      <top style="thin">
        <color rgb="FFA5A5A5"/>
      </top>
      <bottom style="thin">
        <color rgb="FFA5A5A5"/>
      </bottom>
    </border>
    <border>
      <top style="thin">
        <color rgb="FFA5A5A5"/>
      </top>
      <bottom style="thin">
        <color rgb="FFA5A5A5"/>
      </bottom>
    </border>
    <border>
      <right style="thin">
        <color rgb="FFA5A5A5"/>
      </right>
      <top style="thin">
        <color rgb="FFA5A5A5"/>
      </top>
      <bottom style="thin">
        <color rgb="FFA5A5A5"/>
      </bottom>
    </border>
    <border>
      <left style="thin">
        <color rgb="FF000000"/>
      </left>
      <right style="thin">
        <color rgb="FF000000"/>
      </right>
      <top style="thin">
        <color rgb="FF000000"/>
      </top>
      <bottom style="thin">
        <color rgb="FF000000"/>
      </bottom>
    </border>
    <border>
      <left style="thin">
        <color rgb="FFA5A5A5"/>
      </left>
      <bottom style="thin">
        <color rgb="FFA5A5A5"/>
      </bottom>
    </border>
    <border>
      <left style="thin">
        <color rgb="FFA5A5A5"/>
      </left>
      <top style="thin">
        <color rgb="FFA5A5A5"/>
      </top>
    </border>
    <border>
      <left style="thin">
        <color rgb="FFA5A5A5"/>
      </left>
      <right/>
      <top/>
      <bottom/>
    </border>
    <border>
      <left/>
      <right/>
      <top/>
      <bottom/>
    </border>
    <border>
      <left/>
      <right style="thin">
        <color rgb="FFA5A5A5"/>
      </right>
      <top/>
      <bottom/>
    </border>
    <border>
      <left style="thin">
        <color rgb="FFA5A5A5"/>
      </left>
      <right/>
      <top/>
      <bottom style="thin">
        <color rgb="FFA5A5A5"/>
      </bottom>
    </border>
    <border>
      <left/>
      <right/>
      <top/>
      <bottom style="thin">
        <color rgb="FFA5A5A5"/>
      </bottom>
    </border>
    <border>
      <left/>
      <right style="thin">
        <color rgb="FFA5A5A5"/>
      </right>
      <top/>
      <bottom style="thin">
        <color rgb="FFA5A5A5"/>
      </bottom>
    </border>
    <border>
      <top style="thin">
        <color rgb="FFA5A5A5"/>
      </top>
    </border>
    <border>
      <right style="thin">
        <color rgb="FF000000"/>
      </right>
      <top style="thin">
        <color rgb="FFA5A5A5"/>
      </top>
    </border>
    <border>
      <left style="thin">
        <color rgb="FFA5A5A5"/>
      </left>
    </border>
    <border>
      <left style="thin">
        <color rgb="FFA5A5A5"/>
      </left>
      <bottom style="thin">
        <color rgb="FF000000"/>
      </bottom>
    </border>
    <border>
      <right style="thin">
        <color rgb="FFA5A5A5"/>
      </right>
      <top/>
      <bottom/>
    </border>
    <border>
      <left style="thin">
        <color rgb="FFA5A5A5"/>
      </left>
      <top/>
      <bottom/>
    </border>
    <border>
      <left style="thin">
        <color rgb="FFA5A5A5"/>
      </left>
      <top/>
    </border>
    <border>
      <right style="thin">
        <color rgb="FF000000"/>
      </right>
      <top/>
    </border>
    <border>
      <left style="thin">
        <color rgb="FFA5A5A5"/>
      </left>
      <top/>
      <bottom style="thin">
        <color rgb="FFA5A5A5"/>
      </bottom>
    </border>
    <border>
      <top/>
      <bottom style="thin">
        <color rgb="FFA5A5A5"/>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right style="thin">
        <color rgb="FF000000"/>
      </right>
      <bottom style="thin">
        <color rgb="FF000000"/>
      </bottom>
    </border>
    <border>
      <bottom style="thin">
        <color rgb="FFA5A5A5"/>
      </bottom>
    </border>
    <border>
      <right style="thin">
        <color rgb="FFA5A5A5"/>
      </right>
      <bottom style="thin">
        <color rgb="FFA5A5A5"/>
      </bottom>
    </border>
    <border>
      <left style="thin">
        <color rgb="FFA5A5A5"/>
      </left>
      <top style="thin">
        <color rgb="FFA5A5A5"/>
      </top>
      <bottom/>
    </border>
    <border>
      <top style="thin">
        <color rgb="FFA5A5A5"/>
      </top>
      <bottom/>
    </border>
    <border>
      <right style="thin">
        <color rgb="FFA5A5A5"/>
      </right>
    </border>
    <border>
      <left style="thin">
        <color rgb="FF000000"/>
      </left>
      <top/>
      <bottom style="thin">
        <color rgb="FF000000"/>
      </bottom>
    </border>
    <border>
      <top/>
      <bottom style="thin">
        <color rgb="FF000000"/>
      </bottom>
    </border>
    <border>
      <right style="thin">
        <color rgb="FF000000"/>
      </right>
      <top/>
      <bottom style="thin">
        <color rgb="FF000000"/>
      </bottom>
    </border>
    <border>
      <left style="thin">
        <color rgb="FF000000"/>
      </left>
      <top/>
    </border>
    <border>
      <left/>
      <top/>
      <bottom style="thin">
        <color rgb="FFA5A5A5"/>
      </bottom>
    </border>
    <border>
      <right style="thin">
        <color rgb="FFA5A5A5"/>
      </right>
      <top/>
      <bottom style="thin">
        <color rgb="FFA5A5A5"/>
      </bottom>
    </border>
    <border>
      <right style="thin">
        <color rgb="FFA5A5A5"/>
      </right>
      <top style="thin">
        <color rgb="FFA5A5A5"/>
      </top>
      <bottom/>
    </border>
    <border>
      <left style="thin">
        <color rgb="FFA5A5A5"/>
      </left>
      <right/>
      <top style="thin">
        <color rgb="FFA5A5A5"/>
      </top>
      <bottom/>
    </border>
    <border>
      <left/>
      <right/>
      <top style="thin">
        <color rgb="FFA5A5A5"/>
      </top>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A5A5A5"/>
      </left>
      <top style="thin">
        <color rgb="FF000000"/>
      </top>
      <bottom style="thin">
        <color rgb="FF000000"/>
      </bottom>
    </border>
    <border>
      <left/>
      <top style="thin">
        <color rgb="FFA5A5A5"/>
      </top>
      <bottom style="thin">
        <color rgb="FFA5A5A5"/>
      </bottom>
    </border>
    <border>
      <left style="thin">
        <color rgb="FFA5A5A5"/>
      </left>
      <right style="thin">
        <color rgb="FFA5A5A5"/>
      </right>
      <bottom style="thin">
        <color rgb="FFA5A5A5"/>
      </bottom>
    </border>
    <border>
      <left style="thin">
        <color rgb="FFA5A5A5"/>
      </left>
      <top style="thin">
        <color rgb="FF000000"/>
      </top>
      <bottom style="thin">
        <color rgb="FFA5A5A5"/>
      </bottom>
    </border>
    <border>
      <top style="thin">
        <color rgb="FF000000"/>
      </top>
      <bottom style="thin">
        <color rgb="FFA5A5A5"/>
      </bottom>
    </border>
    <border>
      <right style="thin">
        <color rgb="FFA5A5A5"/>
      </right>
      <top style="thin">
        <color rgb="FF000000"/>
      </top>
      <bottom style="thin">
        <color rgb="FFA5A5A5"/>
      </bottom>
    </border>
    <border>
      <left style="thin">
        <color rgb="FFA5A5A5"/>
      </left>
      <right style="thin">
        <color rgb="FFA5A5A5"/>
      </right>
      <top style="thin">
        <color rgb="FFA5A5A5"/>
      </top>
      <bottom style="thin">
        <color rgb="FFA5A5A5"/>
      </bottom>
    </border>
    <border>
      <left style="thin">
        <color rgb="FFA5A5A5"/>
      </left>
      <right style="thin">
        <color rgb="FFA5A5A5"/>
      </right>
      <top style="thin">
        <color rgb="FFA5A5A5"/>
      </top>
    </border>
    <border>
      <right style="thin">
        <color rgb="FFA5A5A5"/>
      </right>
      <top style="thin">
        <color rgb="FFA5A5A5"/>
      </top>
    </border>
    <border>
      <left style="thin">
        <color rgb="FFA5A5A5"/>
      </left>
      <right style="thin">
        <color rgb="FFA5A5A5"/>
      </right>
    </border>
    <border>
      <left style="thin">
        <color rgb="FF000000"/>
      </left>
      <right style="thin">
        <color rgb="FF000000"/>
      </right>
      <top style="thin">
        <color rgb="FF000000"/>
      </top>
    </border>
    <border>
      <left style="thin">
        <color rgb="FFAAAAAA"/>
      </left>
      <right style="thin">
        <color rgb="FFAAAAAA"/>
      </right>
      <top style="thin">
        <color rgb="FFAAAAAA"/>
      </top>
    </border>
    <border>
      <left style="thin">
        <color rgb="FFAAAAAA"/>
      </left>
      <right style="thin">
        <color rgb="FFAAAAAA"/>
      </right>
    </border>
    <border>
      <left style="thin">
        <color rgb="FFAAAAAA"/>
      </left>
      <right style="thin">
        <color rgb="FFAAAAAA"/>
      </right>
      <bottom style="thin">
        <color rgb="FFAAAAAA"/>
      </bottom>
    </border>
    <border>
      <top style="medium">
        <color rgb="FF1F4E79"/>
      </top>
    </border>
  </borders>
  <cellStyleXfs count="1">
    <xf borderId="0" fillId="0" fontId="0" numFmtId="0" applyAlignment="1" applyFont="1"/>
  </cellStyleXfs>
  <cellXfs count="269">
    <xf borderId="0" fillId="0" fontId="0" numFmtId="0" xfId="0" applyAlignment="1" applyFont="1">
      <alignment readingOrder="0" shrinkToFit="0" vertical="bottom" wrapText="0"/>
    </xf>
    <xf borderId="1" fillId="2" fontId="1" numFmtId="0" xfId="0" applyAlignment="1" applyBorder="1" applyFill="1" applyFont="1">
      <alignment horizontal="center"/>
    </xf>
    <xf borderId="2" fillId="0" fontId="2" numFmtId="0" xfId="0" applyBorder="1" applyFont="1"/>
    <xf borderId="3" fillId="0" fontId="2" numFmtId="0" xfId="0" applyBorder="1" applyFont="1"/>
    <xf borderId="4" fillId="3" fontId="3" numFmtId="0" xfId="0" applyAlignment="1" applyBorder="1" applyFill="1" applyFont="1">
      <alignment horizontal="center" shrinkToFit="0" vertical="center" wrapText="1"/>
    </xf>
    <xf borderId="5" fillId="0" fontId="2" numFmtId="0" xfId="0" applyBorder="1" applyFont="1"/>
    <xf borderId="6" fillId="0" fontId="2" numFmtId="0" xfId="0" applyBorder="1" applyFont="1"/>
    <xf borderId="1" fillId="0" fontId="1" numFmtId="0" xfId="0" applyAlignment="1" applyBorder="1" applyFont="1">
      <alignment horizontal="center" shrinkToFit="0" vertical="center" wrapText="1"/>
    </xf>
    <xf borderId="0" fillId="0" fontId="1" numFmtId="0" xfId="0" applyAlignment="1" applyFont="1">
      <alignment shrinkToFit="0" vertical="center" wrapText="1"/>
    </xf>
    <xf borderId="0" fillId="0" fontId="1" numFmtId="0" xfId="0" applyFont="1"/>
    <xf borderId="7" fillId="0" fontId="2" numFmtId="0" xfId="0" applyBorder="1" applyFont="1"/>
    <xf borderId="8" fillId="0" fontId="2" numFmtId="0" xfId="0" applyBorder="1" applyFont="1"/>
    <xf borderId="1" fillId="2" fontId="3" numFmtId="0" xfId="0" applyAlignment="1" applyBorder="1" applyFont="1">
      <alignment horizontal="center" shrinkToFit="0" vertical="center" wrapText="1"/>
    </xf>
    <xf borderId="0" fillId="0" fontId="1" numFmtId="0" xfId="0" applyAlignment="1" applyFont="1">
      <alignment vertical="center"/>
    </xf>
    <xf borderId="9" fillId="0" fontId="2" numFmtId="0" xfId="0" applyBorder="1" applyFont="1"/>
    <xf borderId="10" fillId="0" fontId="2" numFmtId="0" xfId="0" applyBorder="1" applyFont="1"/>
    <xf borderId="11" fillId="0" fontId="2" numFmtId="0" xfId="0" applyBorder="1" applyFont="1"/>
    <xf borderId="12" fillId="0" fontId="4" numFmtId="0" xfId="0" applyAlignment="1" applyBorder="1" applyFont="1">
      <alignment horizontal="left" vertical="center"/>
    </xf>
    <xf borderId="12" fillId="2" fontId="4" numFmtId="0" xfId="0" applyAlignment="1" applyBorder="1" applyFont="1">
      <alignment horizontal="left" vertical="center"/>
    </xf>
    <xf borderId="13" fillId="2" fontId="5" numFmtId="0" xfId="0" applyAlignment="1" applyBorder="1" applyFont="1">
      <alignment horizontal="center"/>
    </xf>
    <xf borderId="14" fillId="0" fontId="2" numFmtId="0" xfId="0" applyBorder="1" applyFont="1"/>
    <xf borderId="12" fillId="2" fontId="4" numFmtId="0" xfId="0" applyAlignment="1" applyBorder="1" applyFont="1">
      <alignment horizontal="center" vertical="center"/>
    </xf>
    <xf borderId="12" fillId="0" fontId="4" numFmtId="0" xfId="0" applyAlignment="1" applyBorder="1" applyFont="1">
      <alignment horizontal="center" vertical="center"/>
    </xf>
    <xf borderId="15" fillId="2" fontId="1" numFmtId="0" xfId="0" applyAlignment="1" applyBorder="1" applyFont="1">
      <alignment horizontal="center" vertical="center"/>
    </xf>
    <xf borderId="16" fillId="0" fontId="2" numFmtId="0" xfId="0" applyBorder="1" applyFont="1"/>
    <xf borderId="13" fillId="2" fontId="1" numFmtId="0" xfId="0" applyAlignment="1" applyBorder="1" applyFont="1">
      <alignment horizontal="center" shrinkToFit="0" wrapText="1"/>
    </xf>
    <xf borderId="13" fillId="2" fontId="1" numFmtId="0" xfId="0" applyAlignment="1" applyBorder="1" applyFont="1">
      <alignment horizontal="center" shrinkToFit="0" vertical="center" wrapText="1"/>
    </xf>
    <xf borderId="13" fillId="2" fontId="1" numFmtId="0" xfId="0" applyAlignment="1" applyBorder="1" applyFont="1">
      <alignment horizontal="center" vertical="center"/>
    </xf>
    <xf borderId="12" fillId="0" fontId="4" numFmtId="0" xfId="0" applyAlignment="1" applyBorder="1" applyFont="1">
      <alignment vertical="center"/>
    </xf>
    <xf borderId="17" fillId="0" fontId="2" numFmtId="0" xfId="0" applyBorder="1" applyFont="1"/>
    <xf borderId="0" fillId="0" fontId="1" numFmtId="0" xfId="0" applyAlignment="1" applyFont="1">
      <alignment horizontal="center" vertical="center"/>
    </xf>
    <xf borderId="1" fillId="0" fontId="4" numFmtId="0" xfId="0" applyAlignment="1" applyBorder="1" applyFont="1">
      <alignment shrinkToFit="0" vertical="center" wrapText="1"/>
    </xf>
    <xf borderId="1" fillId="0" fontId="4" numFmtId="0" xfId="0" applyAlignment="1" applyBorder="1" applyFont="1">
      <alignment horizontal="center" shrinkToFit="0" vertical="center" wrapText="1"/>
    </xf>
    <xf borderId="1" fillId="0" fontId="4" numFmtId="0" xfId="0" applyAlignment="1" applyBorder="1" applyFont="1">
      <alignment horizontal="left" shrinkToFit="0" vertical="center" wrapText="1"/>
    </xf>
    <xf borderId="12" fillId="0" fontId="4" numFmtId="0" xfId="0" applyAlignment="1" applyBorder="1" applyFont="1">
      <alignment shrinkToFit="0" vertical="center" wrapText="1"/>
    </xf>
    <xf borderId="12" fillId="0" fontId="4" numFmtId="0" xfId="0" applyAlignment="1" applyBorder="1" applyFont="1">
      <alignment horizontal="center" shrinkToFit="0" vertical="center" wrapText="1"/>
    </xf>
    <xf borderId="12" fillId="0" fontId="4" numFmtId="0" xfId="0" applyAlignment="1" applyBorder="1" applyFont="1">
      <alignment horizontal="left" shrinkToFit="0" vertical="center" wrapText="1"/>
    </xf>
    <xf borderId="18" fillId="3" fontId="3" numFmtId="0" xfId="0" applyAlignment="1" applyBorder="1" applyFont="1">
      <alignment horizontal="left" vertical="center"/>
    </xf>
    <xf borderId="19" fillId="0" fontId="2" numFmtId="0" xfId="0" applyBorder="1" applyFont="1"/>
    <xf borderId="20" fillId="0" fontId="2" numFmtId="0" xfId="0" applyBorder="1" applyFont="1"/>
    <xf borderId="1" fillId="0" fontId="1" numFmtId="0" xfId="0" applyAlignment="1" applyBorder="1" applyFont="1">
      <alignment horizontal="left" vertical="center"/>
    </xf>
    <xf borderId="1" fillId="0" fontId="1" numFmtId="0" xfId="0" applyAlignment="1" applyBorder="1" applyFont="1">
      <alignment horizontal="center"/>
    </xf>
    <xf borderId="12" fillId="0" fontId="1" numFmtId="0" xfId="0" applyAlignment="1" applyBorder="1" applyFont="1">
      <alignment horizontal="center" vertical="center"/>
    </xf>
    <xf borderId="12" fillId="0" fontId="1" numFmtId="0" xfId="0" applyAlignment="1" applyBorder="1" applyFont="1">
      <alignment horizontal="center" shrinkToFit="0" vertical="center" wrapText="1"/>
    </xf>
    <xf borderId="21" fillId="0" fontId="1" numFmtId="0" xfId="0" applyAlignment="1" applyBorder="1" applyFont="1">
      <alignment shrinkToFit="0" vertical="center" wrapText="1"/>
    </xf>
    <xf borderId="12" fillId="3" fontId="3" numFmtId="0" xfId="0" applyAlignment="1" applyBorder="1" applyFont="1">
      <alignment horizontal="left" vertical="center"/>
    </xf>
    <xf borderId="12" fillId="3" fontId="3" numFmtId="0" xfId="0" applyAlignment="1" applyBorder="1" applyFont="1">
      <alignment horizontal="center" vertical="center"/>
    </xf>
    <xf borderId="22" fillId="0" fontId="1" numFmtId="0" xfId="0" applyAlignment="1" applyBorder="1" applyFont="1">
      <alignment horizontal="center" vertical="center"/>
    </xf>
    <xf borderId="12" fillId="0" fontId="1" numFmtId="0" xfId="0" applyAlignment="1" applyBorder="1" applyFont="1">
      <alignment horizontal="left" shrinkToFit="0" vertical="center" wrapText="1"/>
    </xf>
    <xf borderId="12" fillId="0" fontId="1" numFmtId="0" xfId="0" applyAlignment="1" applyBorder="1" applyFont="1">
      <alignment horizontal="center"/>
    </xf>
    <xf borderId="18" fillId="0" fontId="1" numFmtId="0" xfId="0" applyAlignment="1" applyBorder="1" applyFont="1">
      <alignment horizontal="center" vertical="center"/>
    </xf>
    <xf borderId="23" fillId="0" fontId="1" numFmtId="0" xfId="0" applyAlignment="1" applyBorder="1" applyFont="1">
      <alignment horizontal="center" vertical="center"/>
    </xf>
    <xf borderId="1" fillId="0" fontId="1" numFmtId="0" xfId="0" applyAlignment="1" applyBorder="1" applyFont="1">
      <alignment horizontal="left" shrinkToFit="0" vertical="center" wrapText="1"/>
    </xf>
    <xf borderId="12" fillId="0" fontId="1" numFmtId="0" xfId="0" applyAlignment="1" applyBorder="1" applyFont="1">
      <alignment horizontal="left"/>
    </xf>
    <xf borderId="24" fillId="2" fontId="1" numFmtId="0" xfId="0" applyAlignment="1" applyBorder="1" applyFont="1">
      <alignment horizontal="center" vertical="center"/>
    </xf>
    <xf borderId="25" fillId="2" fontId="1" numFmtId="0" xfId="0" applyAlignment="1" applyBorder="1" applyFont="1">
      <alignment horizontal="center" vertical="center"/>
    </xf>
    <xf borderId="26" fillId="2" fontId="1" numFmtId="0" xfId="0" applyAlignment="1" applyBorder="1" applyFont="1">
      <alignment horizontal="center" vertical="center"/>
    </xf>
    <xf borderId="25" fillId="2" fontId="3" numFmtId="0" xfId="0" applyAlignment="1" applyBorder="1" applyFont="1">
      <alignment vertical="center"/>
    </xf>
    <xf borderId="12" fillId="4" fontId="6" numFmtId="0" xfId="0" applyAlignment="1" applyBorder="1" applyFill="1" applyFont="1">
      <alignment horizontal="center" vertical="center"/>
    </xf>
    <xf borderId="25" fillId="2" fontId="1" numFmtId="0" xfId="0" applyAlignment="1" applyBorder="1" applyFont="1">
      <alignment vertical="center"/>
    </xf>
    <xf borderId="1" fillId="2" fontId="4" numFmtId="0" xfId="0" applyAlignment="1" applyBorder="1" applyFont="1">
      <alignment horizontal="center" vertical="center"/>
    </xf>
    <xf borderId="27" fillId="2" fontId="1" numFmtId="0" xfId="0" applyAlignment="1" applyBorder="1" applyFont="1">
      <alignment horizontal="center" vertical="center"/>
    </xf>
    <xf borderId="28" fillId="2" fontId="1" numFmtId="0" xfId="0" applyAlignment="1" applyBorder="1" applyFont="1">
      <alignment horizontal="center" vertical="center"/>
    </xf>
    <xf borderId="29" fillId="2" fontId="1" numFmtId="0" xfId="0" applyAlignment="1" applyBorder="1" applyFont="1">
      <alignment horizontal="center" vertical="center"/>
    </xf>
    <xf borderId="4" fillId="5" fontId="3" numFmtId="0" xfId="0" applyAlignment="1" applyBorder="1" applyFill="1" applyFont="1">
      <alignment horizontal="center" shrinkToFit="0" vertical="center" wrapText="1"/>
    </xf>
    <xf borderId="1" fillId="0" fontId="3" numFmtId="0" xfId="0" applyAlignment="1" applyBorder="1" applyFont="1">
      <alignment horizontal="center" shrinkToFit="0" vertical="center" wrapText="1"/>
    </xf>
    <xf borderId="1" fillId="5" fontId="3" numFmtId="0" xfId="0" applyAlignment="1" applyBorder="1" applyFont="1">
      <alignment horizontal="center" shrinkToFit="0" vertical="center" wrapText="1"/>
    </xf>
    <xf borderId="12" fillId="0" fontId="6" numFmtId="0" xfId="0" applyAlignment="1" applyBorder="1" applyFont="1">
      <alignment horizontal="left" vertical="center"/>
    </xf>
    <xf borderId="12" fillId="2" fontId="6" numFmtId="0" xfId="0" applyAlignment="1" applyBorder="1" applyFont="1">
      <alignment horizontal="left" vertical="center"/>
    </xf>
    <xf borderId="13" fillId="2" fontId="7" numFmtId="0" xfId="0" applyAlignment="1" applyBorder="1" applyFont="1">
      <alignment horizontal="center"/>
    </xf>
    <xf borderId="12" fillId="2" fontId="6" numFmtId="0" xfId="0" applyAlignment="1" applyBorder="1" applyFont="1">
      <alignment horizontal="center" vertical="center"/>
    </xf>
    <xf borderId="12" fillId="0" fontId="6" numFmtId="0" xfId="0" applyAlignment="1" applyBorder="1" applyFont="1">
      <alignment horizontal="center" vertical="center"/>
    </xf>
    <xf borderId="12" fillId="0" fontId="6" numFmtId="0" xfId="0" applyAlignment="1" applyBorder="1" applyFont="1">
      <alignment vertical="center"/>
    </xf>
    <xf borderId="1" fillId="0" fontId="6" numFmtId="0" xfId="0" applyAlignment="1" applyBorder="1" applyFont="1">
      <alignment shrinkToFit="0" vertical="center" wrapText="1"/>
    </xf>
    <xf borderId="1" fillId="0" fontId="6" numFmtId="0" xfId="0" applyAlignment="1" applyBorder="1" applyFont="1">
      <alignment horizontal="center" shrinkToFit="0" vertical="center" wrapText="1"/>
    </xf>
    <xf borderId="1" fillId="0" fontId="6" numFmtId="0" xfId="0" applyAlignment="1" applyBorder="1" applyFont="1">
      <alignment horizontal="left" shrinkToFit="0" vertical="center" wrapText="1"/>
    </xf>
    <xf borderId="12" fillId="0" fontId="6" numFmtId="0" xfId="0" applyAlignment="1" applyBorder="1" applyFont="1">
      <alignment shrinkToFit="0" vertical="center" wrapText="1"/>
    </xf>
    <xf borderId="12" fillId="0" fontId="6" numFmtId="0" xfId="0" applyAlignment="1" applyBorder="1" applyFont="1">
      <alignment horizontal="center" shrinkToFit="0" vertical="center" wrapText="1"/>
    </xf>
    <xf borderId="12" fillId="0" fontId="6" numFmtId="0" xfId="0" applyAlignment="1" applyBorder="1" applyFont="1">
      <alignment horizontal="left" shrinkToFit="0" vertical="center" wrapText="1"/>
    </xf>
    <xf borderId="18" fillId="5" fontId="3" numFmtId="0" xfId="0" applyAlignment="1" applyBorder="1" applyFont="1">
      <alignment horizontal="center" vertical="center"/>
    </xf>
    <xf borderId="12" fillId="5" fontId="3" numFmtId="0" xfId="0" applyAlignment="1" applyBorder="1" applyFont="1">
      <alignment horizontal="center" vertical="center"/>
    </xf>
    <xf borderId="12" fillId="5" fontId="6" numFmtId="0" xfId="0" applyAlignment="1" applyBorder="1" applyFont="1">
      <alignment horizontal="center" vertical="center"/>
    </xf>
    <xf borderId="23" fillId="2" fontId="8" numFmtId="0" xfId="0" applyAlignment="1" applyBorder="1" applyFont="1">
      <alignment horizontal="center" shrinkToFit="0" vertical="center" wrapText="1"/>
    </xf>
    <xf borderId="30" fillId="0" fontId="2" numFmtId="0" xfId="0" applyBorder="1" applyFont="1"/>
    <xf borderId="31" fillId="0" fontId="2" numFmtId="0" xfId="0" applyBorder="1" applyFont="1"/>
    <xf borderId="12" fillId="5" fontId="3" numFmtId="0" xfId="0" applyAlignment="1" applyBorder="1" applyFont="1">
      <alignment horizontal="center" shrinkToFit="0" vertical="center" wrapText="1"/>
    </xf>
    <xf borderId="32" fillId="0" fontId="2" numFmtId="0" xfId="0" applyBorder="1" applyFont="1"/>
    <xf borderId="1" fillId="0" fontId="3" numFmtId="0" xfId="0" applyAlignment="1" applyBorder="1" applyFont="1">
      <alignment horizontal="center" shrinkToFit="0" wrapText="1"/>
    </xf>
    <xf borderId="33" fillId="0" fontId="2" numFmtId="0" xfId="0" applyBorder="1" applyFont="1"/>
    <xf borderId="12" fillId="0" fontId="1" numFmtId="0" xfId="0" applyAlignment="1" applyBorder="1" applyFont="1">
      <alignment horizontal="left" vertical="center"/>
    </xf>
    <xf borderId="12" fillId="2" fontId="1" numFmtId="0" xfId="0" applyAlignment="1" applyBorder="1" applyFont="1">
      <alignment horizontal="left" vertical="center"/>
    </xf>
    <xf borderId="13" fillId="2" fontId="8" numFmtId="0" xfId="0" applyAlignment="1" applyBorder="1" applyFont="1">
      <alignment horizontal="center"/>
    </xf>
    <xf borderId="34" fillId="0" fontId="2" numFmtId="0" xfId="0" applyBorder="1" applyFont="1"/>
    <xf borderId="35" fillId="2" fontId="1" numFmtId="0" xfId="0" applyAlignment="1" applyBorder="1" applyFont="1">
      <alignment horizontal="center" vertical="center"/>
    </xf>
    <xf borderId="1" fillId="2" fontId="1" numFmtId="0" xfId="0" applyAlignment="1" applyBorder="1" applyFont="1">
      <alignment horizontal="center" vertical="center"/>
    </xf>
    <xf borderId="12" fillId="2" fontId="1" numFmtId="0" xfId="0" applyAlignment="1" applyBorder="1" applyFont="1">
      <alignment horizontal="center" shrinkToFit="0" vertical="center" wrapText="1"/>
    </xf>
    <xf borderId="12" fillId="2" fontId="1" numFmtId="0" xfId="0" applyAlignment="1" applyBorder="1" applyFont="1">
      <alignment horizontal="center" vertical="center"/>
    </xf>
    <xf borderId="36" fillId="2" fontId="1" numFmtId="0" xfId="0" applyAlignment="1" applyBorder="1" applyFont="1">
      <alignment horizontal="center" vertical="center"/>
    </xf>
    <xf borderId="37" fillId="0" fontId="2" numFmtId="0" xfId="0" applyBorder="1" applyFont="1"/>
    <xf borderId="21" fillId="5" fontId="1" numFmtId="0" xfId="0" applyAlignment="1" applyBorder="1" applyFont="1">
      <alignment horizontal="center" vertical="center"/>
    </xf>
    <xf borderId="12" fillId="5" fontId="1" numFmtId="0" xfId="0" applyAlignment="1" applyBorder="1" applyFont="1">
      <alignment horizontal="center" vertical="center"/>
    </xf>
    <xf borderId="21" fillId="0" fontId="1" numFmtId="0" xfId="0" applyAlignment="1" applyBorder="1" applyFont="1">
      <alignment horizontal="center" vertical="center"/>
    </xf>
    <xf borderId="38" fillId="5" fontId="3" numFmtId="0" xfId="0" applyAlignment="1" applyBorder="1" applyFont="1">
      <alignment horizontal="center" vertical="center"/>
    </xf>
    <xf borderId="39" fillId="0" fontId="2" numFmtId="0" xfId="0" applyBorder="1" applyFont="1"/>
    <xf borderId="40" fillId="2" fontId="1" numFmtId="0" xfId="0" applyAlignment="1" applyBorder="1" applyFont="1">
      <alignment horizontal="center" vertical="center"/>
    </xf>
    <xf borderId="41" fillId="0" fontId="2" numFmtId="0" xfId="0" applyBorder="1" applyFont="1"/>
    <xf borderId="42" fillId="0" fontId="2" numFmtId="0" xfId="0" applyBorder="1" applyFont="1"/>
    <xf borderId="9" fillId="0" fontId="1" numFmtId="0" xfId="0" applyAlignment="1" applyBorder="1" applyFont="1">
      <alignment horizontal="center" vertical="center"/>
    </xf>
    <xf borderId="43" fillId="0" fontId="1" numFmtId="0" xfId="0" applyAlignment="1" applyBorder="1" applyFont="1">
      <alignment horizontal="center" vertical="center"/>
    </xf>
    <xf borderId="44" fillId="0" fontId="2" numFmtId="0" xfId="0" applyBorder="1" applyFont="1"/>
    <xf borderId="45" fillId="0" fontId="2" numFmtId="0" xfId="0" applyBorder="1" applyFont="1"/>
    <xf borderId="12" fillId="0" fontId="3" numFmtId="0" xfId="0" applyAlignment="1" applyBorder="1" applyFont="1">
      <alignment horizontal="right" vertical="center"/>
    </xf>
    <xf borderId="46" fillId="5" fontId="1" numFmtId="0" xfId="0" applyAlignment="1" applyBorder="1" applyFont="1">
      <alignment horizontal="center" vertical="center"/>
    </xf>
    <xf borderId="47" fillId="0" fontId="2" numFmtId="0" xfId="0" applyBorder="1" applyFont="1"/>
    <xf borderId="25" fillId="2" fontId="9" numFmtId="0" xfId="0" applyAlignment="1" applyBorder="1" applyFont="1">
      <alignment shrinkToFit="0" vertical="center" wrapText="1"/>
    </xf>
    <xf borderId="25" fillId="2" fontId="1" numFmtId="0" xfId="0" applyAlignment="1" applyBorder="1" applyFont="1">
      <alignment horizontal="left" vertical="center"/>
    </xf>
    <xf borderId="7" fillId="0" fontId="1" numFmtId="0" xfId="0" applyAlignment="1" applyBorder="1" applyFont="1">
      <alignment horizontal="center" shrinkToFit="0" vertical="center" wrapText="1"/>
    </xf>
    <xf borderId="48" fillId="0" fontId="2" numFmtId="0" xfId="0" applyBorder="1" applyFont="1"/>
    <xf borderId="49" fillId="2" fontId="8" numFmtId="0" xfId="0" applyAlignment="1" applyBorder="1" applyFont="1">
      <alignment horizontal="center"/>
    </xf>
    <xf borderId="50" fillId="0" fontId="2" numFmtId="0" xfId="0" applyBorder="1" applyFont="1"/>
    <xf borderId="51" fillId="0" fontId="2" numFmtId="0" xfId="0" applyBorder="1" applyFont="1"/>
    <xf borderId="52" fillId="2" fontId="1" numFmtId="0" xfId="0" applyAlignment="1" applyBorder="1" applyFont="1">
      <alignment horizontal="center" vertical="center"/>
    </xf>
    <xf borderId="49" fillId="2" fontId="1" numFmtId="0" xfId="0" applyAlignment="1" applyBorder="1" applyFont="1">
      <alignment horizontal="center" shrinkToFit="0" wrapText="1"/>
    </xf>
    <xf borderId="49" fillId="2" fontId="1" numFmtId="0" xfId="0" applyAlignment="1" applyBorder="1" applyFont="1">
      <alignment horizontal="center" shrinkToFit="0" vertical="center" wrapText="1"/>
    </xf>
    <xf borderId="49" fillId="2" fontId="1" numFmtId="0" xfId="0" applyAlignment="1" applyBorder="1" applyFont="1">
      <alignment horizontal="center" vertical="center"/>
    </xf>
    <xf borderId="1" fillId="5" fontId="3" numFmtId="0" xfId="0" applyAlignment="1" applyBorder="1" applyFont="1">
      <alignment horizontal="center" vertical="center"/>
    </xf>
    <xf borderId="49" fillId="2" fontId="3" numFmtId="0" xfId="0" applyAlignment="1" applyBorder="1" applyFont="1">
      <alignment horizontal="center" vertical="center"/>
    </xf>
    <xf borderId="53" fillId="2" fontId="3" numFmtId="0" xfId="0" applyAlignment="1" applyBorder="1" applyFont="1">
      <alignment horizontal="center" vertical="center"/>
    </xf>
    <xf borderId="54" fillId="0" fontId="2" numFmtId="0" xfId="0" applyBorder="1" applyFont="1"/>
    <xf borderId="38" fillId="2" fontId="3" numFmtId="0" xfId="0" applyAlignment="1" applyBorder="1" applyFont="1">
      <alignment horizontal="center" vertical="center"/>
    </xf>
    <xf borderId="12" fillId="2" fontId="3" numFmtId="0" xfId="0" applyAlignment="1" applyBorder="1" applyFont="1">
      <alignment horizontal="center" vertical="center"/>
    </xf>
    <xf borderId="18" fillId="2" fontId="3" numFmtId="0" xfId="0" applyAlignment="1" applyBorder="1" applyFont="1">
      <alignment horizontal="center" vertical="center"/>
    </xf>
    <xf borderId="1" fillId="2" fontId="3" numFmtId="0" xfId="0" applyAlignment="1" applyBorder="1" applyFont="1">
      <alignment horizontal="left" shrinkToFit="0" vertical="center" wrapText="1"/>
    </xf>
    <xf borderId="1" fillId="2" fontId="1" numFmtId="0" xfId="0" applyAlignment="1" applyBorder="1" applyFont="1">
      <alignment horizontal="center" shrinkToFit="0" vertical="center" wrapText="1"/>
    </xf>
    <xf borderId="1" fillId="2" fontId="3" numFmtId="0" xfId="0" applyAlignment="1" applyBorder="1" applyFont="1">
      <alignment horizontal="right" shrinkToFit="0" vertical="center" wrapText="1"/>
    </xf>
    <xf borderId="46" fillId="5" fontId="3" numFmtId="0" xfId="0" applyAlignment="1" applyBorder="1" applyFont="1">
      <alignment horizontal="center" vertical="center"/>
    </xf>
    <xf borderId="55" fillId="0" fontId="2" numFmtId="0" xfId="0" applyBorder="1" applyFont="1"/>
    <xf borderId="12" fillId="2" fontId="1" numFmtId="0" xfId="0" applyAlignment="1" applyBorder="1" applyFont="1">
      <alignment vertical="center"/>
    </xf>
    <xf borderId="35" fillId="2" fontId="1" numFmtId="0" xfId="0" applyAlignment="1" applyBorder="1" applyFont="1">
      <alignment vertical="center"/>
    </xf>
    <xf borderId="56" fillId="2" fontId="1" numFmtId="0" xfId="0" applyBorder="1" applyFont="1"/>
    <xf borderId="57" fillId="2" fontId="1" numFmtId="0" xfId="0" applyBorder="1" applyFont="1"/>
    <xf borderId="0" fillId="0" fontId="4" numFmtId="0" xfId="0" applyFont="1"/>
    <xf borderId="24" fillId="2" fontId="1" numFmtId="0" xfId="0" applyBorder="1" applyFont="1"/>
    <xf borderId="25" fillId="2" fontId="1" numFmtId="0" xfId="0" applyBorder="1" applyFont="1"/>
    <xf borderId="0" fillId="0" fontId="4" numFmtId="0" xfId="0" applyAlignment="1" applyFont="1">
      <alignment vertical="center"/>
    </xf>
    <xf borderId="27" fillId="2" fontId="1" numFmtId="0" xfId="0" applyBorder="1" applyFont="1"/>
    <xf borderId="28" fillId="2" fontId="1" numFmtId="0" xfId="0" applyBorder="1" applyFont="1"/>
    <xf borderId="5" fillId="0" fontId="6" numFmtId="0" xfId="0" applyAlignment="1" applyBorder="1" applyFont="1">
      <alignment vertical="center"/>
    </xf>
    <xf borderId="0" fillId="0" fontId="4" numFmtId="0" xfId="0" applyAlignment="1" applyFont="1">
      <alignment horizontal="center" vertical="center"/>
    </xf>
    <xf borderId="12" fillId="2" fontId="7" numFmtId="0" xfId="0" applyAlignment="1" applyBorder="1" applyFont="1">
      <alignment horizontal="center"/>
    </xf>
    <xf borderId="6" fillId="0" fontId="6" numFmtId="0" xfId="0" applyAlignment="1" applyBorder="1" applyFont="1">
      <alignment vertical="center"/>
    </xf>
    <xf borderId="58" fillId="2" fontId="6" numFmtId="0" xfId="0" applyAlignment="1" applyBorder="1" applyFont="1">
      <alignment vertical="center"/>
    </xf>
    <xf borderId="59" fillId="2" fontId="6" numFmtId="0" xfId="0" applyAlignment="1" applyBorder="1" applyFont="1">
      <alignment vertical="center"/>
    </xf>
    <xf borderId="21" fillId="2" fontId="6" numFmtId="0" xfId="0" applyAlignment="1" applyBorder="1" applyFont="1">
      <alignment vertical="center"/>
    </xf>
    <xf borderId="12" fillId="2" fontId="6" numFmtId="0" xfId="0" applyAlignment="1" applyBorder="1" applyFont="1">
      <alignment horizontal="left" shrinkToFit="0" vertical="center" wrapText="1"/>
    </xf>
    <xf borderId="12" fillId="2" fontId="6" numFmtId="0" xfId="0" applyAlignment="1" applyBorder="1" applyFont="1">
      <alignment horizontal="center" shrinkToFit="0" vertical="center" wrapText="1"/>
    </xf>
    <xf borderId="13" fillId="2" fontId="4" numFmtId="0" xfId="0" applyAlignment="1" applyBorder="1" applyFont="1">
      <alignment horizontal="center" vertical="center"/>
    </xf>
    <xf borderId="1" fillId="0" fontId="6" numFmtId="0" xfId="0" applyAlignment="1" applyBorder="1" applyFont="1">
      <alignment horizontal="center" vertical="center"/>
    </xf>
    <xf borderId="12" fillId="0" fontId="6" numFmtId="0" xfId="0" applyAlignment="1" applyBorder="1" applyFont="1">
      <alignment horizontal="center"/>
    </xf>
    <xf borderId="1" fillId="0" fontId="6" numFmtId="0" xfId="0" applyAlignment="1" applyBorder="1" applyFont="1">
      <alignment horizontal="left"/>
    </xf>
    <xf borderId="1" fillId="0" fontId="6" numFmtId="0" xfId="0" applyAlignment="1" applyBorder="1" applyFont="1">
      <alignment horizontal="left" shrinkToFit="0" wrapText="1"/>
    </xf>
    <xf borderId="1" fillId="0" fontId="6" numFmtId="0" xfId="0" applyAlignment="1" applyBorder="1" applyFont="1">
      <alignment horizontal="center"/>
    </xf>
    <xf borderId="12" fillId="0" fontId="6" numFmtId="0" xfId="0" applyAlignment="1" applyBorder="1" applyFont="1">
      <alignment horizontal="left" shrinkToFit="0" wrapText="1"/>
    </xf>
    <xf borderId="12" fillId="0" fontId="6" numFmtId="0" xfId="0" applyAlignment="1" applyBorder="1" applyFont="1">
      <alignment horizontal="left"/>
    </xf>
    <xf borderId="60" fillId="0" fontId="3" numFmtId="0" xfId="0" applyAlignment="1" applyBorder="1" applyFont="1">
      <alignment horizontal="center" vertical="center"/>
    </xf>
    <xf borderId="40" fillId="5" fontId="3" numFmtId="0" xfId="0" applyAlignment="1" applyBorder="1" applyFont="1">
      <alignment horizontal="center"/>
    </xf>
    <xf borderId="61" fillId="6" fontId="6" numFmtId="0" xfId="0" applyAlignment="1" applyBorder="1" applyFill="1" applyFont="1">
      <alignment horizontal="left" vertical="center"/>
    </xf>
    <xf borderId="62" fillId="0" fontId="4" numFmtId="0" xfId="0" applyAlignment="1" applyBorder="1" applyFont="1">
      <alignment horizontal="center" vertical="center"/>
    </xf>
    <xf borderId="63" fillId="0" fontId="4" numFmtId="0" xfId="0" applyAlignment="1" applyBorder="1" applyFont="1">
      <alignment horizontal="left" shrinkToFit="0" vertical="center" wrapText="1"/>
    </xf>
    <xf borderId="64" fillId="0" fontId="2" numFmtId="0" xfId="0" applyBorder="1" applyFont="1"/>
    <xf borderId="65" fillId="0" fontId="2" numFmtId="0" xfId="0" applyBorder="1" applyFont="1"/>
    <xf borderId="22" fillId="0" fontId="10" numFmtId="0" xfId="0" applyAlignment="1" applyBorder="1" applyFont="1">
      <alignment horizontal="center" vertical="center"/>
    </xf>
    <xf borderId="66" fillId="0" fontId="4" numFmtId="0" xfId="0" applyAlignment="1" applyBorder="1" applyFont="1">
      <alignment horizontal="center" vertical="center"/>
    </xf>
    <xf borderId="18" fillId="0" fontId="4" numFmtId="0" xfId="0" applyAlignment="1" applyBorder="1" applyFont="1">
      <alignment horizontal="left" shrinkToFit="0" vertical="center" wrapText="1"/>
    </xf>
    <xf borderId="67" fillId="0" fontId="4" numFmtId="0" xfId="0" applyAlignment="1" applyBorder="1" applyFont="1">
      <alignment horizontal="center" vertical="center"/>
    </xf>
    <xf borderId="23" fillId="0" fontId="4" numFmtId="0" xfId="0" applyAlignment="1" applyBorder="1" applyFont="1">
      <alignment horizontal="left" shrinkToFit="0" vertical="center" wrapText="1"/>
    </xf>
    <xf borderId="68" fillId="0" fontId="2" numFmtId="0" xfId="0" applyBorder="1" applyFont="1"/>
    <xf borderId="32" fillId="0" fontId="10" numFmtId="0" xfId="0" applyAlignment="1" applyBorder="1" applyFont="1">
      <alignment horizontal="center" vertical="center"/>
    </xf>
    <xf borderId="12" fillId="0" fontId="4" numFmtId="0" xfId="0" applyAlignment="1" applyBorder="1" applyFont="1">
      <alignment horizontal="left" vertical="top"/>
    </xf>
    <xf borderId="12" fillId="0" fontId="10" numFmtId="0" xfId="0" applyAlignment="1" applyBorder="1" applyFont="1">
      <alignment horizontal="center" vertical="center"/>
    </xf>
    <xf borderId="12" fillId="5" fontId="6" numFmtId="0" xfId="0" applyAlignment="1" applyBorder="1" applyFont="1">
      <alignment horizontal="left" vertical="center"/>
    </xf>
    <xf borderId="22" fillId="0" fontId="4" numFmtId="0" xfId="0" applyAlignment="1" applyBorder="1" applyFont="1">
      <alignment horizontal="left" shrinkToFit="0" vertical="center" wrapText="1"/>
    </xf>
    <xf borderId="22" fillId="0" fontId="4" numFmtId="0" xfId="0" applyAlignment="1" applyBorder="1" applyFont="1">
      <alignment horizontal="center" vertical="center"/>
    </xf>
    <xf borderId="69" fillId="0" fontId="4" numFmtId="0" xfId="0" applyAlignment="1" applyBorder="1" applyFont="1">
      <alignment horizontal="center" vertical="center"/>
    </xf>
    <xf borderId="70" fillId="0" fontId="4" numFmtId="0" xfId="0" applyAlignment="1" applyBorder="1" applyFont="1">
      <alignment horizontal="center" vertical="center"/>
    </xf>
    <xf borderId="30" fillId="0" fontId="4" numFmtId="0" xfId="0" applyAlignment="1" applyBorder="1" applyFont="1">
      <alignment horizontal="left" shrinkToFit="0" vertical="top" wrapText="1"/>
    </xf>
    <xf borderId="1" fillId="0" fontId="10" numFmtId="0" xfId="0" applyAlignment="1" applyBorder="1" applyFont="1">
      <alignment horizontal="center" vertical="center"/>
    </xf>
    <xf borderId="43" fillId="0" fontId="2" numFmtId="0" xfId="0" applyBorder="1" applyFont="1"/>
    <xf borderId="18" fillId="5" fontId="6" numFmtId="0" xfId="0" applyAlignment="1" applyBorder="1" applyFont="1">
      <alignment horizontal="center" vertical="center"/>
    </xf>
    <xf borderId="18" fillId="0" fontId="4" numFmtId="0" xfId="0" applyAlignment="1" applyBorder="1" applyFont="1">
      <alignment horizontal="center" vertical="center"/>
    </xf>
    <xf borderId="9" fillId="0" fontId="4" numFmtId="0" xfId="0" applyAlignment="1" applyBorder="1" applyFont="1">
      <alignment horizontal="left" shrinkToFit="0" vertical="center" wrapText="1"/>
    </xf>
    <xf borderId="32" fillId="0" fontId="4" numFmtId="0" xfId="0" applyAlignment="1" applyBorder="1" applyFont="1">
      <alignment horizontal="center" vertical="center"/>
    </xf>
    <xf borderId="1" fillId="0" fontId="6" numFmtId="2" xfId="0" applyAlignment="1" applyBorder="1" applyFont="1" applyNumberFormat="1">
      <alignment horizontal="center" vertical="center"/>
    </xf>
    <xf borderId="12" fillId="0" fontId="4" numFmtId="0" xfId="0" applyAlignment="1" applyBorder="1" applyFont="1">
      <alignment horizontal="left"/>
    </xf>
    <xf borderId="0" fillId="0" fontId="11" numFmtId="0" xfId="0" applyFont="1"/>
    <xf borderId="12" fillId="0" fontId="4" numFmtId="0" xfId="0" applyAlignment="1" applyBorder="1" applyFont="1">
      <alignment horizontal="left" shrinkToFit="0" wrapText="1"/>
    </xf>
    <xf borderId="12" fillId="0" fontId="11" numFmtId="0" xfId="0" applyAlignment="1" applyBorder="1" applyFont="1">
      <alignment horizontal="center"/>
    </xf>
    <xf borderId="0" fillId="0" fontId="11" numFmtId="0" xfId="0" applyAlignment="1" applyFont="1">
      <alignment horizontal="center" vertical="center"/>
    </xf>
    <xf borderId="24" fillId="2" fontId="11" numFmtId="0" xfId="0" applyAlignment="1" applyBorder="1" applyFont="1">
      <alignment horizontal="center" vertical="center"/>
    </xf>
    <xf borderId="25" fillId="2" fontId="11" numFmtId="0" xfId="0" applyAlignment="1" applyBorder="1" applyFont="1">
      <alignment horizontal="center" vertical="center"/>
    </xf>
    <xf borderId="25" fillId="2" fontId="12" numFmtId="0" xfId="0" applyAlignment="1" applyBorder="1" applyFont="1">
      <alignment vertical="center"/>
    </xf>
    <xf borderId="12" fillId="7" fontId="12" numFmtId="0" xfId="0" applyAlignment="1" applyBorder="1" applyFill="1" applyFont="1">
      <alignment horizontal="center" vertical="center"/>
    </xf>
    <xf borderId="26" fillId="2" fontId="11" numFmtId="0" xfId="0" applyAlignment="1" applyBorder="1" applyFont="1">
      <alignment horizontal="center" vertical="center"/>
    </xf>
    <xf borderId="25" fillId="2" fontId="11" numFmtId="0" xfId="0" applyAlignment="1" applyBorder="1" applyFont="1">
      <alignment vertical="center"/>
    </xf>
    <xf borderId="1" fillId="2" fontId="11" numFmtId="0" xfId="0" applyAlignment="1" applyBorder="1" applyFont="1">
      <alignment horizontal="center" vertical="center"/>
    </xf>
    <xf borderId="12" fillId="2" fontId="11" numFmtId="0" xfId="0" applyAlignment="1" applyBorder="1" applyFont="1">
      <alignment horizontal="left" vertical="center"/>
    </xf>
    <xf borderId="27" fillId="2" fontId="11" numFmtId="0" xfId="0" applyAlignment="1" applyBorder="1" applyFont="1">
      <alignment horizontal="center" vertical="center"/>
    </xf>
    <xf borderId="28" fillId="2" fontId="11" numFmtId="0" xfId="0" applyAlignment="1" applyBorder="1" applyFont="1">
      <alignment horizontal="center" vertical="center"/>
    </xf>
    <xf borderId="29" fillId="2" fontId="11" numFmtId="0" xfId="0" applyAlignment="1" applyBorder="1" applyFont="1">
      <alignment horizontal="center" vertical="center"/>
    </xf>
    <xf borderId="12" fillId="0" fontId="13" numFmtId="0" xfId="0" applyAlignment="1" applyBorder="1" applyFont="1">
      <alignment horizontal="right" shrinkToFit="0" vertical="center" wrapText="1"/>
    </xf>
    <xf borderId="12" fillId="0" fontId="14" numFmtId="0" xfId="0" applyAlignment="1" applyBorder="1" applyFont="1">
      <alignment horizontal="center" shrinkToFit="0" vertical="center" wrapText="1"/>
    </xf>
    <xf borderId="12" fillId="0" fontId="15" numFmtId="0" xfId="0" applyAlignment="1" applyBorder="1" applyFont="1">
      <alignment horizontal="left" shrinkToFit="0" vertical="center" wrapText="1"/>
    </xf>
    <xf borderId="12" fillId="0" fontId="16" numFmtId="0" xfId="0" applyAlignment="1" applyBorder="1" applyFont="1">
      <alignment horizontal="center" vertical="center"/>
    </xf>
    <xf borderId="21" fillId="0" fontId="16" numFmtId="0" xfId="0" applyAlignment="1" applyBorder="1" applyFont="1">
      <alignment horizontal="center" vertical="center"/>
    </xf>
    <xf borderId="12" fillId="0" fontId="15" numFmtId="164" xfId="0" applyAlignment="1" applyBorder="1" applyFont="1" applyNumberFormat="1">
      <alignment horizontal="center" shrinkToFit="0" vertical="center" wrapText="1"/>
    </xf>
    <xf borderId="21" fillId="0" fontId="15" numFmtId="164" xfId="0" applyAlignment="1" applyBorder="1" applyFont="1" applyNumberFormat="1">
      <alignment horizontal="center" shrinkToFit="0" vertical="center" wrapText="1"/>
    </xf>
    <xf borderId="12" fillId="0" fontId="15" numFmtId="0" xfId="0" applyAlignment="1" applyBorder="1" applyFont="1">
      <alignment horizontal="center" vertical="center"/>
    </xf>
    <xf borderId="12" fillId="0" fontId="15" numFmtId="20" xfId="0" applyAlignment="1" applyBorder="1" applyFont="1" applyNumberFormat="1">
      <alignment horizontal="center" vertical="center"/>
    </xf>
    <xf borderId="5" fillId="0" fontId="15" numFmtId="0" xfId="0" applyAlignment="1" applyBorder="1" applyFont="1">
      <alignment horizontal="left" shrinkToFit="0" vertical="center" wrapText="1"/>
    </xf>
    <xf borderId="12" fillId="2" fontId="15" numFmtId="0" xfId="0" applyAlignment="1" applyBorder="1" applyFont="1">
      <alignment horizontal="center" vertical="center"/>
    </xf>
    <xf borderId="21" fillId="2" fontId="15" numFmtId="0" xfId="0" applyAlignment="1" applyBorder="1" applyFont="1">
      <alignment horizontal="center" vertical="center"/>
    </xf>
    <xf borderId="12" fillId="0" fontId="17" numFmtId="3" xfId="0" applyAlignment="1" applyBorder="1" applyFont="1" applyNumberFormat="1">
      <alignment horizontal="center" vertical="center"/>
    </xf>
    <xf borderId="70" fillId="0" fontId="15" numFmtId="0" xfId="0" applyAlignment="1" applyBorder="1" applyFont="1">
      <alignment horizontal="center" shrinkToFit="0" vertical="center" wrapText="1"/>
    </xf>
    <xf borderId="21" fillId="0" fontId="15" numFmtId="0" xfId="0" applyAlignment="1" applyBorder="1" applyFont="1">
      <alignment shrinkToFit="0" vertical="center" wrapText="1"/>
    </xf>
    <xf borderId="21" fillId="0" fontId="11" numFmtId="0" xfId="0" applyBorder="1" applyFont="1"/>
    <xf borderId="21" fillId="0" fontId="15" numFmtId="0" xfId="0" applyAlignment="1" applyBorder="1" applyFont="1">
      <alignment horizontal="left" shrinkToFit="0" vertical="center" wrapText="1"/>
    </xf>
    <xf borderId="21" fillId="0" fontId="18" numFmtId="0" xfId="0" applyBorder="1" applyFont="1"/>
    <xf borderId="1" fillId="0" fontId="15" numFmtId="0" xfId="0" applyAlignment="1" applyBorder="1" applyFont="1">
      <alignment horizontal="left" shrinkToFit="0" vertical="center" wrapText="1"/>
    </xf>
    <xf borderId="21" fillId="0" fontId="11" numFmtId="0" xfId="0" applyAlignment="1" applyBorder="1" applyFont="1">
      <alignment horizontal="left"/>
    </xf>
    <xf borderId="1" fillId="0" fontId="15" numFmtId="0" xfId="0" applyAlignment="1" applyBorder="1" applyFont="1">
      <alignment horizontal="center" shrinkToFit="0" vertical="center" wrapText="1"/>
    </xf>
    <xf borderId="12" fillId="8" fontId="15" numFmtId="0" xfId="0" applyAlignment="1" applyBorder="1" applyFill="1" applyFont="1">
      <alignment horizontal="center" shrinkToFit="0" vertical="center" wrapText="1"/>
    </xf>
    <xf borderId="70" fillId="6" fontId="15" numFmtId="0" xfId="0" applyAlignment="1" applyBorder="1" applyFont="1">
      <alignment horizontal="center" shrinkToFit="0" vertical="center" wrapText="1"/>
    </xf>
    <xf borderId="70" fillId="6" fontId="19" numFmtId="0" xfId="0" applyAlignment="1" applyBorder="1" applyFont="1">
      <alignment horizontal="center" shrinkToFit="0" vertical="center" wrapText="1"/>
    </xf>
    <xf borderId="21" fillId="6" fontId="15" numFmtId="0" xfId="0" applyAlignment="1" applyBorder="1" applyFont="1">
      <alignment horizontal="center" shrinkToFit="0" vertical="center" wrapText="1"/>
    </xf>
    <xf borderId="21" fillId="6" fontId="15" numFmtId="0" xfId="0" applyAlignment="1" applyBorder="1" applyFont="1">
      <alignment shrinkToFit="0" vertical="center" wrapText="1"/>
    </xf>
    <xf borderId="21" fillId="6" fontId="19" numFmtId="0" xfId="0" applyAlignment="1" applyBorder="1" applyFont="1">
      <alignment horizontal="center" shrinkToFit="0" vertical="center" wrapText="1"/>
    </xf>
    <xf borderId="12" fillId="9" fontId="20" numFmtId="0" xfId="0" applyAlignment="1" applyBorder="1" applyFill="1" applyFont="1">
      <alignment horizontal="left"/>
    </xf>
    <xf borderId="21" fillId="0" fontId="17" numFmtId="0" xfId="0" applyAlignment="1" applyBorder="1" applyFont="1">
      <alignment horizontal="left" shrinkToFit="0" vertical="center" wrapText="1"/>
    </xf>
    <xf borderId="21" fillId="0" fontId="17" numFmtId="0" xfId="0" applyAlignment="1" applyBorder="1" applyFont="1">
      <alignment horizontal="center" shrinkToFit="0" vertical="center" wrapText="1"/>
    </xf>
    <xf borderId="12" fillId="0" fontId="17" numFmtId="0" xfId="0" applyAlignment="1" applyBorder="1" applyFont="1">
      <alignment horizontal="center" shrinkToFit="0" vertical="center" wrapText="1"/>
    </xf>
    <xf borderId="12" fillId="0" fontId="17" numFmtId="0" xfId="0" applyAlignment="1" applyBorder="1" applyFont="1">
      <alignment horizontal="left" shrinkToFit="0" vertical="top" wrapText="1"/>
    </xf>
    <xf borderId="12" fillId="0" fontId="17" numFmtId="0" xfId="0" applyAlignment="1" applyBorder="1" applyFont="1">
      <alignment horizontal="left" vertical="center"/>
    </xf>
    <xf borderId="21" fillId="0" fontId="17" numFmtId="0" xfId="0" applyAlignment="1" applyBorder="1" applyFont="1">
      <alignment horizontal="left" shrinkToFit="0" vertical="top" wrapText="1"/>
    </xf>
    <xf borderId="1" fillId="0" fontId="17" numFmtId="0" xfId="0" applyAlignment="1" applyBorder="1" applyFont="1">
      <alignment horizontal="left" vertical="top"/>
    </xf>
    <xf borderId="12" fillId="10" fontId="15" numFmtId="0" xfId="0" applyAlignment="1" applyBorder="1" applyFill="1" applyFont="1">
      <alignment horizontal="center" shrinkToFit="0" vertical="center" wrapText="1"/>
    </xf>
    <xf borderId="21" fillId="0" fontId="15" numFmtId="0" xfId="0" applyAlignment="1" applyBorder="1" applyFont="1">
      <alignment horizontal="center" shrinkToFit="0" vertical="center" wrapText="1"/>
    </xf>
    <xf borderId="21" fillId="0" fontId="21" numFmtId="0" xfId="0" applyAlignment="1" applyBorder="1" applyFont="1">
      <alignment horizontal="left" shrinkToFit="0" vertical="center" wrapText="1"/>
    </xf>
    <xf borderId="21" fillId="2" fontId="17" numFmtId="0" xfId="0" applyAlignment="1" applyBorder="1" applyFont="1">
      <alignment horizontal="center" shrinkToFit="0" vertical="center" wrapText="1"/>
    </xf>
    <xf borderId="21" fillId="0" fontId="19" numFmtId="0" xfId="0" applyAlignment="1" applyBorder="1" applyFont="1">
      <alignment horizontal="center" shrinkToFit="0" vertical="center" wrapText="1"/>
    </xf>
    <xf borderId="12" fillId="2" fontId="17" numFmtId="9" xfId="0" applyAlignment="1" applyBorder="1" applyFont="1" applyNumberFormat="1">
      <alignment horizontal="center" shrinkToFit="0" vertical="center" wrapText="1"/>
    </xf>
    <xf borderId="13" fillId="11" fontId="22" numFmtId="0" xfId="0" applyAlignment="1" applyBorder="1" applyFill="1" applyFont="1">
      <alignment horizontal="center" vertical="center"/>
    </xf>
    <xf borderId="13" fillId="12" fontId="23" numFmtId="0" xfId="0" applyAlignment="1" applyBorder="1" applyFill="1" applyFont="1">
      <alignment horizontal="center" shrinkToFit="0" vertical="center" wrapText="1"/>
    </xf>
    <xf borderId="13" fillId="13" fontId="24" numFmtId="0" xfId="0" applyAlignment="1" applyBorder="1" applyFill="1" applyFont="1">
      <alignment horizontal="center" vertical="center"/>
    </xf>
    <xf borderId="0" fillId="0" fontId="25" numFmtId="0" xfId="0" applyAlignment="1" applyFont="1">
      <alignment horizontal="left" vertical="center"/>
    </xf>
    <xf borderId="25" fillId="11" fontId="22" numFmtId="0" xfId="0" applyAlignment="1" applyBorder="1" applyFont="1">
      <alignment horizontal="center" vertical="center"/>
    </xf>
    <xf borderId="71" fillId="6" fontId="26" numFmtId="0" xfId="0" applyAlignment="1" applyBorder="1" applyFont="1">
      <alignment horizontal="center" vertical="center"/>
    </xf>
    <xf borderId="72" fillId="0" fontId="2" numFmtId="0" xfId="0" applyBorder="1" applyFont="1"/>
    <xf borderId="73" fillId="0" fontId="2" numFmtId="0" xfId="0" applyBorder="1" applyFont="1"/>
    <xf borderId="71" fillId="14" fontId="27" numFmtId="0" xfId="0" applyAlignment="1" applyBorder="1" applyFill="1" applyFont="1">
      <alignment horizontal="left" shrinkToFit="0" vertical="center" wrapText="1"/>
    </xf>
    <xf borderId="74" fillId="0" fontId="27" numFmtId="0" xfId="0" applyAlignment="1" applyBorder="1" applyFont="1">
      <alignment horizontal="center" vertical="center"/>
    </xf>
    <xf borderId="74" fillId="0" fontId="2" numFmtId="0" xfId="0" applyBorder="1" applyFont="1"/>
    <xf borderId="13" fillId="11" fontId="28" numFmtId="0" xfId="0" applyAlignment="1" applyBorder="1" applyFont="1">
      <alignment horizontal="center" vertical="center"/>
    </xf>
    <xf borderId="13" fillId="12" fontId="29" numFmtId="0" xfId="0" applyAlignment="1" applyBorder="1" applyFont="1">
      <alignment horizontal="center" shrinkToFit="0" vertical="center" wrapText="1"/>
    </xf>
    <xf borderId="0" fillId="0" fontId="30" numFmtId="0" xfId="0" applyFont="1"/>
    <xf borderId="25" fillId="15" fontId="31" numFmtId="0" xfId="0" applyAlignment="1" applyBorder="1" applyFill="1" applyFont="1">
      <alignment horizontal="center" shrinkToFit="0" vertical="center" wrapText="1"/>
    </xf>
    <xf borderId="0" fillId="0" fontId="12" numFmtId="0" xfId="0" applyFont="1"/>
    <xf borderId="0" fillId="0" fontId="32" numFmtId="0" xfId="0" applyFont="1"/>
    <xf borderId="0" fillId="0" fontId="11" numFmtId="9" xfId="0" applyFont="1" applyNumberFormat="1"/>
    <xf borderId="0" fillId="0" fontId="32" numFmtId="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CUMPLIMIENTO POR VISITA</a:t>
            </a:r>
          </a:p>
        </c:rich>
      </c:tx>
      <c:overlay val="0"/>
    </c:title>
    <c:plotArea>
      <c:layout/>
      <c:barChart>
        <c:barDir val="col"/>
        <c:ser>
          <c:idx val="0"/>
          <c:order val="0"/>
          <c:tx>
            <c:v>% CUMPLIMIENTO</c:v>
          </c:tx>
          <c:spPr>
            <a:solidFill>
              <a:schemeClr val="accent1"/>
            </a:solidFill>
            <a:ln cmpd="sng">
              <a:solidFill>
                <a:srgbClr val="000000"/>
              </a:solidFill>
            </a:ln>
          </c:spPr>
          <c:val>
            <c:numRef>
              <c:f>ANALISIS_VISITAS_RPS!$B$4:$B$35</c:f>
              <c:numCache/>
            </c:numRef>
          </c:val>
        </c:ser>
        <c:ser>
          <c:idx val="1"/>
          <c:order val="1"/>
          <c:val>
            <c:numRef>
              <c:f>ANALISIS_VISITAS_RPS!$G$4:$G$35</c:f>
              <c:numCache/>
            </c:numRef>
          </c:val>
        </c:ser>
        <c:axId val="546266318"/>
        <c:axId val="1073460486"/>
      </c:barChart>
      <c:catAx>
        <c:axId val="5462663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073460486"/>
      </c:catAx>
      <c:valAx>
        <c:axId val="1073460486"/>
        <c:scaling>
          <c:orientation val="minMax"/>
        </c:scaling>
        <c:delete val="0"/>
        <c:axPos val="l"/>
        <c:majorGridlines>
          <c:spPr>
            <a:ln>
              <a:solidFill>
                <a:srgbClr val="B7B7B7"/>
              </a:solidFill>
            </a:ln>
          </c:spPr>
        </c:majorGridlines>
        <c:title>
          <c:tx>
            <c:rich>
              <a:bodyPr/>
              <a:lstStyle/>
              <a:p>
                <a:pPr lvl="0">
                  <a:defRPr b="1" i="0">
                    <a:solidFill>
                      <a:srgbClr val="000000"/>
                    </a:solidFill>
                    <a:latin typeface="+mn-lt"/>
                  </a:defRPr>
                </a:pPr>
                <a:r>
                  <a:rPr b="1" i="0">
                    <a:solidFill>
                      <a:srgbClr val="000000"/>
                    </a:solidFill>
                    <a:latin typeface="+mn-lt"/>
                  </a:rPr>
                  <a:t>% CUMPLIMIENTO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546266318"/>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TENDENCIA DE CUMPLIMIENTO</a:t>
            </a:r>
          </a:p>
        </c:rich>
      </c:tx>
      <c:overlay val="0"/>
    </c:title>
    <c:plotArea>
      <c:layout/>
      <c:lineChart>
        <c:ser>
          <c:idx val="0"/>
          <c:order val="0"/>
          <c:tx>
            <c:v>% CUMPLIMIENTO</c:v>
          </c:tx>
          <c:spPr>
            <a:ln cmpd="sng">
              <a:solidFill>
                <a:srgbClr val="4472C4"/>
              </a:solidFill>
            </a:ln>
          </c:spPr>
          <c:marker>
            <c:symbol val="none"/>
          </c:marker>
          <c:val>
            <c:numRef>
              <c:f>ANALISIS_VISITAS_RPS!$B$4:$B$35</c:f>
              <c:numCache/>
            </c:numRef>
          </c:val>
          <c:smooth val="1"/>
        </c:ser>
        <c:axId val="1200959640"/>
        <c:axId val="672969437"/>
      </c:lineChart>
      <c:catAx>
        <c:axId val="12009596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672969437"/>
      </c:catAx>
      <c:valAx>
        <c:axId val="67296943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200959640"/>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ESTADO GENERAL DE VISITAS</a:t>
            </a:r>
          </a:p>
        </c:rich>
      </c:tx>
      <c:overlay val="0"/>
    </c:title>
    <c:plotArea>
      <c:layout/>
      <c:pieChart>
        <c:varyColors val="1"/>
        <c:ser>
          <c:idx val="0"/>
          <c:order val="0"/>
          <c:tx>
            <c:strRef>
              <c:f>ANALISIS_VISITAS_RPS!$R$4</c:f>
            </c:strRef>
          </c:tx>
          <c:dPt>
            <c:idx val="0"/>
            <c:spPr>
              <a:solidFill>
                <a:srgbClr val="4472C4"/>
              </a:solidFill>
            </c:spPr>
          </c:dPt>
          <c:dPt>
            <c:idx val="1"/>
            <c:spPr>
              <a:solidFill>
                <a:srgbClr val="ED7D31"/>
              </a:solidFill>
            </c:spPr>
          </c:dPt>
          <c:dPt>
            <c:idx val="2"/>
            <c:spPr>
              <a:solidFill>
                <a:srgbClr val="A5A5A5"/>
              </a:solidFill>
            </c:spPr>
          </c:dPt>
          <c:dPt>
            <c:idx val="3"/>
            <c:spPr>
              <a:solidFill>
                <a:srgbClr val="FFC000"/>
              </a:solidFill>
            </c:spPr>
          </c:dPt>
          <c:dLbls>
            <c:showLegendKey val="0"/>
            <c:showVal val="0"/>
            <c:showCatName val="0"/>
            <c:showSerName val="0"/>
            <c:showPercent val="0"/>
            <c:showBubbleSize val="0"/>
            <c:showLeaderLines val="1"/>
          </c:dLbls>
          <c:cat>
            <c:strRef>
              <c:f>ANALISIS_VISITAS_RPS!$Q$5:$Q$8</c:f>
            </c:strRef>
          </c:cat>
          <c:val>
            <c:numRef>
              <c:f>ANALISIS_VISITAS_RPS!$R$5:$R$8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8.jpg"/><Relationship Id="rId2" Type="http://schemas.openxmlformats.org/officeDocument/2006/relationships/image" Target="../media/image1.png"/><Relationship Id="rId3"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8.jpg"/><Relationship Id="rId2" Type="http://schemas.openxmlformats.org/officeDocument/2006/relationships/image" Target="../media/image1.png"/><Relationship Id="rId3"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8.jpg"/><Relationship Id="rId2" Type="http://schemas.openxmlformats.org/officeDocument/2006/relationships/image" Target="../media/image1.png"/><Relationship Id="rId3"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8.jpg"/><Relationship Id="rId2" Type="http://schemas.openxmlformats.org/officeDocument/2006/relationships/image" Target="../media/image4.png"/><Relationship Id="rId3"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8.jpg"/><Relationship Id="rId2" Type="http://schemas.openxmlformats.org/officeDocument/2006/relationships/image" Target="../media/image1.png"/><Relationship Id="rId3"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8.jpg"/><Relationship Id="rId2" Type="http://schemas.openxmlformats.org/officeDocument/2006/relationships/image" Target="../media/image7.png"/><Relationship Id="rId3"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104775</xdr:colOff>
      <xdr:row>45</xdr:row>
      <xdr:rowOff>28575</xdr:rowOff>
    </xdr:from>
    <xdr:ext cx="2486025" cy="1266825"/>
    <xdr:grpSp>
      <xdr:nvGrpSpPr>
        <xdr:cNvPr id="2" name="Shape 2"/>
        <xdr:cNvGrpSpPr/>
      </xdr:nvGrpSpPr>
      <xdr:grpSpPr>
        <a:xfrm>
          <a:off x="4102988" y="3146588"/>
          <a:ext cx="2486025" cy="1266825"/>
          <a:chOff x="4102988" y="3146588"/>
          <a:chExt cx="2486025" cy="1266825"/>
        </a:xfrm>
      </xdr:grpSpPr>
      <xdr:grpSp>
        <xdr:nvGrpSpPr>
          <xdr:cNvPr id="3" name="Shape 3"/>
          <xdr:cNvGrpSpPr/>
        </xdr:nvGrpSpPr>
        <xdr:grpSpPr>
          <a:xfrm>
            <a:off x="4102988" y="3146588"/>
            <a:ext cx="2486025" cy="1266825"/>
            <a:chOff x="4102988" y="3146588"/>
            <a:chExt cx="2486025" cy="1266825"/>
          </a:xfrm>
        </xdr:grpSpPr>
        <xdr:sp>
          <xdr:nvSpPr>
            <xdr:cNvPr id="4" name="Shape 4"/>
            <xdr:cNvSpPr/>
          </xdr:nvSpPr>
          <xdr:spPr>
            <a:xfrm>
              <a:off x="4102988" y="3146588"/>
              <a:ext cx="2486025" cy="1266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5" name="Shape 5"/>
            <xdr:cNvGrpSpPr/>
          </xdr:nvGrpSpPr>
          <xdr:grpSpPr>
            <a:xfrm>
              <a:off x="4102988" y="3146588"/>
              <a:ext cx="2486025" cy="1266825"/>
              <a:chOff x="8915400" y="2857500"/>
              <a:chExt cx="2452147" cy="1182370"/>
            </a:xfrm>
          </xdr:grpSpPr>
          <xdr:sp>
            <xdr:nvSpPr>
              <xdr:cNvPr id="6" name="Shape 6"/>
              <xdr:cNvSpPr/>
            </xdr:nvSpPr>
            <xdr:spPr>
              <a:xfrm>
                <a:off x="8915400" y="2857500"/>
                <a:ext cx="2452125" cy="11823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pic>
            <xdr:nvPicPr>
              <xdr:cNvPr id="7" name="Shape 7"/>
              <xdr:cNvPicPr preferRelativeResize="0"/>
            </xdr:nvPicPr>
            <xdr:blipFill rotWithShape="1">
              <a:blip r:embed="rId1">
                <a:alphaModFix/>
              </a:blip>
              <a:srcRect b="0" l="0" r="0" t="0"/>
              <a:stretch/>
            </xdr:blipFill>
            <xdr:spPr>
              <a:xfrm rot="5400000">
                <a:off x="10724515" y="3396838"/>
                <a:ext cx="1182370" cy="103694"/>
              </a:xfrm>
              <a:prstGeom prst="rect">
                <a:avLst/>
              </a:prstGeom>
              <a:noFill/>
              <a:ln>
                <a:noFill/>
              </a:ln>
            </xdr:spPr>
          </xdr:pic>
        </xdr:grpSp>
      </xdr:grpSp>
    </xdr:grpSp>
    <xdr:clientData fLocksWithSheet="0"/>
  </xdr:oneCellAnchor>
  <xdr:oneCellAnchor>
    <xdr:from>
      <xdr:col>2</xdr:col>
      <xdr:colOff>190500</xdr:colOff>
      <xdr:row>0</xdr:row>
      <xdr:rowOff>66675</xdr:rowOff>
    </xdr:from>
    <xdr:ext cx="552450" cy="76200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85725</xdr:colOff>
      <xdr:row>0</xdr:row>
      <xdr:rowOff>104775</xdr:rowOff>
    </xdr:from>
    <xdr:ext cx="676275" cy="72390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104775</xdr:colOff>
      <xdr:row>45</xdr:row>
      <xdr:rowOff>28575</xdr:rowOff>
    </xdr:from>
    <xdr:ext cx="2486025" cy="1266825"/>
    <xdr:grpSp>
      <xdr:nvGrpSpPr>
        <xdr:cNvPr id="2" name="Shape 2"/>
        <xdr:cNvGrpSpPr/>
      </xdr:nvGrpSpPr>
      <xdr:grpSpPr>
        <a:xfrm>
          <a:off x="4102988" y="3146588"/>
          <a:ext cx="2486025" cy="1266825"/>
          <a:chOff x="4102988" y="3146588"/>
          <a:chExt cx="2486025" cy="1266825"/>
        </a:xfrm>
      </xdr:grpSpPr>
      <xdr:grpSp>
        <xdr:nvGrpSpPr>
          <xdr:cNvPr id="8" name="Shape 8"/>
          <xdr:cNvGrpSpPr/>
        </xdr:nvGrpSpPr>
        <xdr:grpSpPr>
          <a:xfrm>
            <a:off x="4102988" y="3146588"/>
            <a:ext cx="2486025" cy="1266825"/>
            <a:chOff x="4102988" y="3146588"/>
            <a:chExt cx="2486025" cy="1266825"/>
          </a:xfrm>
        </xdr:grpSpPr>
        <xdr:sp>
          <xdr:nvSpPr>
            <xdr:cNvPr id="4" name="Shape 4"/>
            <xdr:cNvSpPr/>
          </xdr:nvSpPr>
          <xdr:spPr>
            <a:xfrm>
              <a:off x="4102988" y="3146588"/>
              <a:ext cx="2486025" cy="1266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9" name="Shape 9"/>
            <xdr:cNvGrpSpPr/>
          </xdr:nvGrpSpPr>
          <xdr:grpSpPr>
            <a:xfrm>
              <a:off x="4102988" y="3146588"/>
              <a:ext cx="2486025" cy="1266825"/>
              <a:chOff x="8915400" y="2857500"/>
              <a:chExt cx="2452147" cy="1182370"/>
            </a:xfrm>
          </xdr:grpSpPr>
          <xdr:sp>
            <xdr:nvSpPr>
              <xdr:cNvPr id="10" name="Shape 10"/>
              <xdr:cNvSpPr/>
            </xdr:nvSpPr>
            <xdr:spPr>
              <a:xfrm>
                <a:off x="8915400" y="2857500"/>
                <a:ext cx="2452125" cy="11823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pic>
            <xdr:nvPicPr>
              <xdr:cNvPr id="11" name="Shape 11"/>
              <xdr:cNvPicPr preferRelativeResize="0"/>
            </xdr:nvPicPr>
            <xdr:blipFill rotWithShape="1">
              <a:blip r:embed="rId1">
                <a:alphaModFix/>
              </a:blip>
              <a:srcRect b="0" l="0" r="0" t="0"/>
              <a:stretch/>
            </xdr:blipFill>
            <xdr:spPr>
              <a:xfrm rot="5400000">
                <a:off x="10724515" y="3396838"/>
                <a:ext cx="1182370" cy="103694"/>
              </a:xfrm>
              <a:prstGeom prst="rect">
                <a:avLst/>
              </a:prstGeom>
              <a:noFill/>
              <a:ln>
                <a:noFill/>
              </a:ln>
            </xdr:spPr>
          </xdr:pic>
        </xdr:grpSp>
      </xdr:grpSp>
    </xdr:grpSp>
    <xdr:clientData fLocksWithSheet="0"/>
  </xdr:oneCellAnchor>
  <xdr:oneCellAnchor>
    <xdr:from>
      <xdr:col>0</xdr:col>
      <xdr:colOff>76200</xdr:colOff>
      <xdr:row>0</xdr:row>
      <xdr:rowOff>76200</xdr:rowOff>
    </xdr:from>
    <xdr:ext cx="542925" cy="76200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238125</xdr:colOff>
      <xdr:row>0</xdr:row>
      <xdr:rowOff>104775</xdr:rowOff>
    </xdr:from>
    <xdr:ext cx="1562100" cy="723900"/>
    <xdr:pic>
      <xdr:nvPicPr>
        <xdr:cNvPr descr="Logotipo, nombre de la empresa&#10;&#10;El contenido generado por IA puede ser incorrecto." id="0" name="image3.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85725</xdr:colOff>
      <xdr:row>46</xdr:row>
      <xdr:rowOff>38100</xdr:rowOff>
    </xdr:from>
    <xdr:ext cx="2457450" cy="1019175"/>
    <xdr:grpSp>
      <xdr:nvGrpSpPr>
        <xdr:cNvPr id="2" name="Shape 2"/>
        <xdr:cNvGrpSpPr/>
      </xdr:nvGrpSpPr>
      <xdr:grpSpPr>
        <a:xfrm>
          <a:off x="4117275" y="3270413"/>
          <a:ext cx="2457450" cy="1019175"/>
          <a:chOff x="4117275" y="3270413"/>
          <a:chExt cx="2457450" cy="1019175"/>
        </a:xfrm>
      </xdr:grpSpPr>
      <xdr:grpSp>
        <xdr:nvGrpSpPr>
          <xdr:cNvPr id="12" name="Shape 12"/>
          <xdr:cNvGrpSpPr/>
        </xdr:nvGrpSpPr>
        <xdr:grpSpPr>
          <a:xfrm>
            <a:off x="4117275" y="3270413"/>
            <a:ext cx="2457450" cy="1019175"/>
            <a:chOff x="4117275" y="3270413"/>
            <a:chExt cx="2457450" cy="1019175"/>
          </a:xfrm>
        </xdr:grpSpPr>
        <xdr:sp>
          <xdr:nvSpPr>
            <xdr:cNvPr id="4" name="Shape 4"/>
            <xdr:cNvSpPr/>
          </xdr:nvSpPr>
          <xdr:spPr>
            <a:xfrm>
              <a:off x="4117275" y="3270413"/>
              <a:ext cx="2457450" cy="10191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13" name="Shape 13"/>
            <xdr:cNvGrpSpPr/>
          </xdr:nvGrpSpPr>
          <xdr:grpSpPr>
            <a:xfrm>
              <a:off x="4117275" y="3270413"/>
              <a:ext cx="2457450" cy="1019175"/>
              <a:chOff x="8915400" y="2857500"/>
              <a:chExt cx="2452147" cy="1182370"/>
            </a:xfrm>
          </xdr:grpSpPr>
          <xdr:sp>
            <xdr:nvSpPr>
              <xdr:cNvPr id="14" name="Shape 14"/>
              <xdr:cNvSpPr/>
            </xdr:nvSpPr>
            <xdr:spPr>
              <a:xfrm>
                <a:off x="8915400" y="2857500"/>
                <a:ext cx="2452125" cy="11823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pic>
            <xdr:nvPicPr>
              <xdr:cNvPr id="15" name="Shape 15"/>
              <xdr:cNvPicPr preferRelativeResize="0"/>
            </xdr:nvPicPr>
            <xdr:blipFill rotWithShape="1">
              <a:blip r:embed="rId1">
                <a:alphaModFix/>
              </a:blip>
              <a:srcRect b="0" l="0" r="0" t="0"/>
              <a:stretch/>
            </xdr:blipFill>
            <xdr:spPr>
              <a:xfrm rot="5400000">
                <a:off x="10724515" y="3396838"/>
                <a:ext cx="1182370" cy="103694"/>
              </a:xfrm>
              <a:prstGeom prst="rect">
                <a:avLst/>
              </a:prstGeom>
              <a:noFill/>
              <a:ln>
                <a:noFill/>
              </a:ln>
            </xdr:spPr>
          </xdr:pic>
        </xdr:grpSp>
      </xdr:grpSp>
    </xdr:grpSp>
    <xdr:clientData fLocksWithSheet="0"/>
  </xdr:oneCellAnchor>
  <xdr:oneCellAnchor>
    <xdr:from>
      <xdr:col>0</xdr:col>
      <xdr:colOff>114300</xdr:colOff>
      <xdr:row>0</xdr:row>
      <xdr:rowOff>47625</xdr:rowOff>
    </xdr:from>
    <xdr:ext cx="714375" cy="97155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285750</xdr:colOff>
      <xdr:row>0</xdr:row>
      <xdr:rowOff>133350</xdr:rowOff>
    </xdr:from>
    <xdr:ext cx="1371600" cy="876300"/>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123825</xdr:colOff>
      <xdr:row>26</xdr:row>
      <xdr:rowOff>38100</xdr:rowOff>
    </xdr:from>
    <xdr:ext cx="2590800" cy="1133475"/>
    <xdr:grpSp>
      <xdr:nvGrpSpPr>
        <xdr:cNvPr id="2" name="Shape 2"/>
        <xdr:cNvGrpSpPr/>
      </xdr:nvGrpSpPr>
      <xdr:grpSpPr>
        <a:xfrm>
          <a:off x="4050600" y="3213263"/>
          <a:ext cx="2590800" cy="1133475"/>
          <a:chOff x="4050600" y="3213263"/>
          <a:chExt cx="2590800" cy="1133475"/>
        </a:xfrm>
      </xdr:grpSpPr>
      <xdr:grpSp>
        <xdr:nvGrpSpPr>
          <xdr:cNvPr id="16" name="Shape 16"/>
          <xdr:cNvGrpSpPr/>
        </xdr:nvGrpSpPr>
        <xdr:grpSpPr>
          <a:xfrm>
            <a:off x="4050600" y="3213263"/>
            <a:ext cx="2590800" cy="1133475"/>
            <a:chOff x="4050600" y="3213263"/>
            <a:chExt cx="2590800" cy="1133475"/>
          </a:xfrm>
        </xdr:grpSpPr>
        <xdr:sp>
          <xdr:nvSpPr>
            <xdr:cNvPr id="4" name="Shape 4"/>
            <xdr:cNvSpPr/>
          </xdr:nvSpPr>
          <xdr:spPr>
            <a:xfrm>
              <a:off x="4050600" y="3213263"/>
              <a:ext cx="2590800" cy="11334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17" name="Shape 17"/>
            <xdr:cNvGrpSpPr/>
          </xdr:nvGrpSpPr>
          <xdr:grpSpPr>
            <a:xfrm>
              <a:off x="4050600" y="3213263"/>
              <a:ext cx="2590800" cy="1133475"/>
              <a:chOff x="8915400" y="2857500"/>
              <a:chExt cx="2452147" cy="1182370"/>
            </a:xfrm>
          </xdr:grpSpPr>
          <xdr:sp>
            <xdr:nvSpPr>
              <xdr:cNvPr id="18" name="Shape 18"/>
              <xdr:cNvSpPr/>
            </xdr:nvSpPr>
            <xdr:spPr>
              <a:xfrm>
                <a:off x="8915400" y="2857500"/>
                <a:ext cx="2452125" cy="11823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pic>
            <xdr:nvPicPr>
              <xdr:cNvPr id="19" name="Shape 19"/>
              <xdr:cNvPicPr preferRelativeResize="0"/>
            </xdr:nvPicPr>
            <xdr:blipFill rotWithShape="1">
              <a:blip r:embed="rId1">
                <a:alphaModFix/>
              </a:blip>
              <a:srcRect b="0" l="0" r="0" t="0"/>
              <a:stretch/>
            </xdr:blipFill>
            <xdr:spPr>
              <a:xfrm rot="5400000">
                <a:off x="10724515" y="3396838"/>
                <a:ext cx="1182370" cy="103694"/>
              </a:xfrm>
              <a:prstGeom prst="rect">
                <a:avLst/>
              </a:prstGeom>
              <a:noFill/>
              <a:ln>
                <a:noFill/>
              </a:ln>
            </xdr:spPr>
          </xdr:pic>
        </xdr:grpSp>
      </xdr:grpSp>
    </xdr:grpSp>
    <xdr:clientData fLocksWithSheet="0"/>
  </xdr:oneCellAnchor>
  <xdr:oneCellAnchor>
    <xdr:from>
      <xdr:col>0</xdr:col>
      <xdr:colOff>142875</xdr:colOff>
      <xdr:row>0</xdr:row>
      <xdr:rowOff>57150</xdr:rowOff>
    </xdr:from>
    <xdr:ext cx="523875" cy="485775"/>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38100</xdr:colOff>
      <xdr:row>0</xdr:row>
      <xdr:rowOff>85725</xdr:rowOff>
    </xdr:from>
    <xdr:ext cx="1409700" cy="447675"/>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47625</xdr:colOff>
      <xdr:row>102</xdr:row>
      <xdr:rowOff>19050</xdr:rowOff>
    </xdr:from>
    <xdr:ext cx="2628900" cy="1200150"/>
    <xdr:grpSp>
      <xdr:nvGrpSpPr>
        <xdr:cNvPr id="2" name="Shape 2"/>
        <xdr:cNvGrpSpPr/>
      </xdr:nvGrpSpPr>
      <xdr:grpSpPr>
        <a:xfrm>
          <a:off x="4031550" y="3179925"/>
          <a:ext cx="2628900" cy="1200150"/>
          <a:chOff x="4031550" y="3179925"/>
          <a:chExt cx="2628900" cy="1200150"/>
        </a:xfrm>
      </xdr:grpSpPr>
      <xdr:grpSp>
        <xdr:nvGrpSpPr>
          <xdr:cNvPr id="20" name="Shape 20"/>
          <xdr:cNvGrpSpPr/>
        </xdr:nvGrpSpPr>
        <xdr:grpSpPr>
          <a:xfrm>
            <a:off x="4031550" y="3179925"/>
            <a:ext cx="2628900" cy="1200150"/>
            <a:chOff x="4031550" y="3179925"/>
            <a:chExt cx="2628900" cy="1200150"/>
          </a:xfrm>
        </xdr:grpSpPr>
        <xdr:sp>
          <xdr:nvSpPr>
            <xdr:cNvPr id="4" name="Shape 4"/>
            <xdr:cNvSpPr/>
          </xdr:nvSpPr>
          <xdr:spPr>
            <a:xfrm>
              <a:off x="4031550" y="3179925"/>
              <a:ext cx="2628900" cy="12001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21" name="Shape 21"/>
            <xdr:cNvGrpSpPr/>
          </xdr:nvGrpSpPr>
          <xdr:grpSpPr>
            <a:xfrm>
              <a:off x="4031550" y="3179925"/>
              <a:ext cx="2628900" cy="1200150"/>
              <a:chOff x="8915400" y="2857500"/>
              <a:chExt cx="2452147" cy="1182370"/>
            </a:xfrm>
          </xdr:grpSpPr>
          <xdr:sp>
            <xdr:nvSpPr>
              <xdr:cNvPr id="22" name="Shape 22"/>
              <xdr:cNvSpPr/>
            </xdr:nvSpPr>
            <xdr:spPr>
              <a:xfrm>
                <a:off x="8915400" y="2857500"/>
                <a:ext cx="2452125" cy="11823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pic>
            <xdr:nvPicPr>
              <xdr:cNvPr id="23" name="Shape 23"/>
              <xdr:cNvPicPr preferRelativeResize="0"/>
            </xdr:nvPicPr>
            <xdr:blipFill rotWithShape="1">
              <a:blip r:embed="rId1">
                <a:alphaModFix/>
              </a:blip>
              <a:srcRect b="0" l="0" r="0" t="0"/>
              <a:stretch/>
            </xdr:blipFill>
            <xdr:spPr>
              <a:xfrm rot="5400000">
                <a:off x="10724515" y="3396838"/>
                <a:ext cx="1182370" cy="103694"/>
              </a:xfrm>
              <a:prstGeom prst="rect">
                <a:avLst/>
              </a:prstGeom>
              <a:noFill/>
              <a:ln>
                <a:noFill/>
              </a:ln>
            </xdr:spPr>
          </xdr:pic>
        </xdr:grpSp>
      </xdr:grpSp>
    </xdr:grpSp>
    <xdr:clientData fLocksWithSheet="0"/>
  </xdr:oneCellAnchor>
  <xdr:oneCellAnchor>
    <xdr:from>
      <xdr:col>0</xdr:col>
      <xdr:colOff>171450</xdr:colOff>
      <xdr:row>0</xdr:row>
      <xdr:rowOff>104775</xdr:rowOff>
    </xdr:from>
    <xdr:ext cx="542925" cy="8667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219075</xdr:colOff>
      <xdr:row>0</xdr:row>
      <xdr:rowOff>133350</xdr:rowOff>
    </xdr:from>
    <xdr:ext cx="1466850" cy="828675"/>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742950</xdr:colOff>
      <xdr:row>0</xdr:row>
      <xdr:rowOff>114300</xdr:rowOff>
    </xdr:from>
    <xdr:ext cx="1971675" cy="971550"/>
    <xdr:grpSp>
      <xdr:nvGrpSpPr>
        <xdr:cNvPr id="2" name="Shape 2"/>
        <xdr:cNvGrpSpPr/>
      </xdr:nvGrpSpPr>
      <xdr:grpSpPr>
        <a:xfrm>
          <a:off x="4360163" y="3294225"/>
          <a:ext cx="1971675" cy="971550"/>
          <a:chOff x="4360163" y="3294225"/>
          <a:chExt cx="1971675" cy="971550"/>
        </a:xfrm>
      </xdr:grpSpPr>
      <xdr:grpSp>
        <xdr:nvGrpSpPr>
          <xdr:cNvPr id="24" name="Shape 24"/>
          <xdr:cNvGrpSpPr/>
        </xdr:nvGrpSpPr>
        <xdr:grpSpPr>
          <a:xfrm>
            <a:off x="4360163" y="3294225"/>
            <a:ext cx="1971675" cy="971550"/>
            <a:chOff x="4360163" y="3294225"/>
            <a:chExt cx="1971675" cy="971550"/>
          </a:xfrm>
        </xdr:grpSpPr>
        <xdr:sp>
          <xdr:nvSpPr>
            <xdr:cNvPr id="4" name="Shape 4"/>
            <xdr:cNvSpPr/>
          </xdr:nvSpPr>
          <xdr:spPr>
            <a:xfrm>
              <a:off x="4360163" y="3294225"/>
              <a:ext cx="1971675" cy="9715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25" name="Shape 25"/>
            <xdr:cNvGrpSpPr/>
          </xdr:nvGrpSpPr>
          <xdr:grpSpPr>
            <a:xfrm>
              <a:off x="4360163" y="3294225"/>
              <a:ext cx="1971675" cy="971550"/>
              <a:chOff x="8915400" y="2857500"/>
              <a:chExt cx="2452147" cy="1182370"/>
            </a:xfrm>
          </xdr:grpSpPr>
          <xdr:sp>
            <xdr:nvSpPr>
              <xdr:cNvPr id="26" name="Shape 26"/>
              <xdr:cNvSpPr/>
            </xdr:nvSpPr>
            <xdr:spPr>
              <a:xfrm>
                <a:off x="8915400" y="2857500"/>
                <a:ext cx="2452125" cy="11823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pic>
            <xdr:nvPicPr>
              <xdr:cNvPr id="27" name="Shape 27"/>
              <xdr:cNvPicPr preferRelativeResize="0"/>
            </xdr:nvPicPr>
            <xdr:blipFill rotWithShape="1">
              <a:blip r:embed="rId1">
                <a:alphaModFix/>
              </a:blip>
              <a:srcRect b="0" l="0" r="0" t="0"/>
              <a:stretch/>
            </xdr:blipFill>
            <xdr:spPr>
              <a:xfrm rot="5400000">
                <a:off x="10724515" y="3396838"/>
                <a:ext cx="1182370" cy="103694"/>
              </a:xfrm>
              <a:prstGeom prst="rect">
                <a:avLst/>
              </a:prstGeom>
              <a:noFill/>
              <a:ln>
                <a:noFill/>
              </a:ln>
            </xdr:spPr>
          </xdr:pic>
        </xdr:grpSp>
      </xdr:grpSp>
    </xdr:grpSp>
    <xdr:clientData fLocksWithSheet="0"/>
  </xdr:oneCellAnchor>
  <xdr:oneCellAnchor>
    <xdr:from>
      <xdr:col>1</xdr:col>
      <xdr:colOff>914400</xdr:colOff>
      <xdr:row>0</xdr:row>
      <xdr:rowOff>0</xdr:rowOff>
    </xdr:from>
    <xdr:ext cx="1943100" cy="809625"/>
    <xdr:pic>
      <xdr:nvPicPr>
        <xdr:cNvPr id="0" name="image7.png"/>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533400</xdr:colOff>
      <xdr:row>0</xdr:row>
      <xdr:rowOff>85725</xdr:rowOff>
    </xdr:from>
    <xdr:ext cx="876300" cy="866775"/>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0</xdr:colOff>
      <xdr:row>13</xdr:row>
      <xdr:rowOff>0</xdr:rowOff>
    </xdr:from>
    <xdr:ext cx="6477000" cy="3590925"/>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33</xdr:row>
      <xdr:rowOff>0</xdr:rowOff>
    </xdr:from>
    <xdr:ext cx="6477000" cy="3590925"/>
    <xdr:graphicFrame>
      <xdr:nvGraphicFramePr>
        <xdr:cNvPr id="2" name="Chart 2"/>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11</xdr:col>
      <xdr:colOff>0</xdr:colOff>
      <xdr:row>53</xdr:row>
      <xdr:rowOff>0</xdr:rowOff>
    </xdr:from>
    <xdr:ext cx="3590925" cy="2876550"/>
    <xdr:graphicFrame>
      <xdr:nvGraphicFramePr>
        <xdr:cNvPr id="3" name="Chart 3"/>
        <xdr:cNvGraphicFramePr/>
      </xdr:nvGraphicFramePr>
      <xdr:xfrm>
        <a:off x="0" y="0"/>
        <a:ext cx="0" cy="0"/>
      </xdr:xfrm>
      <a:graphic>
        <a:graphicData uri="http://schemas.openxmlformats.org/drawingml/2006/chart">
          <c:chart r:id="rId3"/>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0" width="3.71"/>
    <col customWidth="1" min="11" max="11" width="4.29"/>
    <col customWidth="1" min="12" max="25" width="3.71"/>
    <col customWidth="1" min="26" max="26" width="7.0"/>
    <col customWidth="1" min="27" max="40" width="3.71"/>
    <col customWidth="1" min="41" max="54" width="11.43"/>
  </cols>
  <sheetData>
    <row r="1" ht="15.0" customHeight="1">
      <c r="A1" s="1"/>
      <c r="B1" s="2"/>
      <c r="C1" s="2"/>
      <c r="D1" s="2"/>
      <c r="E1" s="2"/>
      <c r="F1" s="2"/>
      <c r="G1" s="2"/>
      <c r="H1" s="2"/>
      <c r="I1" s="2"/>
      <c r="J1" s="3"/>
      <c r="K1" s="4" t="s">
        <v>0</v>
      </c>
      <c r="L1" s="5"/>
      <c r="M1" s="5"/>
      <c r="N1" s="5"/>
      <c r="O1" s="5"/>
      <c r="P1" s="5"/>
      <c r="Q1" s="5"/>
      <c r="R1" s="5"/>
      <c r="S1" s="5"/>
      <c r="T1" s="5"/>
      <c r="U1" s="5"/>
      <c r="V1" s="5"/>
      <c r="W1" s="5"/>
      <c r="X1" s="5"/>
      <c r="Y1" s="5"/>
      <c r="Z1" s="5"/>
      <c r="AA1" s="5"/>
      <c r="AB1" s="5"/>
      <c r="AC1" s="5"/>
      <c r="AD1" s="5"/>
      <c r="AE1" s="5"/>
      <c r="AF1" s="5"/>
      <c r="AG1" s="6"/>
      <c r="AH1" s="7" t="s">
        <v>1</v>
      </c>
      <c r="AI1" s="2"/>
      <c r="AJ1" s="2"/>
      <c r="AK1" s="2"/>
      <c r="AL1" s="2"/>
      <c r="AM1" s="2"/>
      <c r="AN1" s="3"/>
      <c r="AO1" s="8"/>
      <c r="AP1" s="9"/>
      <c r="AQ1" s="9"/>
      <c r="AR1" s="9"/>
      <c r="AS1" s="9"/>
      <c r="AT1" s="9"/>
      <c r="AU1" s="9"/>
      <c r="AV1" s="9"/>
      <c r="AW1" s="9"/>
      <c r="AX1" s="9"/>
      <c r="AY1" s="9"/>
      <c r="AZ1" s="9"/>
      <c r="BA1" s="9"/>
      <c r="BB1" s="9"/>
    </row>
    <row r="2" ht="15.0" customHeight="1">
      <c r="A2" s="10"/>
      <c r="J2" s="11"/>
      <c r="K2" s="12" t="s">
        <v>2</v>
      </c>
      <c r="L2" s="2"/>
      <c r="M2" s="2"/>
      <c r="N2" s="2"/>
      <c r="O2" s="2"/>
      <c r="P2" s="2"/>
      <c r="Q2" s="2"/>
      <c r="R2" s="2"/>
      <c r="S2" s="2"/>
      <c r="T2" s="2"/>
      <c r="U2" s="2"/>
      <c r="V2" s="2"/>
      <c r="W2" s="2"/>
      <c r="X2" s="2"/>
      <c r="Y2" s="2"/>
      <c r="Z2" s="2"/>
      <c r="AA2" s="2"/>
      <c r="AB2" s="2"/>
      <c r="AC2" s="2"/>
      <c r="AD2" s="2"/>
      <c r="AE2" s="2"/>
      <c r="AF2" s="2"/>
      <c r="AG2" s="2"/>
      <c r="AH2" s="10"/>
      <c r="AN2" s="11"/>
      <c r="AO2" s="8"/>
      <c r="AP2" s="13"/>
      <c r="AQ2" s="13"/>
      <c r="AR2" s="13"/>
      <c r="AS2" s="13"/>
      <c r="AT2" s="13"/>
      <c r="AU2" s="13"/>
      <c r="AV2" s="13"/>
      <c r="AW2" s="13"/>
      <c r="AX2" s="13"/>
      <c r="AY2" s="13"/>
      <c r="AZ2" s="13"/>
      <c r="BA2" s="13"/>
      <c r="BB2" s="13"/>
    </row>
    <row r="3" ht="15.0" customHeight="1">
      <c r="A3" s="10"/>
      <c r="J3" s="11"/>
      <c r="K3" s="10"/>
      <c r="AH3" s="10"/>
      <c r="AN3" s="11"/>
      <c r="AO3" s="8"/>
      <c r="AP3" s="13"/>
      <c r="AQ3" s="13"/>
      <c r="AR3" s="13"/>
      <c r="AS3" s="13"/>
      <c r="AT3" s="13"/>
      <c r="AU3" s="13"/>
      <c r="AV3" s="13"/>
      <c r="AW3" s="13"/>
      <c r="AX3" s="13"/>
      <c r="AY3" s="13"/>
      <c r="AZ3" s="13"/>
      <c r="BA3" s="13"/>
      <c r="BB3" s="13"/>
    </row>
    <row r="4" ht="15.0" customHeight="1">
      <c r="A4" s="10"/>
      <c r="J4" s="11"/>
      <c r="K4" s="10"/>
      <c r="AH4" s="10"/>
      <c r="AN4" s="11"/>
      <c r="AO4" s="8"/>
      <c r="AP4" s="13"/>
      <c r="AQ4" s="13"/>
      <c r="AR4" s="13"/>
      <c r="AS4" s="13"/>
      <c r="AT4" s="13"/>
      <c r="AU4" s="13"/>
      <c r="AV4" s="13"/>
      <c r="AW4" s="13"/>
      <c r="AX4" s="13"/>
      <c r="AY4" s="13"/>
      <c r="AZ4" s="13"/>
      <c r="BA4" s="13"/>
      <c r="BB4" s="13"/>
    </row>
    <row r="5" ht="15.0" customHeight="1">
      <c r="A5" s="14"/>
      <c r="B5" s="15"/>
      <c r="C5" s="15"/>
      <c r="D5" s="15"/>
      <c r="E5" s="15"/>
      <c r="F5" s="15"/>
      <c r="G5" s="15"/>
      <c r="H5" s="15"/>
      <c r="I5" s="15"/>
      <c r="J5" s="16"/>
      <c r="K5" s="14"/>
      <c r="L5" s="15"/>
      <c r="M5" s="15"/>
      <c r="N5" s="15"/>
      <c r="O5" s="15"/>
      <c r="P5" s="15"/>
      <c r="Q5" s="15"/>
      <c r="R5" s="15"/>
      <c r="S5" s="15"/>
      <c r="T5" s="15"/>
      <c r="U5" s="15"/>
      <c r="V5" s="15"/>
      <c r="W5" s="15"/>
      <c r="X5" s="15"/>
      <c r="Y5" s="15"/>
      <c r="Z5" s="15"/>
      <c r="AA5" s="15"/>
      <c r="AB5" s="15"/>
      <c r="AC5" s="15"/>
      <c r="AD5" s="15"/>
      <c r="AE5" s="15"/>
      <c r="AF5" s="15"/>
      <c r="AG5" s="15"/>
      <c r="AH5" s="14"/>
      <c r="AI5" s="15"/>
      <c r="AJ5" s="15"/>
      <c r="AK5" s="15"/>
      <c r="AL5" s="15"/>
      <c r="AM5" s="15"/>
      <c r="AN5" s="16"/>
      <c r="AO5" s="8"/>
      <c r="AP5" s="13"/>
      <c r="AQ5" s="13"/>
      <c r="AR5" s="13"/>
      <c r="AS5" s="13"/>
      <c r="AT5" s="13"/>
      <c r="AU5" s="13"/>
      <c r="AV5" s="13"/>
      <c r="AW5" s="13"/>
      <c r="AX5" s="13"/>
      <c r="AY5" s="13"/>
      <c r="AZ5" s="13"/>
      <c r="BA5" s="13"/>
      <c r="BB5" s="13"/>
    </row>
    <row r="6" ht="19.5" customHeight="1">
      <c r="A6" s="17" t="s">
        <v>3</v>
      </c>
      <c r="B6" s="5"/>
      <c r="C6" s="5"/>
      <c r="D6" s="5"/>
      <c r="E6" s="5"/>
      <c r="F6" s="6"/>
      <c r="G6" s="17" t="s">
        <v>4</v>
      </c>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13"/>
      <c r="AP6" s="13"/>
      <c r="AQ6" s="13"/>
      <c r="AR6" s="13"/>
      <c r="AS6" s="13"/>
      <c r="AT6" s="13"/>
      <c r="AU6" s="13"/>
      <c r="AV6" s="13"/>
      <c r="AW6" s="13"/>
      <c r="AX6" s="13"/>
      <c r="AY6" s="13"/>
      <c r="AZ6" s="13"/>
      <c r="BA6" s="13"/>
      <c r="BB6" s="13"/>
    </row>
    <row r="7" ht="24.0" customHeight="1">
      <c r="A7" s="18" t="s">
        <v>5</v>
      </c>
      <c r="B7" s="5"/>
      <c r="C7" s="5"/>
      <c r="D7" s="5"/>
      <c r="E7" s="5"/>
      <c r="F7" s="5"/>
      <c r="G7" s="5"/>
      <c r="H7" s="5"/>
      <c r="I7" s="6"/>
      <c r="J7" s="19">
        <v>1.0</v>
      </c>
      <c r="K7" s="20"/>
      <c r="L7" s="20"/>
      <c r="M7" s="20"/>
      <c r="N7" s="20"/>
      <c r="O7" s="20"/>
      <c r="P7" s="20"/>
      <c r="Q7" s="20"/>
      <c r="R7" s="21" t="s">
        <v>6</v>
      </c>
      <c r="S7" s="5"/>
      <c r="T7" s="5"/>
      <c r="U7" s="5"/>
      <c r="V7" s="5"/>
      <c r="W7" s="6"/>
      <c r="X7" s="22" t="s">
        <v>7</v>
      </c>
      <c r="Y7" s="5"/>
      <c r="Z7" s="5"/>
      <c r="AA7" s="5"/>
      <c r="AB7" s="5"/>
      <c r="AC7" s="5"/>
      <c r="AD7" s="5"/>
      <c r="AE7" s="5"/>
      <c r="AF7" s="5"/>
      <c r="AG7" s="5"/>
      <c r="AH7" s="5"/>
      <c r="AI7" s="5"/>
      <c r="AJ7" s="5"/>
      <c r="AK7" s="5"/>
      <c r="AL7" s="5"/>
      <c r="AM7" s="5"/>
      <c r="AN7" s="6"/>
      <c r="AO7" s="13"/>
      <c r="AP7" s="23"/>
      <c r="AQ7" s="24"/>
      <c r="AR7" s="24"/>
      <c r="AS7" s="24"/>
      <c r="AT7" s="24"/>
      <c r="AU7" s="25"/>
      <c r="AV7" s="20"/>
      <c r="AW7" s="20"/>
      <c r="AX7" s="26"/>
      <c r="AY7" s="20"/>
      <c r="AZ7" s="20"/>
      <c r="BA7" s="27"/>
      <c r="BB7" s="20"/>
    </row>
    <row r="8" ht="21.75" customHeight="1">
      <c r="A8" s="28" t="s">
        <v>8</v>
      </c>
      <c r="B8" s="5"/>
      <c r="C8" s="5"/>
      <c r="D8" s="5"/>
      <c r="E8" s="5"/>
      <c r="F8" s="5"/>
      <c r="G8" s="6"/>
      <c r="H8" s="21" t="s">
        <v>9</v>
      </c>
      <c r="I8" s="5"/>
      <c r="J8" s="5"/>
      <c r="K8" s="5"/>
      <c r="L8" s="5"/>
      <c r="M8" s="5"/>
      <c r="N8" s="5"/>
      <c r="O8" s="5"/>
      <c r="P8" s="5"/>
      <c r="Q8" s="5"/>
      <c r="R8" s="5"/>
      <c r="S8" s="5"/>
      <c r="T8" s="5"/>
      <c r="U8" s="5"/>
      <c r="V8" s="5"/>
      <c r="W8" s="6"/>
      <c r="X8" s="18" t="s">
        <v>10</v>
      </c>
      <c r="Y8" s="5"/>
      <c r="Z8" s="6"/>
      <c r="AA8" s="18" t="s">
        <v>11</v>
      </c>
      <c r="AB8" s="5"/>
      <c r="AC8" s="5"/>
      <c r="AD8" s="6"/>
      <c r="AE8" s="18" t="s">
        <v>12</v>
      </c>
      <c r="AF8" s="5"/>
      <c r="AG8" s="5"/>
      <c r="AH8" s="5"/>
      <c r="AI8" s="6"/>
      <c r="AJ8" s="18" t="s">
        <v>13</v>
      </c>
      <c r="AK8" s="5"/>
      <c r="AL8" s="5"/>
      <c r="AM8" s="5"/>
      <c r="AN8" s="6"/>
      <c r="AO8" s="13"/>
      <c r="AP8" s="29"/>
      <c r="AU8" s="27"/>
      <c r="AV8" s="20"/>
      <c r="AW8" s="20"/>
      <c r="AX8" s="30"/>
      <c r="BA8" s="30"/>
    </row>
    <row r="9" ht="12.0" customHeight="1">
      <c r="A9" s="31" t="s">
        <v>14</v>
      </c>
      <c r="B9" s="2"/>
      <c r="C9" s="2"/>
      <c r="D9" s="2"/>
      <c r="E9" s="2"/>
      <c r="F9" s="2"/>
      <c r="G9" s="3"/>
      <c r="H9" s="32" t="s">
        <v>15</v>
      </c>
      <c r="I9" s="2"/>
      <c r="J9" s="2"/>
      <c r="K9" s="2"/>
      <c r="L9" s="2"/>
      <c r="M9" s="2"/>
      <c r="N9" s="2"/>
      <c r="O9" s="2"/>
      <c r="P9" s="2"/>
      <c r="Q9" s="2"/>
      <c r="R9" s="2"/>
      <c r="S9" s="2"/>
      <c r="T9" s="2"/>
      <c r="U9" s="2"/>
      <c r="V9" s="2"/>
      <c r="W9" s="3"/>
      <c r="X9" s="33" t="s">
        <v>16</v>
      </c>
      <c r="Y9" s="2"/>
      <c r="Z9" s="3"/>
      <c r="AA9" s="32">
        <v>325.0</v>
      </c>
      <c r="AB9" s="2"/>
      <c r="AC9" s="2"/>
      <c r="AD9" s="2"/>
      <c r="AE9" s="2"/>
      <c r="AF9" s="2"/>
      <c r="AG9" s="2"/>
      <c r="AH9" s="2"/>
      <c r="AI9" s="2"/>
      <c r="AJ9" s="2"/>
      <c r="AK9" s="2"/>
      <c r="AL9" s="2"/>
      <c r="AM9" s="2"/>
      <c r="AN9" s="3"/>
      <c r="AO9" s="9"/>
      <c r="AP9" s="9"/>
      <c r="AQ9" s="9"/>
      <c r="AR9" s="9"/>
      <c r="AS9" s="9"/>
      <c r="AT9" s="9"/>
      <c r="AU9" s="9"/>
      <c r="AV9" s="9"/>
      <c r="AW9" s="9"/>
      <c r="AX9" s="9"/>
      <c r="AY9" s="9"/>
      <c r="AZ9" s="9"/>
      <c r="BA9" s="9"/>
      <c r="BB9" s="9"/>
    </row>
    <row r="10" ht="12.75" customHeight="1">
      <c r="A10" s="14"/>
      <c r="B10" s="15"/>
      <c r="C10" s="15"/>
      <c r="D10" s="15"/>
      <c r="E10" s="15"/>
      <c r="F10" s="15"/>
      <c r="G10" s="16"/>
      <c r="H10" s="14"/>
      <c r="I10" s="15"/>
      <c r="J10" s="15"/>
      <c r="K10" s="15"/>
      <c r="L10" s="15"/>
      <c r="M10" s="15"/>
      <c r="N10" s="15"/>
      <c r="O10" s="15"/>
      <c r="P10" s="15"/>
      <c r="Q10" s="15"/>
      <c r="R10" s="15"/>
      <c r="S10" s="15"/>
      <c r="T10" s="15"/>
      <c r="U10" s="15"/>
      <c r="V10" s="15"/>
      <c r="W10" s="16"/>
      <c r="X10" s="14"/>
      <c r="Y10" s="15"/>
      <c r="Z10" s="16"/>
      <c r="AA10" s="14"/>
      <c r="AB10" s="15"/>
      <c r="AC10" s="15"/>
      <c r="AD10" s="15"/>
      <c r="AE10" s="15"/>
      <c r="AF10" s="15"/>
      <c r="AG10" s="15"/>
      <c r="AH10" s="15"/>
      <c r="AI10" s="15"/>
      <c r="AJ10" s="15"/>
      <c r="AK10" s="15"/>
      <c r="AL10" s="15"/>
      <c r="AM10" s="15"/>
      <c r="AN10" s="16"/>
      <c r="AO10" s="9"/>
      <c r="AP10" s="9"/>
      <c r="AQ10" s="9"/>
      <c r="AR10" s="9"/>
      <c r="AS10" s="9"/>
      <c r="AT10" s="9"/>
      <c r="AU10" s="9"/>
      <c r="AV10" s="9"/>
      <c r="AW10" s="9"/>
      <c r="AX10" s="9"/>
      <c r="AY10" s="9"/>
      <c r="AZ10" s="9"/>
      <c r="BA10" s="9"/>
      <c r="BB10" s="9"/>
    </row>
    <row r="11" ht="14.25" customHeight="1">
      <c r="A11" s="34" t="s">
        <v>17</v>
      </c>
      <c r="B11" s="5"/>
      <c r="C11" s="5"/>
      <c r="D11" s="5"/>
      <c r="E11" s="5"/>
      <c r="F11" s="5"/>
      <c r="G11" s="6"/>
      <c r="H11" s="35" t="s">
        <v>18</v>
      </c>
      <c r="I11" s="5"/>
      <c r="J11" s="5"/>
      <c r="K11" s="5"/>
      <c r="L11" s="5"/>
      <c r="M11" s="5"/>
      <c r="N11" s="5"/>
      <c r="O11" s="5"/>
      <c r="P11" s="5"/>
      <c r="Q11" s="5"/>
      <c r="R11" s="5"/>
      <c r="S11" s="5"/>
      <c r="T11" s="5"/>
      <c r="U11" s="5"/>
      <c r="V11" s="5"/>
      <c r="W11" s="6"/>
      <c r="X11" s="36" t="s">
        <v>19</v>
      </c>
      <c r="Y11" s="5"/>
      <c r="Z11" s="5"/>
      <c r="AA11" s="5"/>
      <c r="AB11" s="5"/>
      <c r="AC11" s="6"/>
      <c r="AD11" s="35" t="s">
        <v>20</v>
      </c>
      <c r="AE11" s="5"/>
      <c r="AF11" s="5"/>
      <c r="AG11" s="5"/>
      <c r="AH11" s="5"/>
      <c r="AI11" s="5"/>
      <c r="AJ11" s="5"/>
      <c r="AK11" s="5"/>
      <c r="AL11" s="5"/>
      <c r="AM11" s="5"/>
      <c r="AN11" s="6"/>
      <c r="AO11" s="9"/>
      <c r="AP11" s="9"/>
      <c r="AQ11" s="9"/>
      <c r="AR11" s="9"/>
      <c r="AS11" s="9"/>
      <c r="AT11" s="9"/>
      <c r="AU11" s="9"/>
      <c r="AV11" s="9"/>
      <c r="AW11" s="9"/>
      <c r="AX11" s="9"/>
      <c r="AY11" s="9"/>
      <c r="AZ11" s="9"/>
      <c r="BA11" s="9"/>
      <c r="BB11" s="9"/>
    </row>
    <row r="12" ht="14.25" customHeight="1">
      <c r="A12" s="34" t="s">
        <v>21</v>
      </c>
      <c r="B12" s="5"/>
      <c r="C12" s="5"/>
      <c r="D12" s="5"/>
      <c r="E12" s="5"/>
      <c r="F12" s="5"/>
      <c r="G12" s="6"/>
      <c r="H12" s="35" t="s">
        <v>22</v>
      </c>
      <c r="I12" s="5"/>
      <c r="J12" s="5"/>
      <c r="K12" s="5"/>
      <c r="L12" s="5"/>
      <c r="M12" s="5"/>
      <c r="N12" s="5"/>
      <c r="O12" s="5"/>
      <c r="P12" s="5"/>
      <c r="Q12" s="5"/>
      <c r="R12" s="5"/>
      <c r="S12" s="5"/>
      <c r="T12" s="5"/>
      <c r="U12" s="5"/>
      <c r="V12" s="5"/>
      <c r="W12" s="6"/>
      <c r="X12" s="36" t="s">
        <v>23</v>
      </c>
      <c r="Y12" s="5"/>
      <c r="Z12" s="5"/>
      <c r="AA12" s="5"/>
      <c r="AB12" s="5"/>
      <c r="AC12" s="6"/>
      <c r="AD12" s="32" t="s">
        <v>24</v>
      </c>
      <c r="AE12" s="2"/>
      <c r="AF12" s="2"/>
      <c r="AG12" s="2"/>
      <c r="AH12" s="2"/>
      <c r="AI12" s="2"/>
      <c r="AJ12" s="2"/>
      <c r="AK12" s="2"/>
      <c r="AL12" s="2"/>
      <c r="AM12" s="2"/>
      <c r="AN12" s="2"/>
      <c r="AO12" s="9"/>
      <c r="AP12" s="9"/>
      <c r="AQ12" s="9"/>
      <c r="AR12" s="9"/>
      <c r="AS12" s="9"/>
      <c r="AT12" s="9"/>
      <c r="AU12" s="9"/>
      <c r="AV12" s="9"/>
      <c r="AW12" s="9"/>
      <c r="AX12" s="9"/>
      <c r="AY12" s="9"/>
      <c r="AZ12" s="9"/>
      <c r="BA12" s="9"/>
      <c r="BB12" s="9"/>
    </row>
    <row r="13" ht="12.75" customHeight="1">
      <c r="A13" s="37" t="s">
        <v>25</v>
      </c>
      <c r="B13" s="38"/>
      <c r="C13" s="38"/>
      <c r="D13" s="38"/>
      <c r="E13" s="38"/>
      <c r="F13" s="38"/>
      <c r="G13" s="38"/>
      <c r="H13" s="38"/>
      <c r="I13" s="38"/>
      <c r="J13" s="38"/>
      <c r="K13" s="38"/>
      <c r="L13" s="38"/>
      <c r="M13" s="38"/>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9"/>
      <c r="AO13" s="9"/>
      <c r="AP13" s="9"/>
      <c r="AQ13" s="9"/>
      <c r="AR13" s="9"/>
      <c r="AS13" s="9"/>
      <c r="AT13" s="9"/>
      <c r="AU13" s="9"/>
      <c r="AV13" s="9"/>
      <c r="AW13" s="9"/>
      <c r="AX13" s="9"/>
      <c r="AY13" s="9"/>
      <c r="AZ13" s="9"/>
      <c r="BA13" s="9"/>
      <c r="BB13" s="9"/>
    </row>
    <row r="14" ht="12.75" customHeight="1">
      <c r="A14" s="40" t="s">
        <v>26</v>
      </c>
      <c r="B14" s="2"/>
      <c r="C14" s="2"/>
      <c r="D14" s="2"/>
      <c r="E14" s="2"/>
      <c r="F14" s="2"/>
      <c r="G14" s="2"/>
      <c r="H14" s="3"/>
      <c r="I14" s="41" t="s">
        <v>27</v>
      </c>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3"/>
      <c r="AO14" s="9"/>
      <c r="AP14" s="9"/>
      <c r="AQ14" s="9"/>
      <c r="AR14" s="9"/>
      <c r="AS14" s="9"/>
      <c r="AT14" s="9"/>
      <c r="AU14" s="9"/>
      <c r="AV14" s="9"/>
      <c r="AW14" s="9"/>
      <c r="AX14" s="9"/>
      <c r="AY14" s="9"/>
      <c r="AZ14" s="9"/>
      <c r="BA14" s="9"/>
      <c r="BB14" s="9"/>
    </row>
    <row r="15" ht="12.75" customHeight="1">
      <c r="A15" s="10"/>
      <c r="H15" s="11"/>
      <c r="I15" s="10"/>
      <c r="AN15" s="11"/>
      <c r="AO15" s="9"/>
      <c r="AP15" s="9"/>
      <c r="AQ15" s="9"/>
      <c r="AR15" s="9"/>
      <c r="AS15" s="9"/>
      <c r="AT15" s="9"/>
      <c r="AU15" s="9"/>
      <c r="AV15" s="9"/>
      <c r="AW15" s="9"/>
      <c r="AX15" s="9"/>
      <c r="AY15" s="9"/>
      <c r="AZ15" s="9"/>
      <c r="BA15" s="9"/>
      <c r="BB15" s="9"/>
    </row>
    <row r="16" ht="1.5" customHeight="1">
      <c r="A16" s="14"/>
      <c r="B16" s="15"/>
      <c r="C16" s="15"/>
      <c r="D16" s="15"/>
      <c r="E16" s="15"/>
      <c r="F16" s="15"/>
      <c r="G16" s="15"/>
      <c r="H16" s="16"/>
      <c r="I16" s="14"/>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6"/>
      <c r="AO16" s="9"/>
      <c r="AP16" s="9"/>
      <c r="AQ16" s="9"/>
      <c r="AR16" s="9"/>
      <c r="AS16" s="9"/>
      <c r="AT16" s="9"/>
      <c r="AU16" s="9"/>
      <c r="AV16" s="9"/>
      <c r="AW16" s="9"/>
      <c r="AX16" s="9"/>
      <c r="AY16" s="9"/>
      <c r="AZ16" s="9"/>
      <c r="BA16" s="9"/>
      <c r="BB16" s="9"/>
    </row>
    <row r="17" ht="26.25" customHeight="1">
      <c r="A17" s="40" t="s">
        <v>28</v>
      </c>
      <c r="B17" s="2"/>
      <c r="C17" s="2"/>
      <c r="D17" s="2"/>
      <c r="E17" s="2"/>
      <c r="F17" s="2"/>
      <c r="G17" s="2"/>
      <c r="H17" s="3"/>
      <c r="I17" s="42" t="s">
        <v>29</v>
      </c>
      <c r="J17" s="5"/>
      <c r="K17" s="6"/>
      <c r="L17" s="42" t="s">
        <v>27</v>
      </c>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6"/>
      <c r="AO17" s="9"/>
      <c r="AP17" s="9"/>
      <c r="AQ17" s="9"/>
      <c r="AR17" s="9"/>
      <c r="AS17" s="9"/>
      <c r="AT17" s="9"/>
      <c r="AU17" s="9"/>
      <c r="AV17" s="9"/>
      <c r="AW17" s="9"/>
      <c r="AX17" s="9"/>
      <c r="AY17" s="9"/>
      <c r="AZ17" s="9"/>
      <c r="BA17" s="9"/>
      <c r="BB17" s="9"/>
    </row>
    <row r="18" ht="24.0" customHeight="1">
      <c r="A18" s="14"/>
      <c r="B18" s="15"/>
      <c r="C18" s="15"/>
      <c r="D18" s="15"/>
      <c r="E18" s="15"/>
      <c r="F18" s="15"/>
      <c r="G18" s="15"/>
      <c r="H18" s="16"/>
      <c r="I18" s="43" t="s">
        <v>30</v>
      </c>
      <c r="J18" s="5"/>
      <c r="K18" s="6"/>
      <c r="L18" s="43" t="s">
        <v>27</v>
      </c>
      <c r="M18" s="5"/>
      <c r="N18" s="5"/>
      <c r="O18" s="5"/>
      <c r="P18" s="5"/>
      <c r="Q18" s="5"/>
      <c r="R18" s="5"/>
      <c r="S18" s="5"/>
      <c r="T18" s="5"/>
      <c r="U18" s="5"/>
      <c r="V18" s="5"/>
      <c r="W18" s="5"/>
      <c r="X18" s="5"/>
      <c r="Y18" s="6"/>
      <c r="Z18" s="44" t="s">
        <v>31</v>
      </c>
      <c r="AA18" s="43" t="s">
        <v>27</v>
      </c>
      <c r="AB18" s="5"/>
      <c r="AC18" s="5"/>
      <c r="AD18" s="5"/>
      <c r="AE18" s="6"/>
      <c r="AF18" s="42" t="s">
        <v>32</v>
      </c>
      <c r="AG18" s="5"/>
      <c r="AH18" s="5"/>
      <c r="AI18" s="6"/>
      <c r="AJ18" s="42" t="s">
        <v>27</v>
      </c>
      <c r="AK18" s="5"/>
      <c r="AL18" s="5"/>
      <c r="AM18" s="5"/>
      <c r="AN18" s="6"/>
      <c r="AO18" s="9"/>
      <c r="AP18" s="9"/>
      <c r="AQ18" s="9"/>
      <c r="AR18" s="9"/>
      <c r="AS18" s="9"/>
      <c r="AT18" s="9"/>
      <c r="AU18" s="9"/>
      <c r="AV18" s="9"/>
      <c r="AW18" s="9"/>
      <c r="AX18" s="9"/>
      <c r="AY18" s="9"/>
      <c r="AZ18" s="9"/>
      <c r="BA18" s="9"/>
      <c r="BB18" s="9"/>
    </row>
    <row r="19" ht="17.25" customHeight="1">
      <c r="A19" s="42" t="s">
        <v>33</v>
      </c>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6"/>
      <c r="AO19" s="9"/>
      <c r="AP19" s="9"/>
      <c r="AQ19" s="9"/>
      <c r="AR19" s="9"/>
      <c r="AS19" s="9"/>
      <c r="AT19" s="9"/>
      <c r="AU19" s="9"/>
      <c r="AV19" s="9"/>
      <c r="AW19" s="9"/>
      <c r="AX19" s="9"/>
      <c r="AY19" s="9"/>
      <c r="AZ19" s="9"/>
      <c r="BA19" s="9"/>
      <c r="BB19" s="9"/>
    </row>
    <row r="20" ht="12.75" customHeight="1">
      <c r="A20" s="45" t="s">
        <v>34</v>
      </c>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6"/>
      <c r="AO20" s="9"/>
      <c r="AP20" s="9"/>
      <c r="AQ20" s="9"/>
      <c r="AR20" s="9"/>
      <c r="AS20" s="9"/>
      <c r="AT20" s="9"/>
      <c r="AU20" s="9"/>
      <c r="AV20" s="9"/>
      <c r="AW20" s="9"/>
      <c r="AX20" s="9"/>
      <c r="AY20" s="9"/>
      <c r="AZ20" s="9"/>
      <c r="BA20" s="9"/>
      <c r="BB20" s="9"/>
    </row>
    <row r="21" ht="12.75" customHeight="1">
      <c r="A21" s="45" t="s">
        <v>35</v>
      </c>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6"/>
      <c r="AK21" s="46" t="s">
        <v>36</v>
      </c>
      <c r="AL21" s="5"/>
      <c r="AM21" s="5"/>
      <c r="AN21" s="6"/>
      <c r="AO21" s="9"/>
      <c r="AP21" s="9"/>
      <c r="AQ21" s="9"/>
      <c r="AR21" s="9"/>
      <c r="AS21" s="9"/>
      <c r="AT21" s="9"/>
      <c r="AU21" s="9"/>
      <c r="AV21" s="9"/>
      <c r="AW21" s="9"/>
      <c r="AX21" s="9"/>
      <c r="AY21" s="9"/>
      <c r="AZ21" s="9"/>
      <c r="BA21" s="9"/>
      <c r="BB21" s="9"/>
    </row>
    <row r="22" ht="28.5" customHeight="1">
      <c r="A22" s="47">
        <v>1.0</v>
      </c>
      <c r="B22" s="48" t="s">
        <v>37</v>
      </c>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6"/>
      <c r="AK22" s="49" t="s">
        <v>38</v>
      </c>
      <c r="AL22" s="5"/>
      <c r="AM22" s="5"/>
      <c r="AN22" s="6"/>
      <c r="AO22" s="9"/>
      <c r="AP22" s="9"/>
      <c r="AQ22" s="9"/>
      <c r="AR22" s="9"/>
      <c r="AS22" s="9"/>
      <c r="AT22" s="9"/>
      <c r="AU22" s="9"/>
      <c r="AV22" s="9"/>
      <c r="AW22" s="9"/>
      <c r="AX22" s="9"/>
      <c r="AY22" s="9"/>
      <c r="AZ22" s="9"/>
      <c r="BA22" s="9"/>
      <c r="BB22" s="9"/>
    </row>
    <row r="23" ht="28.5" customHeight="1">
      <c r="A23" s="50">
        <v>2.0</v>
      </c>
      <c r="B23" s="48" t="s">
        <v>39</v>
      </c>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6"/>
      <c r="AK23" s="49" t="s">
        <v>38</v>
      </c>
      <c r="AL23" s="5"/>
      <c r="AM23" s="5"/>
      <c r="AN23" s="6"/>
      <c r="AO23" s="9"/>
      <c r="AP23" s="9"/>
      <c r="AQ23" s="9"/>
      <c r="AR23" s="9"/>
      <c r="AS23" s="9"/>
      <c r="AT23" s="9"/>
      <c r="AU23" s="9"/>
      <c r="AV23" s="9"/>
      <c r="AW23" s="9"/>
      <c r="AX23" s="9"/>
      <c r="AY23" s="9"/>
      <c r="AZ23" s="9"/>
      <c r="BA23" s="9"/>
      <c r="BB23" s="9"/>
    </row>
    <row r="24" ht="28.5" customHeight="1">
      <c r="A24" s="50">
        <v>3.0</v>
      </c>
      <c r="B24" s="48" t="s">
        <v>40</v>
      </c>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6"/>
      <c r="AK24" s="49" t="s">
        <v>38</v>
      </c>
      <c r="AL24" s="5"/>
      <c r="AM24" s="5"/>
      <c r="AN24" s="6"/>
      <c r="AO24" s="9"/>
      <c r="AP24" s="9"/>
      <c r="AQ24" s="9"/>
      <c r="AR24" s="9"/>
      <c r="AS24" s="9"/>
      <c r="AT24" s="9"/>
      <c r="AU24" s="9"/>
      <c r="AV24" s="9"/>
      <c r="AW24" s="9"/>
      <c r="AX24" s="9"/>
      <c r="AY24" s="9"/>
      <c r="AZ24" s="9"/>
      <c r="BA24" s="9"/>
      <c r="BB24" s="9"/>
    </row>
    <row r="25" ht="28.5" customHeight="1">
      <c r="A25" s="50">
        <v>4.0</v>
      </c>
      <c r="B25" s="48" t="s">
        <v>41</v>
      </c>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6"/>
      <c r="AK25" s="49" t="s">
        <v>38</v>
      </c>
      <c r="AL25" s="5"/>
      <c r="AM25" s="5"/>
      <c r="AN25" s="6"/>
      <c r="AO25" s="9"/>
      <c r="AP25" s="9"/>
      <c r="AQ25" s="9"/>
      <c r="AR25" s="9"/>
      <c r="AS25" s="9"/>
      <c r="AT25" s="9"/>
      <c r="AU25" s="9"/>
      <c r="AV25" s="9"/>
      <c r="AW25" s="9"/>
      <c r="AX25" s="9"/>
      <c r="AY25" s="9"/>
      <c r="AZ25" s="9"/>
      <c r="BA25" s="9"/>
      <c r="BB25" s="9"/>
    </row>
    <row r="26" ht="28.5" customHeight="1">
      <c r="A26" s="50">
        <v>5.0</v>
      </c>
      <c r="B26" s="48" t="s">
        <v>42</v>
      </c>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6"/>
      <c r="AK26" s="49" t="s">
        <v>38</v>
      </c>
      <c r="AL26" s="5"/>
      <c r="AM26" s="5"/>
      <c r="AN26" s="6"/>
      <c r="AO26" s="9"/>
      <c r="AP26" s="9"/>
      <c r="AQ26" s="9"/>
      <c r="AR26" s="9"/>
      <c r="AS26" s="9"/>
      <c r="AT26" s="9"/>
      <c r="AU26" s="9"/>
      <c r="AV26" s="9"/>
      <c r="AW26" s="9"/>
      <c r="AX26" s="9"/>
      <c r="AY26" s="9"/>
      <c r="AZ26" s="9"/>
      <c r="BA26" s="9"/>
      <c r="BB26" s="9"/>
    </row>
    <row r="27" ht="28.5" customHeight="1">
      <c r="A27" s="50">
        <v>6.0</v>
      </c>
      <c r="B27" s="48" t="s">
        <v>43</v>
      </c>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6"/>
      <c r="AK27" s="49" t="s">
        <v>38</v>
      </c>
      <c r="AL27" s="5"/>
      <c r="AM27" s="5"/>
      <c r="AN27" s="6"/>
      <c r="AO27" s="9"/>
      <c r="AP27" s="9"/>
      <c r="AQ27" s="9"/>
      <c r="AR27" s="9"/>
      <c r="AS27" s="9"/>
      <c r="AT27" s="9"/>
      <c r="AU27" s="9"/>
      <c r="AV27" s="9"/>
      <c r="AW27" s="9"/>
      <c r="AX27" s="9"/>
      <c r="AY27" s="9"/>
      <c r="AZ27" s="9"/>
      <c r="BA27" s="9"/>
      <c r="BB27" s="9"/>
    </row>
    <row r="28" ht="28.5" customHeight="1">
      <c r="A28" s="50">
        <v>7.0</v>
      </c>
      <c r="B28" s="48" t="s">
        <v>44</v>
      </c>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6"/>
      <c r="AK28" s="49" t="s">
        <v>38</v>
      </c>
      <c r="AL28" s="5"/>
      <c r="AM28" s="5"/>
      <c r="AN28" s="6"/>
      <c r="AO28" s="9"/>
      <c r="AP28" s="9"/>
      <c r="AQ28" s="9"/>
      <c r="AR28" s="9"/>
      <c r="AS28" s="9"/>
      <c r="AT28" s="9"/>
      <c r="AU28" s="9"/>
      <c r="AV28" s="9"/>
      <c r="AW28" s="9"/>
      <c r="AX28" s="9"/>
      <c r="AY28" s="9"/>
      <c r="AZ28" s="9"/>
      <c r="BA28" s="9"/>
      <c r="BB28" s="9"/>
    </row>
    <row r="29" ht="28.5" customHeight="1">
      <c r="A29" s="50">
        <v>8.0</v>
      </c>
      <c r="B29" s="48" t="s">
        <v>45</v>
      </c>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6"/>
      <c r="AK29" s="49" t="s">
        <v>38</v>
      </c>
      <c r="AL29" s="5"/>
      <c r="AM29" s="5"/>
      <c r="AN29" s="6"/>
      <c r="AO29" s="9"/>
      <c r="AP29" s="9"/>
      <c r="AQ29" s="9"/>
      <c r="AR29" s="9"/>
      <c r="AS29" s="9"/>
      <c r="AT29" s="9"/>
      <c r="AU29" s="9"/>
      <c r="AV29" s="9"/>
      <c r="AW29" s="9"/>
      <c r="AX29" s="9"/>
      <c r="AY29" s="9"/>
      <c r="AZ29" s="9"/>
      <c r="BA29" s="9"/>
      <c r="BB29" s="9"/>
    </row>
    <row r="30" ht="28.5" customHeight="1">
      <c r="A30" s="50">
        <v>9.0</v>
      </c>
      <c r="B30" s="48" t="s">
        <v>46</v>
      </c>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6"/>
      <c r="AK30" s="49" t="s">
        <v>38</v>
      </c>
      <c r="AL30" s="5"/>
      <c r="AM30" s="5"/>
      <c r="AN30" s="6"/>
      <c r="AO30" s="9"/>
      <c r="AP30" s="9"/>
      <c r="AQ30" s="9"/>
      <c r="AR30" s="9"/>
      <c r="AS30" s="9"/>
      <c r="AT30" s="9"/>
      <c r="AU30" s="9"/>
      <c r="AV30" s="9"/>
      <c r="AW30" s="9"/>
      <c r="AX30" s="9"/>
      <c r="AY30" s="9"/>
      <c r="AZ30" s="9"/>
      <c r="BA30" s="9"/>
      <c r="BB30" s="9"/>
    </row>
    <row r="31" ht="28.5" customHeight="1">
      <c r="A31" s="50">
        <v>10.0</v>
      </c>
      <c r="B31" s="48" t="s">
        <v>47</v>
      </c>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6"/>
      <c r="AK31" s="49" t="s">
        <v>38</v>
      </c>
      <c r="AL31" s="5"/>
      <c r="AM31" s="5"/>
      <c r="AN31" s="6"/>
      <c r="AO31" s="9"/>
      <c r="AP31" s="9"/>
      <c r="AQ31" s="9"/>
      <c r="AR31" s="9"/>
      <c r="AS31" s="9"/>
      <c r="AT31" s="9"/>
      <c r="AU31" s="9"/>
      <c r="AV31" s="9"/>
      <c r="AW31" s="9"/>
      <c r="AX31" s="9"/>
      <c r="AY31" s="9"/>
      <c r="AZ31" s="9"/>
      <c r="BA31" s="9"/>
      <c r="BB31" s="9"/>
    </row>
    <row r="32" ht="29.25" customHeight="1">
      <c r="A32" s="50">
        <v>11.0</v>
      </c>
      <c r="B32" s="48" t="s">
        <v>48</v>
      </c>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6"/>
      <c r="AK32" s="49" t="s">
        <v>38</v>
      </c>
      <c r="AL32" s="5"/>
      <c r="AM32" s="5"/>
      <c r="AN32" s="6"/>
      <c r="AO32" s="9"/>
      <c r="AP32" s="9"/>
      <c r="AQ32" s="9"/>
      <c r="AR32" s="9"/>
      <c r="AS32" s="9"/>
      <c r="AT32" s="9"/>
      <c r="AU32" s="9"/>
      <c r="AV32" s="9"/>
      <c r="AW32" s="9"/>
      <c r="AX32" s="9"/>
      <c r="AY32" s="9"/>
      <c r="AZ32" s="9"/>
      <c r="BA32" s="9"/>
      <c r="BB32" s="9"/>
    </row>
    <row r="33" ht="29.25" customHeight="1">
      <c r="A33" s="51">
        <v>12.0</v>
      </c>
      <c r="B33" s="52" t="s">
        <v>49</v>
      </c>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3"/>
      <c r="AK33" s="41" t="s">
        <v>38</v>
      </c>
      <c r="AL33" s="2"/>
      <c r="AM33" s="2"/>
      <c r="AN33" s="3"/>
      <c r="AO33" s="9"/>
      <c r="AP33" s="9"/>
      <c r="AQ33" s="9"/>
      <c r="AR33" s="9"/>
      <c r="AS33" s="9"/>
      <c r="AT33" s="9"/>
      <c r="AU33" s="9"/>
      <c r="AV33" s="9"/>
      <c r="AW33" s="9"/>
      <c r="AX33" s="9"/>
      <c r="AY33" s="9"/>
      <c r="AZ33" s="9"/>
      <c r="BA33" s="9"/>
      <c r="BB33" s="9"/>
    </row>
    <row r="34" ht="29.25" customHeight="1">
      <c r="A34" s="51">
        <v>13.0</v>
      </c>
      <c r="B34" s="52" t="s">
        <v>50</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3"/>
      <c r="AK34" s="41" t="s">
        <v>38</v>
      </c>
      <c r="AL34" s="2"/>
      <c r="AM34" s="2"/>
      <c r="AN34" s="3"/>
      <c r="AO34" s="9"/>
      <c r="AP34" s="9"/>
      <c r="AQ34" s="9"/>
      <c r="AR34" s="9"/>
      <c r="AS34" s="9"/>
      <c r="AT34" s="9"/>
      <c r="AU34" s="9"/>
      <c r="AV34" s="9"/>
      <c r="AW34" s="9"/>
      <c r="AX34" s="9"/>
      <c r="AY34" s="9"/>
      <c r="AZ34" s="9"/>
      <c r="BA34" s="9"/>
      <c r="BB34" s="9"/>
    </row>
    <row r="35" ht="29.25" customHeight="1">
      <c r="A35" s="51">
        <v>14.0</v>
      </c>
      <c r="B35" s="52" t="s">
        <v>51</v>
      </c>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3"/>
      <c r="AK35" s="41" t="s">
        <v>38</v>
      </c>
      <c r="AL35" s="2"/>
      <c r="AM35" s="2"/>
      <c r="AN35" s="3"/>
      <c r="AO35" s="9"/>
      <c r="AP35" s="9"/>
      <c r="AQ35" s="9"/>
      <c r="AR35" s="9"/>
      <c r="AS35" s="9"/>
      <c r="AT35" s="9"/>
      <c r="AU35" s="9"/>
      <c r="AV35" s="9"/>
      <c r="AW35" s="9"/>
      <c r="AX35" s="9"/>
      <c r="AY35" s="9"/>
      <c r="AZ35" s="9"/>
      <c r="BA35" s="9"/>
      <c r="BB35" s="9"/>
    </row>
    <row r="36" ht="29.25" customHeight="1">
      <c r="A36" s="51">
        <v>15.0</v>
      </c>
      <c r="B36" s="52" t="s">
        <v>52</v>
      </c>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3"/>
      <c r="AK36" s="41" t="s">
        <v>38</v>
      </c>
      <c r="AL36" s="2"/>
      <c r="AM36" s="2"/>
      <c r="AN36" s="3"/>
      <c r="AO36" s="9"/>
      <c r="AP36" s="9"/>
      <c r="AQ36" s="9"/>
      <c r="AR36" s="9"/>
      <c r="AS36" s="9"/>
      <c r="AT36" s="9"/>
      <c r="AU36" s="9"/>
      <c r="AV36" s="9"/>
      <c r="AW36" s="9"/>
      <c r="AX36" s="9"/>
      <c r="AY36" s="9"/>
      <c r="AZ36" s="9"/>
      <c r="BA36" s="9"/>
      <c r="BB36" s="9"/>
    </row>
    <row r="37" ht="15.0" customHeight="1">
      <c r="A37" s="45" t="s">
        <v>53</v>
      </c>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6"/>
      <c r="AO37" s="9"/>
      <c r="AP37" s="9"/>
      <c r="AQ37" s="9"/>
      <c r="AR37" s="9"/>
      <c r="AS37" s="9"/>
      <c r="AT37" s="9"/>
      <c r="AU37" s="9"/>
      <c r="AV37" s="9"/>
      <c r="AW37" s="9"/>
      <c r="AX37" s="9"/>
      <c r="AY37" s="9"/>
      <c r="AZ37" s="9"/>
      <c r="BA37" s="9"/>
      <c r="BB37" s="9"/>
    </row>
    <row r="38" ht="12.75" customHeight="1">
      <c r="A38" s="53" t="s">
        <v>54</v>
      </c>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6"/>
      <c r="AO38" s="9"/>
      <c r="AP38" s="9"/>
      <c r="AQ38" s="9"/>
      <c r="AR38" s="9"/>
      <c r="AS38" s="9"/>
      <c r="AT38" s="9"/>
      <c r="AU38" s="9"/>
      <c r="AV38" s="9"/>
      <c r="AW38" s="9"/>
      <c r="AX38" s="9"/>
      <c r="AY38" s="9"/>
      <c r="AZ38" s="9"/>
      <c r="BA38" s="9"/>
      <c r="BB38" s="9"/>
    </row>
    <row r="39" ht="12.75" customHeight="1">
      <c r="A39" s="49"/>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6"/>
      <c r="AO39" s="9"/>
      <c r="AP39" s="9"/>
      <c r="AQ39" s="9"/>
      <c r="AR39" s="9"/>
      <c r="AS39" s="9"/>
      <c r="AT39" s="9"/>
      <c r="AU39" s="9"/>
      <c r="AV39" s="9"/>
      <c r="AW39" s="9"/>
      <c r="AX39" s="9"/>
      <c r="AY39" s="9"/>
      <c r="AZ39" s="9"/>
      <c r="BA39" s="9"/>
      <c r="BB39" s="9"/>
    </row>
    <row r="40" ht="12.75" customHeight="1">
      <c r="A40" s="49"/>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6"/>
      <c r="AO40" s="9"/>
      <c r="AP40" s="9"/>
      <c r="AQ40" s="9"/>
      <c r="AR40" s="9"/>
      <c r="AS40" s="9"/>
      <c r="AT40" s="9"/>
      <c r="AU40" s="9"/>
      <c r="AV40" s="9"/>
      <c r="AW40" s="9"/>
      <c r="AX40" s="9"/>
      <c r="AY40" s="9"/>
      <c r="AZ40" s="9"/>
      <c r="BA40" s="9"/>
      <c r="BB40" s="9"/>
    </row>
    <row r="41" ht="12.75" customHeight="1">
      <c r="A41" s="49"/>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6"/>
      <c r="AO41" s="9"/>
      <c r="AP41" s="9"/>
      <c r="AQ41" s="9"/>
      <c r="AR41" s="9"/>
      <c r="AS41" s="9"/>
      <c r="AT41" s="9"/>
      <c r="AU41" s="9"/>
      <c r="AV41" s="9"/>
      <c r="AW41" s="9"/>
      <c r="AX41" s="9"/>
      <c r="AY41" s="9"/>
      <c r="AZ41" s="9"/>
      <c r="BA41" s="9"/>
      <c r="BB41" s="9"/>
    </row>
    <row r="42" ht="12.75" customHeight="1">
      <c r="A42" s="49"/>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6"/>
      <c r="AO42" s="9"/>
      <c r="AP42" s="9"/>
      <c r="AQ42" s="9"/>
      <c r="AR42" s="9"/>
      <c r="AS42" s="9"/>
      <c r="AT42" s="9"/>
      <c r="AU42" s="9"/>
      <c r="AV42" s="9"/>
      <c r="AW42" s="9"/>
      <c r="AX42" s="9"/>
      <c r="AY42" s="9"/>
      <c r="AZ42" s="9"/>
      <c r="BA42" s="9"/>
      <c r="BB42" s="9"/>
    </row>
    <row r="43" ht="12.75" customHeight="1">
      <c r="A43" s="49"/>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6"/>
      <c r="AO43" s="9"/>
      <c r="AP43" s="9"/>
      <c r="AQ43" s="9"/>
      <c r="AR43" s="9"/>
      <c r="AS43" s="9"/>
      <c r="AT43" s="9"/>
      <c r="AU43" s="9"/>
      <c r="AV43" s="9"/>
      <c r="AW43" s="9"/>
      <c r="AX43" s="9"/>
      <c r="AY43" s="9"/>
      <c r="AZ43" s="9"/>
      <c r="BA43" s="9"/>
      <c r="BB43" s="9"/>
    </row>
    <row r="44" ht="12.75" customHeight="1">
      <c r="A44" s="49"/>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6"/>
      <c r="AO44" s="9"/>
      <c r="AP44" s="9"/>
      <c r="AQ44" s="9"/>
      <c r="AR44" s="9"/>
      <c r="AS44" s="9"/>
      <c r="AT44" s="9"/>
      <c r="AU44" s="9"/>
      <c r="AV44" s="9"/>
      <c r="AW44" s="9"/>
      <c r="AX44" s="9"/>
      <c r="AY44" s="9"/>
      <c r="AZ44" s="9"/>
      <c r="BA44" s="9"/>
      <c r="BB44" s="9"/>
    </row>
    <row r="45" ht="12.75" customHeight="1">
      <c r="A45" s="49"/>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6"/>
      <c r="AO45" s="9"/>
      <c r="AP45" s="9"/>
      <c r="AQ45" s="9"/>
      <c r="AR45" s="9"/>
      <c r="AS45" s="9"/>
      <c r="AT45" s="9"/>
      <c r="AU45" s="9"/>
      <c r="AV45" s="9"/>
      <c r="AW45" s="9"/>
      <c r="AX45" s="9"/>
      <c r="AY45" s="9"/>
      <c r="AZ45" s="9"/>
      <c r="BA45" s="9"/>
      <c r="BB45" s="9"/>
    </row>
    <row r="46" ht="4.5" customHeight="1">
      <c r="A46" s="54"/>
      <c r="B46" s="55"/>
      <c r="C46" s="55"/>
      <c r="D46" s="55"/>
      <c r="E46" s="55"/>
      <c r="F46" s="55"/>
      <c r="G46" s="55"/>
      <c r="H46" s="55"/>
      <c r="I46" s="55"/>
      <c r="J46" s="55"/>
      <c r="K46" s="55"/>
      <c r="L46" s="55"/>
      <c r="M46" s="55"/>
      <c r="N46" s="55"/>
      <c r="O46" s="55"/>
      <c r="P46" s="55"/>
      <c r="Q46" s="55"/>
      <c r="R46" s="55"/>
      <c r="S46" s="55"/>
      <c r="T46" s="55"/>
      <c r="U46" s="55"/>
      <c r="V46" s="55"/>
      <c r="W46" s="55"/>
      <c r="X46" s="55"/>
      <c r="Y46" s="55"/>
      <c r="Z46" s="55"/>
      <c r="AA46" s="55"/>
      <c r="AB46" s="55"/>
      <c r="AC46" s="55"/>
      <c r="AD46" s="55"/>
      <c r="AE46" s="55"/>
      <c r="AF46" s="55"/>
      <c r="AG46" s="55"/>
      <c r="AH46" s="55"/>
      <c r="AI46" s="55"/>
      <c r="AJ46" s="55"/>
      <c r="AK46" s="55"/>
      <c r="AL46" s="55"/>
      <c r="AM46" s="55"/>
      <c r="AN46" s="56"/>
      <c r="AO46" s="30"/>
      <c r="AP46" s="30"/>
      <c r="AQ46" s="30"/>
      <c r="AR46" s="30"/>
      <c r="AS46" s="30"/>
      <c r="AT46" s="30"/>
      <c r="AU46" s="30"/>
      <c r="AV46" s="30"/>
      <c r="AW46" s="30"/>
      <c r="AX46" s="30"/>
      <c r="AY46" s="30"/>
      <c r="AZ46" s="30"/>
      <c r="BA46" s="30"/>
      <c r="BB46" s="30"/>
    </row>
    <row r="47" ht="15.0" customHeight="1">
      <c r="A47" s="54"/>
      <c r="B47" s="55"/>
      <c r="C47" s="57"/>
      <c r="D47" s="57"/>
      <c r="E47" s="57"/>
      <c r="F47" s="57"/>
      <c r="G47" s="57"/>
      <c r="H47" s="57"/>
      <c r="I47" s="57"/>
      <c r="J47" s="57"/>
      <c r="K47" s="57"/>
      <c r="L47" s="57"/>
      <c r="M47" s="57"/>
      <c r="N47" s="57"/>
      <c r="O47" s="58" t="s">
        <v>55</v>
      </c>
      <c r="P47" s="5"/>
      <c r="Q47" s="5"/>
      <c r="R47" s="5"/>
      <c r="S47" s="5"/>
      <c r="T47" s="5"/>
      <c r="U47" s="5"/>
      <c r="V47" s="5"/>
      <c r="W47" s="5"/>
      <c r="X47" s="5"/>
      <c r="Y47" s="5"/>
      <c r="Z47" s="6"/>
      <c r="AA47" s="58" t="s">
        <v>55</v>
      </c>
      <c r="AB47" s="5"/>
      <c r="AC47" s="5"/>
      <c r="AD47" s="5"/>
      <c r="AE47" s="5"/>
      <c r="AF47" s="5"/>
      <c r="AG47" s="5"/>
      <c r="AH47" s="5"/>
      <c r="AI47" s="5"/>
      <c r="AJ47" s="5"/>
      <c r="AK47" s="5"/>
      <c r="AL47" s="6"/>
      <c r="AM47" s="55"/>
      <c r="AN47" s="56"/>
      <c r="AO47" s="30"/>
      <c r="AP47" s="30"/>
      <c r="AQ47" s="30"/>
      <c r="AR47" s="30"/>
      <c r="AS47" s="30"/>
      <c r="AT47" s="30"/>
      <c r="AU47" s="30"/>
      <c r="AV47" s="30"/>
      <c r="AW47" s="30"/>
      <c r="AX47" s="30"/>
      <c r="AY47" s="30"/>
      <c r="AZ47" s="30"/>
      <c r="BA47" s="30"/>
      <c r="BB47" s="30"/>
    </row>
    <row r="48" ht="12.75" customHeight="1">
      <c r="A48" s="54"/>
      <c r="B48" s="55"/>
      <c r="C48" s="59"/>
      <c r="D48" s="59"/>
      <c r="E48" s="59"/>
      <c r="F48" s="59"/>
      <c r="G48" s="59"/>
      <c r="H48" s="59"/>
      <c r="I48" s="59"/>
      <c r="J48" s="59"/>
      <c r="K48" s="59"/>
      <c r="L48" s="59"/>
      <c r="M48" s="59"/>
      <c r="N48" s="59"/>
      <c r="O48" s="60"/>
      <c r="P48" s="2"/>
      <c r="Q48" s="2"/>
      <c r="R48" s="2"/>
      <c r="S48" s="2"/>
      <c r="T48" s="2"/>
      <c r="U48" s="2"/>
      <c r="V48" s="2"/>
      <c r="W48" s="2"/>
      <c r="X48" s="2"/>
      <c r="Y48" s="2"/>
      <c r="Z48" s="3"/>
      <c r="AA48" s="60"/>
      <c r="AB48" s="2"/>
      <c r="AC48" s="2"/>
      <c r="AD48" s="2"/>
      <c r="AE48" s="2"/>
      <c r="AF48" s="2"/>
      <c r="AG48" s="2"/>
      <c r="AH48" s="2"/>
      <c r="AI48" s="2"/>
      <c r="AJ48" s="2"/>
      <c r="AK48" s="2"/>
      <c r="AL48" s="3"/>
      <c r="AM48" s="55"/>
      <c r="AN48" s="56"/>
      <c r="AO48" s="30"/>
      <c r="AP48" s="30"/>
      <c r="AQ48" s="30"/>
      <c r="AR48" s="30"/>
      <c r="AS48" s="30"/>
      <c r="AT48" s="30"/>
      <c r="AU48" s="30"/>
      <c r="AV48" s="30"/>
      <c r="AW48" s="30"/>
      <c r="AX48" s="30"/>
      <c r="AY48" s="30"/>
      <c r="AZ48" s="30"/>
      <c r="BA48" s="30"/>
      <c r="BB48" s="30"/>
    </row>
    <row r="49" ht="25.5" customHeight="1">
      <c r="A49" s="54"/>
      <c r="B49" s="55"/>
      <c r="C49" s="59"/>
      <c r="D49" s="59"/>
      <c r="E49" s="59"/>
      <c r="F49" s="59"/>
      <c r="G49" s="59"/>
      <c r="H49" s="59"/>
      <c r="I49" s="59"/>
      <c r="J49" s="59"/>
      <c r="K49" s="59"/>
      <c r="L49" s="59"/>
      <c r="M49" s="59"/>
      <c r="N49" s="59"/>
      <c r="O49" s="14"/>
      <c r="P49" s="15"/>
      <c r="Q49" s="15"/>
      <c r="R49" s="15"/>
      <c r="S49" s="15"/>
      <c r="T49" s="15"/>
      <c r="U49" s="15"/>
      <c r="V49" s="15"/>
      <c r="W49" s="15"/>
      <c r="X49" s="15"/>
      <c r="Y49" s="15"/>
      <c r="Z49" s="16"/>
      <c r="AA49" s="14"/>
      <c r="AB49" s="15"/>
      <c r="AC49" s="15"/>
      <c r="AD49" s="15"/>
      <c r="AE49" s="15"/>
      <c r="AF49" s="15"/>
      <c r="AG49" s="15"/>
      <c r="AH49" s="15"/>
      <c r="AI49" s="15"/>
      <c r="AJ49" s="15"/>
      <c r="AK49" s="15"/>
      <c r="AL49" s="16"/>
      <c r="AM49" s="55"/>
      <c r="AN49" s="56"/>
      <c r="AO49" s="30"/>
      <c r="AP49" s="30"/>
      <c r="AQ49" s="30"/>
      <c r="AR49" s="30"/>
      <c r="AS49" s="30"/>
      <c r="AT49" s="30"/>
      <c r="AU49" s="30"/>
      <c r="AV49" s="30"/>
      <c r="AW49" s="30"/>
      <c r="AX49" s="30"/>
      <c r="AY49" s="30"/>
      <c r="AZ49" s="30"/>
      <c r="BA49" s="30"/>
      <c r="BB49" s="30"/>
    </row>
    <row r="50" ht="14.25" customHeight="1">
      <c r="A50" s="54"/>
      <c r="B50" s="55"/>
      <c r="C50" s="59"/>
      <c r="D50" s="59"/>
      <c r="E50" s="59"/>
      <c r="F50" s="59"/>
      <c r="G50" s="59"/>
      <c r="H50" s="59"/>
      <c r="I50" s="59"/>
      <c r="J50" s="59"/>
      <c r="K50" s="59"/>
      <c r="L50" s="59"/>
      <c r="M50" s="59"/>
      <c r="N50" s="59"/>
      <c r="O50" s="18" t="s">
        <v>56</v>
      </c>
      <c r="P50" s="5"/>
      <c r="Q50" s="5"/>
      <c r="R50" s="5"/>
      <c r="S50" s="5"/>
      <c r="T50" s="5"/>
      <c r="U50" s="5"/>
      <c r="V50" s="5"/>
      <c r="W50" s="5"/>
      <c r="X50" s="5"/>
      <c r="Y50" s="5"/>
      <c r="Z50" s="6"/>
      <c r="AA50" s="18" t="s">
        <v>57</v>
      </c>
      <c r="AB50" s="5"/>
      <c r="AC50" s="5"/>
      <c r="AD50" s="5"/>
      <c r="AE50" s="5"/>
      <c r="AF50" s="5"/>
      <c r="AG50" s="5"/>
      <c r="AH50" s="5"/>
      <c r="AI50" s="5"/>
      <c r="AJ50" s="5"/>
      <c r="AK50" s="5"/>
      <c r="AL50" s="6"/>
      <c r="AM50" s="55"/>
      <c r="AN50" s="56"/>
      <c r="AO50" s="30"/>
      <c r="AP50" s="30"/>
      <c r="AQ50" s="30"/>
      <c r="AR50" s="30"/>
      <c r="AS50" s="30"/>
      <c r="AT50" s="30"/>
      <c r="AU50" s="30"/>
      <c r="AV50" s="30"/>
      <c r="AW50" s="30"/>
      <c r="AX50" s="30"/>
      <c r="AY50" s="30"/>
      <c r="AZ50" s="30"/>
      <c r="BA50" s="30"/>
      <c r="BB50" s="30"/>
    </row>
    <row r="51" ht="14.25" customHeight="1">
      <c r="A51" s="54"/>
      <c r="B51" s="55"/>
      <c r="C51" s="59"/>
      <c r="D51" s="59"/>
      <c r="E51" s="59"/>
      <c r="F51" s="59"/>
      <c r="G51" s="59"/>
      <c r="H51" s="59"/>
      <c r="I51" s="59"/>
      <c r="J51" s="59"/>
      <c r="K51" s="59"/>
      <c r="L51" s="59"/>
      <c r="M51" s="59"/>
      <c r="N51" s="59"/>
      <c r="O51" s="18" t="s">
        <v>58</v>
      </c>
      <c r="P51" s="5"/>
      <c r="Q51" s="5"/>
      <c r="R51" s="5"/>
      <c r="S51" s="5"/>
      <c r="T51" s="5"/>
      <c r="U51" s="5"/>
      <c r="V51" s="5"/>
      <c r="W51" s="5"/>
      <c r="X51" s="5"/>
      <c r="Y51" s="5"/>
      <c r="Z51" s="6"/>
      <c r="AA51" s="18" t="s">
        <v>59</v>
      </c>
      <c r="AB51" s="5"/>
      <c r="AC51" s="5"/>
      <c r="AD51" s="5"/>
      <c r="AE51" s="5"/>
      <c r="AF51" s="5"/>
      <c r="AG51" s="5"/>
      <c r="AH51" s="5"/>
      <c r="AI51" s="5"/>
      <c r="AJ51" s="5"/>
      <c r="AK51" s="5"/>
      <c r="AL51" s="6"/>
      <c r="AM51" s="55"/>
      <c r="AN51" s="56"/>
      <c r="AO51" s="30"/>
      <c r="AP51" s="30"/>
      <c r="AQ51" s="30"/>
      <c r="AR51" s="30"/>
      <c r="AS51" s="30"/>
      <c r="AT51" s="30"/>
      <c r="AU51" s="30"/>
      <c r="AV51" s="30"/>
      <c r="AW51" s="30"/>
      <c r="AX51" s="30"/>
      <c r="AY51" s="30"/>
      <c r="AZ51" s="30"/>
      <c r="BA51" s="30"/>
      <c r="BB51" s="30"/>
    </row>
    <row r="52" ht="14.25" customHeight="1">
      <c r="A52" s="54"/>
      <c r="B52" s="55"/>
      <c r="C52" s="59"/>
      <c r="D52" s="59"/>
      <c r="E52" s="59"/>
      <c r="F52" s="59"/>
      <c r="G52" s="59"/>
      <c r="H52" s="59"/>
      <c r="I52" s="59"/>
      <c r="J52" s="59"/>
      <c r="K52" s="59"/>
      <c r="L52" s="59"/>
      <c r="M52" s="59"/>
      <c r="N52" s="59"/>
      <c r="O52" s="18" t="s">
        <v>60</v>
      </c>
      <c r="P52" s="5"/>
      <c r="Q52" s="5"/>
      <c r="R52" s="5"/>
      <c r="S52" s="5"/>
      <c r="T52" s="5"/>
      <c r="U52" s="5"/>
      <c r="V52" s="5"/>
      <c r="W52" s="5"/>
      <c r="X52" s="5"/>
      <c r="Y52" s="5"/>
      <c r="Z52" s="6"/>
      <c r="AA52" s="18" t="s">
        <v>61</v>
      </c>
      <c r="AB52" s="5"/>
      <c r="AC52" s="5"/>
      <c r="AD52" s="5"/>
      <c r="AE52" s="5"/>
      <c r="AF52" s="5"/>
      <c r="AG52" s="5"/>
      <c r="AH52" s="5"/>
      <c r="AI52" s="5"/>
      <c r="AJ52" s="5"/>
      <c r="AK52" s="5"/>
      <c r="AL52" s="6"/>
      <c r="AM52" s="55"/>
      <c r="AN52" s="56"/>
      <c r="AO52" s="30"/>
      <c r="AP52" s="30"/>
      <c r="AQ52" s="30"/>
      <c r="AR52" s="30"/>
      <c r="AS52" s="30"/>
      <c r="AT52" s="30"/>
      <c r="AU52" s="30"/>
      <c r="AV52" s="30"/>
      <c r="AW52" s="30"/>
      <c r="AX52" s="30"/>
      <c r="AY52" s="30"/>
      <c r="AZ52" s="30"/>
      <c r="BA52" s="30"/>
      <c r="BB52" s="30"/>
    </row>
    <row r="53" ht="4.5" customHeight="1">
      <c r="A53" s="61"/>
      <c r="B53" s="62"/>
      <c r="C53" s="62"/>
      <c r="D53" s="62"/>
      <c r="E53" s="62"/>
      <c r="F53" s="62"/>
      <c r="G53" s="62"/>
      <c r="H53" s="62"/>
      <c r="I53" s="62"/>
      <c r="J53" s="62"/>
      <c r="K53" s="62"/>
      <c r="L53" s="62"/>
      <c r="M53" s="62"/>
      <c r="N53" s="62"/>
      <c r="O53" s="62"/>
      <c r="P53" s="62"/>
      <c r="Q53" s="62"/>
      <c r="R53" s="62"/>
      <c r="S53" s="62"/>
      <c r="T53" s="62"/>
      <c r="U53" s="62"/>
      <c r="V53" s="62"/>
      <c r="W53" s="62"/>
      <c r="X53" s="62"/>
      <c r="Y53" s="62"/>
      <c r="Z53" s="62"/>
      <c r="AA53" s="62"/>
      <c r="AB53" s="62"/>
      <c r="AC53" s="62"/>
      <c r="AD53" s="62"/>
      <c r="AE53" s="62"/>
      <c r="AF53" s="62"/>
      <c r="AG53" s="62"/>
      <c r="AH53" s="62"/>
      <c r="AI53" s="62"/>
      <c r="AJ53" s="62"/>
      <c r="AK53" s="62"/>
      <c r="AL53" s="62"/>
      <c r="AM53" s="62"/>
      <c r="AN53" s="63"/>
      <c r="AO53" s="30"/>
      <c r="AP53" s="30"/>
      <c r="AQ53" s="30"/>
      <c r="AR53" s="30"/>
      <c r="AS53" s="30"/>
      <c r="AT53" s="30"/>
      <c r="AU53" s="30"/>
      <c r="AV53" s="30"/>
      <c r="AW53" s="30"/>
      <c r="AX53" s="30"/>
      <c r="AY53" s="30"/>
      <c r="AZ53" s="30"/>
      <c r="BA53" s="30"/>
      <c r="BB53" s="30"/>
    </row>
    <row r="54" ht="12.75" customHeight="1">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row>
    <row r="55" ht="12.75" customHeight="1">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row>
    <row r="56" ht="12.75" customHeight="1">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row>
    <row r="57" ht="12.75" customHeight="1">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row>
    <row r="58" ht="12.75" customHeight="1">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row>
    <row r="59" ht="12.75" customHeight="1">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row>
    <row r="60" ht="12.75" customHeight="1">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row>
    <row r="61" ht="12.75" customHeight="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row>
    <row r="62" ht="12.75" customHeight="1">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row>
    <row r="63" ht="12.75" customHeight="1">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row>
    <row r="64" ht="12.75" customHeight="1">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row>
    <row r="65" ht="12.75" customHeight="1">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row>
    <row r="66" ht="12.75" customHeight="1">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row>
    <row r="67" ht="12.75" customHeight="1">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row>
    <row r="68" ht="12.75" customHeight="1">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row>
    <row r="69" ht="12.75" customHeight="1">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row>
    <row r="70" ht="12.75" customHeight="1">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row>
    <row r="71" ht="12.75" customHeight="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row>
    <row r="72" ht="12.75" customHeight="1">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row>
    <row r="73" ht="12.75" customHeight="1">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row>
    <row r="74" ht="12.75" customHeight="1">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row>
    <row r="75" ht="12.75" customHeight="1">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row>
    <row r="76" ht="12.75" customHeight="1">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row>
    <row r="77" ht="12.75" customHeight="1">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row>
    <row r="78" ht="12.75" customHeight="1">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row>
    <row r="79" ht="12.75" customHeight="1">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row>
    <row r="80" ht="12.75" customHeight="1">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row>
    <row r="81" ht="12.75" customHeight="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row>
    <row r="82" ht="12.75" customHeight="1">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row>
    <row r="83" ht="12.75" customHeight="1">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row>
    <row r="84" ht="12.75" customHeight="1">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row>
    <row r="85" ht="12.75" customHeight="1">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row>
    <row r="86" ht="12.75" customHeight="1">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row>
    <row r="87" ht="12.75" customHeight="1">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row>
    <row r="88" ht="12.75" customHeight="1">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row>
    <row r="89" ht="12.75" customHeight="1">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row>
    <row r="90" ht="12.75" customHeight="1">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row>
    <row r="91" ht="12.75" customHeight="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row>
    <row r="92" ht="12.75" customHeight="1">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row>
    <row r="93" ht="12.75" customHeight="1">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row>
    <row r="94" ht="12.75" customHeight="1">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row>
    <row r="95" ht="12.75" customHeight="1">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row>
    <row r="96" ht="12.75" customHeight="1">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row>
    <row r="97" ht="12.75" customHeight="1">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row>
    <row r="98" ht="12.75" customHeight="1">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row>
    <row r="99" ht="12.75" customHeight="1">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row>
    <row r="100" ht="12.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row>
    <row r="101" ht="12.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row>
    <row r="102" ht="12.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row>
    <row r="103" ht="12.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row>
    <row r="104" ht="12.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row>
    <row r="105" ht="12.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row>
    <row r="106" ht="12.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row>
    <row r="107" ht="12.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row>
    <row r="108" ht="12.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row>
    <row r="109" ht="12.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row>
    <row r="110" ht="12.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row>
    <row r="111" ht="12.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row>
    <row r="112" ht="12.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row>
    <row r="113" ht="12.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row>
    <row r="114" ht="12.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row>
    <row r="115" ht="12.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row>
    <row r="116" ht="12.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row>
    <row r="117" ht="12.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row>
    <row r="118" ht="12.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row>
    <row r="119" ht="12.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row>
    <row r="120" ht="12.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row>
    <row r="121" ht="12.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row>
    <row r="122" ht="12.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row>
    <row r="123" ht="12.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row>
    <row r="124" ht="12.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row>
    <row r="125" ht="12.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row>
    <row r="126" ht="12.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row>
    <row r="127" ht="12.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row>
    <row r="128" ht="12.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row>
    <row r="129" ht="12.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row>
    <row r="130" ht="12.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row>
    <row r="131" ht="12.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row>
    <row r="132" ht="12.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row>
    <row r="133" ht="12.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row>
    <row r="134" ht="12.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row>
    <row r="135" ht="12.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row>
    <row r="136" ht="12.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row>
    <row r="137" ht="12.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row>
    <row r="138" ht="12.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row>
    <row r="139" ht="12.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row>
    <row r="140" ht="12.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row>
    <row r="141" ht="12.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row>
    <row r="142" ht="12.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row>
    <row r="143" ht="12.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row>
    <row r="144" ht="12.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row>
    <row r="145" ht="12.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row>
    <row r="146" ht="12.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row>
    <row r="147" ht="12.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row>
    <row r="148" ht="12.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row>
    <row r="149" ht="12.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row>
    <row r="150" ht="12.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row>
    <row r="151" ht="12.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row>
    <row r="152" ht="12.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row>
    <row r="153" ht="12.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row>
    <row r="154" ht="12.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row>
    <row r="155" ht="12.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row>
    <row r="156" ht="12.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row>
    <row r="157" ht="12.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row>
    <row r="158" ht="12.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row>
    <row r="159" ht="12.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row>
    <row r="160" ht="12.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row>
    <row r="161" ht="12.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row>
    <row r="162" ht="12.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row>
    <row r="163" ht="12.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row>
    <row r="164" ht="12.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row>
    <row r="165" ht="12.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row>
    <row r="166" ht="12.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row>
    <row r="167" ht="12.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row>
    <row r="168" ht="12.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row>
    <row r="169" ht="12.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row>
    <row r="170" ht="12.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row>
    <row r="171" ht="12.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row>
    <row r="172" ht="12.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row>
    <row r="173" ht="12.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row>
    <row r="174" ht="12.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row>
    <row r="175" ht="12.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row>
    <row r="176" ht="12.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row>
    <row r="177" ht="12.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row>
    <row r="178" ht="12.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row>
    <row r="179" ht="12.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row>
    <row r="180" ht="12.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row>
    <row r="181" ht="12.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row>
    <row r="182" ht="12.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row>
    <row r="183" ht="12.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row>
    <row r="184" ht="12.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row>
    <row r="185" ht="12.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row>
    <row r="186" ht="12.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row>
    <row r="187" ht="12.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row>
    <row r="188" ht="12.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row>
    <row r="189" ht="12.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row>
    <row r="190" ht="12.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row>
    <row r="191" ht="12.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row>
    <row r="192" ht="12.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row>
    <row r="193" ht="12.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row>
    <row r="194" ht="12.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row>
    <row r="195" ht="12.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row>
    <row r="196" ht="12.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row>
    <row r="197" ht="12.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row>
    <row r="198" ht="12.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row>
    <row r="199" ht="12.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row>
    <row r="200" ht="12.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row>
    <row r="201" ht="12.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row>
    <row r="202" ht="12.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row>
    <row r="203" ht="12.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row>
    <row r="204" ht="12.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row>
    <row r="205" ht="12.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row>
    <row r="206" ht="12.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row>
    <row r="207" ht="12.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row>
    <row r="208" ht="12.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row>
    <row r="209" ht="12.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row>
    <row r="210" ht="12.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row>
    <row r="211" ht="12.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row>
    <row r="212" ht="12.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row>
    <row r="213" ht="12.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row>
    <row r="214" ht="12.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row>
    <row r="215" ht="12.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row>
    <row r="216" ht="12.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row>
    <row r="217" ht="12.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row>
    <row r="218" ht="12.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row>
    <row r="219" ht="12.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row>
    <row r="220" ht="12.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c r="BA220" s="9"/>
      <c r="BB220" s="9"/>
    </row>
    <row r="221" ht="12.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c r="BA221" s="9"/>
      <c r="BB221" s="9"/>
    </row>
    <row r="222" ht="12.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c r="BA222" s="9"/>
      <c r="BB222" s="9"/>
    </row>
    <row r="223" ht="12.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c r="BA223" s="9"/>
      <c r="BB223" s="9"/>
    </row>
    <row r="224" ht="12.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c r="BA224" s="9"/>
      <c r="BB224" s="9"/>
    </row>
    <row r="225" ht="12.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c r="BA225" s="9"/>
      <c r="BB225" s="9"/>
    </row>
    <row r="226" ht="12.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c r="BA226" s="9"/>
      <c r="BB226" s="9"/>
    </row>
    <row r="227" ht="12.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c r="BA227" s="9"/>
      <c r="BB227" s="9"/>
    </row>
    <row r="228" ht="12.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c r="BA228" s="9"/>
      <c r="BB228" s="9"/>
    </row>
    <row r="229" ht="12.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c r="BA229" s="9"/>
      <c r="BB229" s="9"/>
    </row>
    <row r="230" ht="12.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c r="BA230" s="9"/>
      <c r="BB230" s="9"/>
    </row>
    <row r="231" ht="12.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c r="BA231" s="9"/>
      <c r="BB231" s="9"/>
    </row>
    <row r="232" ht="12.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c r="BA232" s="9"/>
      <c r="BB232" s="9"/>
    </row>
    <row r="233" ht="12.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c r="BA233" s="9"/>
      <c r="BB233" s="9"/>
    </row>
    <row r="234" ht="12.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c r="BA234" s="9"/>
      <c r="BB234" s="9"/>
    </row>
    <row r="235" ht="12.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c r="BA235" s="9"/>
      <c r="BB235" s="9"/>
    </row>
    <row r="236" ht="12.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c r="BA236" s="9"/>
      <c r="BB236" s="9"/>
    </row>
    <row r="237" ht="12.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c r="BA237" s="9"/>
      <c r="BB237" s="9"/>
    </row>
    <row r="238" ht="12.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c r="BA238" s="9"/>
      <c r="BB238" s="9"/>
    </row>
    <row r="239" ht="12.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c r="BA239" s="9"/>
      <c r="BB239" s="9"/>
    </row>
    <row r="240" ht="12.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c r="BA240" s="9"/>
      <c r="BB240" s="9"/>
    </row>
    <row r="241" ht="12.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c r="BA241" s="9"/>
      <c r="BB241" s="9"/>
    </row>
    <row r="242" ht="12.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c r="BA242" s="9"/>
      <c r="BB242" s="9"/>
    </row>
    <row r="243" ht="12.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c r="BA243" s="9"/>
      <c r="BB243" s="9"/>
    </row>
    <row r="244" ht="12.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c r="BA244" s="9"/>
      <c r="BB244" s="9"/>
    </row>
    <row r="245" ht="12.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c r="BA245" s="9"/>
      <c r="BB245" s="9"/>
    </row>
    <row r="246" ht="12.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c r="BA246" s="9"/>
      <c r="BB246" s="9"/>
    </row>
    <row r="247" ht="12.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c r="BA247" s="9"/>
      <c r="BB247" s="9"/>
    </row>
    <row r="248" ht="12.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c r="BA248" s="9"/>
      <c r="BB248" s="9"/>
    </row>
    <row r="249" ht="12.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c r="BA249" s="9"/>
      <c r="BB249" s="9"/>
    </row>
    <row r="250" ht="12.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c r="BA250" s="9"/>
      <c r="BB250" s="9"/>
    </row>
    <row r="251" ht="12.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c r="BA251" s="9"/>
      <c r="BB251" s="9"/>
    </row>
    <row r="252" ht="12.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c r="BA252" s="9"/>
      <c r="BB252" s="9"/>
    </row>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9">
    <mergeCell ref="A1:J5"/>
    <mergeCell ref="K1:AG1"/>
    <mergeCell ref="AH1:AN5"/>
    <mergeCell ref="K2:AG5"/>
    <mergeCell ref="A6:F6"/>
    <mergeCell ref="G6:AN6"/>
    <mergeCell ref="A7:I7"/>
    <mergeCell ref="X7:AN7"/>
    <mergeCell ref="AA8:AD8"/>
    <mergeCell ref="AE8:AI8"/>
    <mergeCell ref="AA9:AN10"/>
    <mergeCell ref="AD11:AN11"/>
    <mergeCell ref="AU7:AW7"/>
    <mergeCell ref="AU8:AW8"/>
    <mergeCell ref="AX8:AZ8"/>
    <mergeCell ref="BA8:BB8"/>
    <mergeCell ref="J7:Q7"/>
    <mergeCell ref="R7:W7"/>
    <mergeCell ref="AP7:AT8"/>
    <mergeCell ref="AX7:AZ7"/>
    <mergeCell ref="BA7:BB7"/>
    <mergeCell ref="A8:G8"/>
    <mergeCell ref="AJ8:AN8"/>
    <mergeCell ref="H8:W8"/>
    <mergeCell ref="X8:Z8"/>
    <mergeCell ref="A9:G10"/>
    <mergeCell ref="H9:W10"/>
    <mergeCell ref="X9:Z10"/>
    <mergeCell ref="H11:W11"/>
    <mergeCell ref="X11:AC11"/>
    <mergeCell ref="AA18:AE18"/>
    <mergeCell ref="AF18:AI18"/>
    <mergeCell ref="A37:AN37"/>
    <mergeCell ref="A38:AN38"/>
    <mergeCell ref="A39:AN39"/>
    <mergeCell ref="A40:AN40"/>
    <mergeCell ref="A41:AN41"/>
    <mergeCell ref="A42:AN42"/>
    <mergeCell ref="A43:AN43"/>
    <mergeCell ref="O50:Z50"/>
    <mergeCell ref="O51:Z51"/>
    <mergeCell ref="AA51:AL51"/>
    <mergeCell ref="O52:Z52"/>
    <mergeCell ref="AA52:AL52"/>
    <mergeCell ref="A44:AN44"/>
    <mergeCell ref="A45:AN45"/>
    <mergeCell ref="O47:Z47"/>
    <mergeCell ref="AA47:AL47"/>
    <mergeCell ref="O48:Z49"/>
    <mergeCell ref="AA48:AL49"/>
    <mergeCell ref="AA50:AL50"/>
    <mergeCell ref="A11:G11"/>
    <mergeCell ref="A12:G12"/>
    <mergeCell ref="A14:H16"/>
    <mergeCell ref="A17:H18"/>
    <mergeCell ref="I17:K17"/>
    <mergeCell ref="I18:K18"/>
    <mergeCell ref="H12:W12"/>
    <mergeCell ref="X12:AC12"/>
    <mergeCell ref="AD12:AN12"/>
    <mergeCell ref="A13:AN13"/>
    <mergeCell ref="I14:AN16"/>
    <mergeCell ref="L17:AN17"/>
    <mergeCell ref="AJ18:AN18"/>
    <mergeCell ref="L18:Y18"/>
    <mergeCell ref="A19:AN19"/>
    <mergeCell ref="A20:AN20"/>
    <mergeCell ref="A21:AJ21"/>
    <mergeCell ref="AK21:AN21"/>
    <mergeCell ref="B22:AJ22"/>
    <mergeCell ref="AK22:AN22"/>
    <mergeCell ref="B23:AJ23"/>
    <mergeCell ref="AK23:AN23"/>
    <mergeCell ref="B24:AJ24"/>
    <mergeCell ref="AK24:AN24"/>
    <mergeCell ref="B25:AJ25"/>
    <mergeCell ref="AK25:AN25"/>
    <mergeCell ref="AK26:AN26"/>
    <mergeCell ref="B26:AJ26"/>
    <mergeCell ref="B27:AJ27"/>
    <mergeCell ref="AK27:AN27"/>
    <mergeCell ref="B28:AJ28"/>
    <mergeCell ref="AK28:AN28"/>
    <mergeCell ref="B29:AJ29"/>
    <mergeCell ref="AK29:AN29"/>
    <mergeCell ref="B30:AJ30"/>
    <mergeCell ref="AK30:AN30"/>
    <mergeCell ref="B31:AJ31"/>
    <mergeCell ref="AK31:AN31"/>
    <mergeCell ref="B32:AJ32"/>
    <mergeCell ref="AK32:AN32"/>
    <mergeCell ref="AK33:AN33"/>
    <mergeCell ref="B33:AJ33"/>
    <mergeCell ref="B34:AJ34"/>
    <mergeCell ref="AK34:AN34"/>
    <mergeCell ref="B35:AJ35"/>
    <mergeCell ref="AK35:AN35"/>
    <mergeCell ref="B36:AJ36"/>
    <mergeCell ref="AK36:AN36"/>
  </mergeCells>
  <printOptions/>
  <pageMargins bottom="0.5118110236220472" footer="0.0" header="0.0" left="0.3937007874015748" right="0.4330708661417323" top="0.4724409448818898"/>
  <pageSetup fitToHeight="0" orientation="portrait"/>
  <headerFooter>
    <oddFooter>&amp;CPágina &amp;P de </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0" width="3.71"/>
    <col customWidth="1" min="11" max="11" width="4.29"/>
    <col customWidth="1" min="12" max="25" width="3.71"/>
    <col customWidth="1" min="26" max="26" width="7.0"/>
    <col customWidth="1" min="27" max="40" width="3.71"/>
    <col customWidth="1" min="41" max="54" width="11.43"/>
  </cols>
  <sheetData>
    <row r="1" ht="15.0" customHeight="1">
      <c r="A1" s="1"/>
      <c r="B1" s="2"/>
      <c r="C1" s="2"/>
      <c r="D1" s="2"/>
      <c r="E1" s="2"/>
      <c r="F1" s="2"/>
      <c r="G1" s="2"/>
      <c r="H1" s="2"/>
      <c r="I1" s="2"/>
      <c r="J1" s="3"/>
      <c r="K1" s="64" t="s">
        <v>0</v>
      </c>
      <c r="L1" s="5"/>
      <c r="M1" s="5"/>
      <c r="N1" s="5"/>
      <c r="O1" s="5"/>
      <c r="P1" s="5"/>
      <c r="Q1" s="5"/>
      <c r="R1" s="5"/>
      <c r="S1" s="5"/>
      <c r="T1" s="5"/>
      <c r="U1" s="5"/>
      <c r="V1" s="5"/>
      <c r="W1" s="5"/>
      <c r="X1" s="5"/>
      <c r="Y1" s="5"/>
      <c r="Z1" s="5"/>
      <c r="AA1" s="5"/>
      <c r="AB1" s="5"/>
      <c r="AC1" s="5"/>
      <c r="AD1" s="5"/>
      <c r="AE1" s="5"/>
      <c r="AF1" s="5"/>
      <c r="AG1" s="6"/>
      <c r="AH1" s="65" t="s">
        <v>1</v>
      </c>
      <c r="AI1" s="2"/>
      <c r="AJ1" s="2"/>
      <c r="AK1" s="2"/>
      <c r="AL1" s="2"/>
      <c r="AM1" s="2"/>
      <c r="AN1" s="3"/>
      <c r="AO1" s="8"/>
      <c r="AP1" s="9"/>
      <c r="AQ1" s="9"/>
      <c r="AR1" s="9"/>
      <c r="AS1" s="9"/>
      <c r="AT1" s="9"/>
      <c r="AU1" s="9"/>
      <c r="AV1" s="9"/>
      <c r="AW1" s="9"/>
      <c r="AX1" s="9"/>
      <c r="AY1" s="9"/>
      <c r="AZ1" s="9"/>
      <c r="BA1" s="9"/>
      <c r="BB1" s="9"/>
    </row>
    <row r="2" ht="15.0" customHeight="1">
      <c r="A2" s="10"/>
      <c r="J2" s="11"/>
      <c r="K2" s="66" t="s">
        <v>2</v>
      </c>
      <c r="L2" s="2"/>
      <c r="M2" s="2"/>
      <c r="N2" s="2"/>
      <c r="O2" s="2"/>
      <c r="P2" s="2"/>
      <c r="Q2" s="2"/>
      <c r="R2" s="2"/>
      <c r="S2" s="2"/>
      <c r="T2" s="2"/>
      <c r="U2" s="2"/>
      <c r="V2" s="2"/>
      <c r="W2" s="2"/>
      <c r="X2" s="2"/>
      <c r="Y2" s="2"/>
      <c r="Z2" s="2"/>
      <c r="AA2" s="2"/>
      <c r="AB2" s="2"/>
      <c r="AC2" s="2"/>
      <c r="AD2" s="2"/>
      <c r="AE2" s="2"/>
      <c r="AF2" s="2"/>
      <c r="AG2" s="2"/>
      <c r="AH2" s="10"/>
      <c r="AN2" s="11"/>
      <c r="AO2" s="8"/>
      <c r="AP2" s="13"/>
      <c r="AQ2" s="13"/>
      <c r="AR2" s="13"/>
      <c r="AS2" s="13"/>
      <c r="AT2" s="13"/>
      <c r="AU2" s="13"/>
      <c r="AV2" s="13"/>
      <c r="AW2" s="13"/>
      <c r="AX2" s="13"/>
      <c r="AY2" s="13"/>
      <c r="AZ2" s="13"/>
      <c r="BA2" s="13"/>
      <c r="BB2" s="13"/>
    </row>
    <row r="3" ht="15.0" customHeight="1">
      <c r="A3" s="10"/>
      <c r="J3" s="11"/>
      <c r="K3" s="10"/>
      <c r="AH3" s="10"/>
      <c r="AN3" s="11"/>
      <c r="AO3" s="8"/>
      <c r="AP3" s="13"/>
      <c r="AQ3" s="13"/>
      <c r="AR3" s="13"/>
      <c r="AS3" s="13"/>
      <c r="AT3" s="13"/>
      <c r="AU3" s="13"/>
      <c r="AV3" s="13"/>
      <c r="AW3" s="13"/>
      <c r="AX3" s="13"/>
      <c r="AY3" s="13"/>
      <c r="AZ3" s="13"/>
      <c r="BA3" s="13"/>
      <c r="BB3" s="13"/>
    </row>
    <row r="4" ht="15.0" customHeight="1">
      <c r="A4" s="10"/>
      <c r="J4" s="11"/>
      <c r="K4" s="10"/>
      <c r="AH4" s="10"/>
      <c r="AN4" s="11"/>
      <c r="AO4" s="8"/>
      <c r="AP4" s="13"/>
      <c r="AQ4" s="13"/>
      <c r="AR4" s="13"/>
      <c r="AS4" s="13"/>
      <c r="AT4" s="13"/>
      <c r="AU4" s="13"/>
      <c r="AV4" s="13"/>
      <c r="AW4" s="13"/>
      <c r="AX4" s="13"/>
      <c r="AY4" s="13"/>
      <c r="AZ4" s="13"/>
      <c r="BA4" s="13"/>
      <c r="BB4" s="13"/>
    </row>
    <row r="5" ht="15.0" customHeight="1">
      <c r="A5" s="14"/>
      <c r="B5" s="15"/>
      <c r="C5" s="15"/>
      <c r="D5" s="15"/>
      <c r="E5" s="15"/>
      <c r="F5" s="15"/>
      <c r="G5" s="15"/>
      <c r="H5" s="15"/>
      <c r="I5" s="15"/>
      <c r="J5" s="16"/>
      <c r="K5" s="14"/>
      <c r="L5" s="15"/>
      <c r="M5" s="15"/>
      <c r="N5" s="15"/>
      <c r="O5" s="15"/>
      <c r="P5" s="15"/>
      <c r="Q5" s="15"/>
      <c r="R5" s="15"/>
      <c r="S5" s="15"/>
      <c r="T5" s="15"/>
      <c r="U5" s="15"/>
      <c r="V5" s="15"/>
      <c r="W5" s="15"/>
      <c r="X5" s="15"/>
      <c r="Y5" s="15"/>
      <c r="Z5" s="15"/>
      <c r="AA5" s="15"/>
      <c r="AB5" s="15"/>
      <c r="AC5" s="15"/>
      <c r="AD5" s="15"/>
      <c r="AE5" s="15"/>
      <c r="AF5" s="15"/>
      <c r="AG5" s="15"/>
      <c r="AH5" s="14"/>
      <c r="AI5" s="15"/>
      <c r="AJ5" s="15"/>
      <c r="AK5" s="15"/>
      <c r="AL5" s="15"/>
      <c r="AM5" s="15"/>
      <c r="AN5" s="16"/>
      <c r="AO5" s="8"/>
      <c r="AP5" s="13"/>
      <c r="AQ5" s="13"/>
      <c r="AR5" s="13"/>
      <c r="AS5" s="13"/>
      <c r="AT5" s="13"/>
      <c r="AU5" s="13"/>
      <c r="AV5" s="13"/>
      <c r="AW5" s="13"/>
      <c r="AX5" s="13"/>
      <c r="AY5" s="13"/>
      <c r="AZ5" s="13"/>
      <c r="BA5" s="13"/>
      <c r="BB5" s="13"/>
    </row>
    <row r="6" ht="19.5" customHeight="1">
      <c r="A6" s="67" t="s">
        <v>3</v>
      </c>
      <c r="B6" s="5"/>
      <c r="C6" s="5"/>
      <c r="D6" s="5"/>
      <c r="E6" s="5"/>
      <c r="F6" s="6"/>
      <c r="G6" s="67" t="s">
        <v>4</v>
      </c>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13"/>
      <c r="AP6" s="13"/>
      <c r="AQ6" s="13"/>
      <c r="AR6" s="13"/>
      <c r="AS6" s="13"/>
      <c r="AT6" s="13"/>
      <c r="AU6" s="13"/>
      <c r="AV6" s="13"/>
      <c r="AW6" s="13"/>
      <c r="AX6" s="13"/>
      <c r="AY6" s="13"/>
      <c r="AZ6" s="13"/>
      <c r="BA6" s="13"/>
      <c r="BB6" s="13"/>
    </row>
    <row r="7" ht="24.0" customHeight="1">
      <c r="A7" s="68" t="s">
        <v>5</v>
      </c>
      <c r="B7" s="5"/>
      <c r="C7" s="5"/>
      <c r="D7" s="5"/>
      <c r="E7" s="5"/>
      <c r="F7" s="5"/>
      <c r="G7" s="5"/>
      <c r="H7" s="5"/>
      <c r="I7" s="6"/>
      <c r="J7" s="69"/>
      <c r="K7" s="20"/>
      <c r="L7" s="20"/>
      <c r="M7" s="20"/>
      <c r="N7" s="20"/>
      <c r="O7" s="20"/>
      <c r="P7" s="20"/>
      <c r="Q7" s="20"/>
      <c r="R7" s="70" t="s">
        <v>6</v>
      </c>
      <c r="S7" s="5"/>
      <c r="T7" s="5"/>
      <c r="U7" s="5"/>
      <c r="V7" s="5"/>
      <c r="W7" s="6"/>
      <c r="X7" s="71"/>
      <c r="Y7" s="5"/>
      <c r="Z7" s="5"/>
      <c r="AA7" s="5"/>
      <c r="AB7" s="5"/>
      <c r="AC7" s="5"/>
      <c r="AD7" s="5"/>
      <c r="AE7" s="5"/>
      <c r="AF7" s="5"/>
      <c r="AG7" s="5"/>
      <c r="AH7" s="5"/>
      <c r="AI7" s="5"/>
      <c r="AJ7" s="5"/>
      <c r="AK7" s="5"/>
      <c r="AL7" s="5"/>
      <c r="AM7" s="5"/>
      <c r="AN7" s="6"/>
      <c r="AO7" s="13"/>
      <c r="AP7" s="23"/>
      <c r="AQ7" s="24"/>
      <c r="AR7" s="24"/>
      <c r="AS7" s="24"/>
      <c r="AT7" s="24"/>
      <c r="AU7" s="25"/>
      <c r="AV7" s="20"/>
      <c r="AW7" s="20"/>
      <c r="AX7" s="26"/>
      <c r="AY7" s="20"/>
      <c r="AZ7" s="20"/>
      <c r="BA7" s="27"/>
      <c r="BB7" s="20"/>
    </row>
    <row r="8" ht="21.75" customHeight="1">
      <c r="A8" s="72" t="s">
        <v>8</v>
      </c>
      <c r="B8" s="5"/>
      <c r="C8" s="5"/>
      <c r="D8" s="5"/>
      <c r="E8" s="5"/>
      <c r="F8" s="5"/>
      <c r="G8" s="6"/>
      <c r="H8" s="70" t="s">
        <v>9</v>
      </c>
      <c r="I8" s="5"/>
      <c r="J8" s="5"/>
      <c r="K8" s="5"/>
      <c r="L8" s="5"/>
      <c r="M8" s="5"/>
      <c r="N8" s="5"/>
      <c r="O8" s="5"/>
      <c r="P8" s="5"/>
      <c r="Q8" s="5"/>
      <c r="R8" s="5"/>
      <c r="S8" s="5"/>
      <c r="T8" s="5"/>
      <c r="U8" s="5"/>
      <c r="V8" s="5"/>
      <c r="W8" s="6"/>
      <c r="X8" s="68" t="s">
        <v>10</v>
      </c>
      <c r="Y8" s="5"/>
      <c r="Z8" s="6"/>
      <c r="AA8" s="68" t="s">
        <v>62</v>
      </c>
      <c r="AB8" s="5"/>
      <c r="AC8" s="5"/>
      <c r="AD8" s="6"/>
      <c r="AE8" s="68" t="s">
        <v>12</v>
      </c>
      <c r="AF8" s="5"/>
      <c r="AG8" s="5"/>
      <c r="AH8" s="5"/>
      <c r="AI8" s="6"/>
      <c r="AJ8" s="68" t="s">
        <v>13</v>
      </c>
      <c r="AK8" s="5"/>
      <c r="AL8" s="5"/>
      <c r="AM8" s="5"/>
      <c r="AN8" s="6"/>
      <c r="AO8" s="13"/>
      <c r="AP8" s="29"/>
      <c r="AU8" s="27"/>
      <c r="AV8" s="20"/>
      <c r="AW8" s="20"/>
      <c r="AX8" s="30"/>
      <c r="BA8" s="30"/>
    </row>
    <row r="9" ht="12.0" customHeight="1">
      <c r="A9" s="73" t="s">
        <v>14</v>
      </c>
      <c r="B9" s="2"/>
      <c r="C9" s="2"/>
      <c r="D9" s="2"/>
      <c r="E9" s="2"/>
      <c r="F9" s="2"/>
      <c r="G9" s="3"/>
      <c r="H9" s="74" t="s">
        <v>15</v>
      </c>
      <c r="I9" s="2"/>
      <c r="J9" s="2"/>
      <c r="K9" s="2"/>
      <c r="L9" s="2"/>
      <c r="M9" s="2"/>
      <c r="N9" s="2"/>
      <c r="O9" s="2"/>
      <c r="P9" s="2"/>
      <c r="Q9" s="2"/>
      <c r="R9" s="2"/>
      <c r="S9" s="2"/>
      <c r="T9" s="2"/>
      <c r="U9" s="2"/>
      <c r="V9" s="2"/>
      <c r="W9" s="3"/>
      <c r="X9" s="75" t="s">
        <v>16</v>
      </c>
      <c r="Y9" s="2"/>
      <c r="Z9" s="3"/>
      <c r="AA9" s="74">
        <v>325.0</v>
      </c>
      <c r="AB9" s="2"/>
      <c r="AC9" s="2"/>
      <c r="AD9" s="2"/>
      <c r="AE9" s="2"/>
      <c r="AF9" s="2"/>
      <c r="AG9" s="2"/>
      <c r="AH9" s="2"/>
      <c r="AI9" s="2"/>
      <c r="AJ9" s="2"/>
      <c r="AK9" s="2"/>
      <c r="AL9" s="2"/>
      <c r="AM9" s="2"/>
      <c r="AN9" s="3"/>
      <c r="AO9" s="9"/>
      <c r="AP9" s="9"/>
      <c r="AQ9" s="9"/>
      <c r="AR9" s="9"/>
      <c r="AS9" s="9"/>
      <c r="AT9" s="9"/>
      <c r="AU9" s="9"/>
      <c r="AV9" s="9"/>
      <c r="AW9" s="9"/>
      <c r="AX9" s="9"/>
      <c r="AY9" s="9"/>
      <c r="AZ9" s="9"/>
      <c r="BA9" s="9"/>
      <c r="BB9" s="9"/>
    </row>
    <row r="10" ht="12.75" customHeight="1">
      <c r="A10" s="14"/>
      <c r="B10" s="15"/>
      <c r="C10" s="15"/>
      <c r="D10" s="15"/>
      <c r="E10" s="15"/>
      <c r="F10" s="15"/>
      <c r="G10" s="16"/>
      <c r="H10" s="14"/>
      <c r="I10" s="15"/>
      <c r="J10" s="15"/>
      <c r="K10" s="15"/>
      <c r="L10" s="15"/>
      <c r="M10" s="15"/>
      <c r="N10" s="15"/>
      <c r="O10" s="15"/>
      <c r="P10" s="15"/>
      <c r="Q10" s="15"/>
      <c r="R10" s="15"/>
      <c r="S10" s="15"/>
      <c r="T10" s="15"/>
      <c r="U10" s="15"/>
      <c r="V10" s="15"/>
      <c r="W10" s="16"/>
      <c r="X10" s="14"/>
      <c r="Y10" s="15"/>
      <c r="Z10" s="16"/>
      <c r="AA10" s="14"/>
      <c r="AB10" s="15"/>
      <c r="AC10" s="15"/>
      <c r="AD10" s="15"/>
      <c r="AE10" s="15"/>
      <c r="AF10" s="15"/>
      <c r="AG10" s="15"/>
      <c r="AH10" s="15"/>
      <c r="AI10" s="15"/>
      <c r="AJ10" s="15"/>
      <c r="AK10" s="15"/>
      <c r="AL10" s="15"/>
      <c r="AM10" s="15"/>
      <c r="AN10" s="16"/>
      <c r="AO10" s="9"/>
      <c r="AP10" s="9"/>
      <c r="AQ10" s="9"/>
      <c r="AR10" s="9"/>
      <c r="AS10" s="9"/>
      <c r="AT10" s="9"/>
      <c r="AU10" s="9"/>
      <c r="AV10" s="9"/>
      <c r="AW10" s="9"/>
      <c r="AX10" s="9"/>
      <c r="AY10" s="9"/>
      <c r="AZ10" s="9"/>
      <c r="BA10" s="9"/>
      <c r="BB10" s="9"/>
    </row>
    <row r="11" ht="15.0" customHeight="1">
      <c r="A11" s="76" t="s">
        <v>17</v>
      </c>
      <c r="B11" s="5"/>
      <c r="C11" s="5"/>
      <c r="D11" s="5"/>
      <c r="E11" s="5"/>
      <c r="F11" s="5"/>
      <c r="G11" s="6"/>
      <c r="H11" s="77"/>
      <c r="I11" s="5"/>
      <c r="J11" s="5"/>
      <c r="K11" s="5"/>
      <c r="L11" s="5"/>
      <c r="M11" s="5"/>
      <c r="N11" s="5"/>
      <c r="O11" s="5"/>
      <c r="P11" s="5"/>
      <c r="Q11" s="5"/>
      <c r="R11" s="5"/>
      <c r="S11" s="5"/>
      <c r="T11" s="5"/>
      <c r="U11" s="5"/>
      <c r="V11" s="5"/>
      <c r="W11" s="6"/>
      <c r="X11" s="78" t="s">
        <v>19</v>
      </c>
      <c r="Y11" s="5"/>
      <c r="Z11" s="5"/>
      <c r="AA11" s="5"/>
      <c r="AB11" s="5"/>
      <c r="AC11" s="6"/>
      <c r="AD11" s="78"/>
      <c r="AE11" s="5"/>
      <c r="AF11" s="5"/>
      <c r="AG11" s="5"/>
      <c r="AH11" s="5"/>
      <c r="AI11" s="5"/>
      <c r="AJ11" s="5"/>
      <c r="AK11" s="5"/>
      <c r="AL11" s="5"/>
      <c r="AM11" s="5"/>
      <c r="AN11" s="6"/>
      <c r="AO11" s="9"/>
      <c r="AP11" s="9"/>
      <c r="AQ11" s="9"/>
      <c r="AR11" s="9"/>
      <c r="AS11" s="9"/>
      <c r="AT11" s="9"/>
      <c r="AU11" s="9"/>
      <c r="AV11" s="9"/>
      <c r="AW11" s="9"/>
      <c r="AX11" s="9"/>
      <c r="AY11" s="9"/>
      <c r="AZ11" s="9"/>
      <c r="BA11" s="9"/>
      <c r="BB11" s="9"/>
    </row>
    <row r="12" ht="15.0" customHeight="1">
      <c r="A12" s="76" t="s">
        <v>21</v>
      </c>
      <c r="B12" s="5"/>
      <c r="C12" s="5"/>
      <c r="D12" s="5"/>
      <c r="E12" s="5"/>
      <c r="F12" s="5"/>
      <c r="G12" s="6"/>
      <c r="H12" s="77"/>
      <c r="I12" s="5"/>
      <c r="J12" s="5"/>
      <c r="K12" s="5"/>
      <c r="L12" s="5"/>
      <c r="M12" s="5"/>
      <c r="N12" s="5"/>
      <c r="O12" s="5"/>
      <c r="P12" s="5"/>
      <c r="Q12" s="5"/>
      <c r="R12" s="5"/>
      <c r="S12" s="5"/>
      <c r="T12" s="5"/>
      <c r="U12" s="5"/>
      <c r="V12" s="5"/>
      <c r="W12" s="6"/>
      <c r="X12" s="78" t="s">
        <v>23</v>
      </c>
      <c r="Y12" s="5"/>
      <c r="Z12" s="5"/>
      <c r="AA12" s="5"/>
      <c r="AB12" s="5"/>
      <c r="AC12" s="6"/>
      <c r="AD12" s="75"/>
      <c r="AE12" s="2"/>
      <c r="AF12" s="2"/>
      <c r="AG12" s="2"/>
      <c r="AH12" s="2"/>
      <c r="AI12" s="2"/>
      <c r="AJ12" s="2"/>
      <c r="AK12" s="2"/>
      <c r="AL12" s="2"/>
      <c r="AM12" s="2"/>
      <c r="AN12" s="2"/>
      <c r="AO12" s="9"/>
      <c r="AP12" s="9"/>
      <c r="AQ12" s="9"/>
      <c r="AR12" s="9"/>
      <c r="AS12" s="9"/>
      <c r="AT12" s="9"/>
      <c r="AU12" s="9"/>
      <c r="AV12" s="9"/>
      <c r="AW12" s="9"/>
      <c r="AX12" s="9"/>
      <c r="AY12" s="9"/>
      <c r="AZ12" s="9"/>
      <c r="BA12" s="9"/>
      <c r="BB12" s="9"/>
    </row>
    <row r="13" ht="12.75" customHeight="1">
      <c r="A13" s="79" t="s">
        <v>25</v>
      </c>
      <c r="B13" s="38"/>
      <c r="C13" s="38"/>
      <c r="D13" s="38"/>
      <c r="E13" s="38"/>
      <c r="F13" s="38"/>
      <c r="G13" s="38"/>
      <c r="H13" s="38"/>
      <c r="I13" s="38"/>
      <c r="J13" s="38"/>
      <c r="K13" s="38"/>
      <c r="L13" s="38"/>
      <c r="M13" s="38"/>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9"/>
      <c r="AO13" s="9"/>
      <c r="AP13" s="9"/>
      <c r="AQ13" s="9"/>
      <c r="AR13" s="9"/>
      <c r="AS13" s="9"/>
      <c r="AT13" s="9"/>
      <c r="AU13" s="9"/>
      <c r="AV13" s="9"/>
      <c r="AW13" s="9"/>
      <c r="AX13" s="9"/>
      <c r="AY13" s="9"/>
      <c r="AZ13" s="9"/>
      <c r="BA13" s="9"/>
      <c r="BB13" s="9"/>
    </row>
    <row r="14" ht="12.75" customHeight="1">
      <c r="A14" s="40" t="s">
        <v>26</v>
      </c>
      <c r="B14" s="2"/>
      <c r="C14" s="2"/>
      <c r="D14" s="2"/>
      <c r="E14" s="2"/>
      <c r="F14" s="2"/>
      <c r="G14" s="2"/>
      <c r="H14" s="3"/>
      <c r="I14" s="41"/>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3"/>
      <c r="AO14" s="9"/>
      <c r="AP14" s="9"/>
      <c r="AQ14" s="9"/>
      <c r="AR14" s="9"/>
      <c r="AS14" s="9"/>
      <c r="AT14" s="9"/>
      <c r="AU14" s="9"/>
      <c r="AV14" s="9"/>
      <c r="AW14" s="9"/>
      <c r="AX14" s="9"/>
      <c r="AY14" s="9"/>
      <c r="AZ14" s="9"/>
      <c r="BA14" s="9"/>
      <c r="BB14" s="9"/>
    </row>
    <row r="15" ht="12.75" customHeight="1">
      <c r="A15" s="10"/>
      <c r="H15" s="11"/>
      <c r="I15" s="10"/>
      <c r="AN15" s="11"/>
      <c r="AO15" s="9"/>
      <c r="AP15" s="9"/>
      <c r="AQ15" s="9"/>
      <c r="AR15" s="9"/>
      <c r="AS15" s="9"/>
      <c r="AT15" s="9"/>
      <c r="AU15" s="9"/>
      <c r="AV15" s="9"/>
      <c r="AW15" s="9"/>
      <c r="AX15" s="9"/>
      <c r="AY15" s="9"/>
      <c r="AZ15" s="9"/>
      <c r="BA15" s="9"/>
      <c r="BB15" s="9"/>
    </row>
    <row r="16" ht="1.5" customHeight="1">
      <c r="A16" s="14"/>
      <c r="B16" s="15"/>
      <c r="C16" s="15"/>
      <c r="D16" s="15"/>
      <c r="E16" s="15"/>
      <c r="F16" s="15"/>
      <c r="G16" s="15"/>
      <c r="H16" s="16"/>
      <c r="I16" s="14"/>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6"/>
      <c r="AO16" s="9"/>
      <c r="AP16" s="9"/>
      <c r="AQ16" s="9"/>
      <c r="AR16" s="9"/>
      <c r="AS16" s="9"/>
      <c r="AT16" s="9"/>
      <c r="AU16" s="9"/>
      <c r="AV16" s="9"/>
      <c r="AW16" s="9"/>
      <c r="AX16" s="9"/>
      <c r="AY16" s="9"/>
      <c r="AZ16" s="9"/>
      <c r="BA16" s="9"/>
      <c r="BB16" s="9"/>
    </row>
    <row r="17" ht="26.25" customHeight="1">
      <c r="A17" s="40" t="s">
        <v>28</v>
      </c>
      <c r="B17" s="2"/>
      <c r="C17" s="2"/>
      <c r="D17" s="2"/>
      <c r="E17" s="2"/>
      <c r="F17" s="2"/>
      <c r="G17" s="2"/>
      <c r="H17" s="3"/>
      <c r="I17" s="42" t="s">
        <v>29</v>
      </c>
      <c r="J17" s="5"/>
      <c r="K17" s="6"/>
      <c r="L17" s="42" t="s">
        <v>27</v>
      </c>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6"/>
      <c r="AO17" s="9"/>
      <c r="AP17" s="9"/>
      <c r="AQ17" s="9"/>
      <c r="AR17" s="9"/>
      <c r="AS17" s="9"/>
      <c r="AT17" s="9"/>
      <c r="AU17" s="9"/>
      <c r="AV17" s="9"/>
      <c r="AW17" s="9"/>
      <c r="AX17" s="9"/>
      <c r="AY17" s="9"/>
      <c r="AZ17" s="9"/>
      <c r="BA17" s="9"/>
      <c r="BB17" s="9"/>
    </row>
    <row r="18" ht="24.0" customHeight="1">
      <c r="A18" s="14"/>
      <c r="B18" s="15"/>
      <c r="C18" s="15"/>
      <c r="D18" s="15"/>
      <c r="E18" s="15"/>
      <c r="F18" s="15"/>
      <c r="G18" s="15"/>
      <c r="H18" s="16"/>
      <c r="I18" s="43" t="s">
        <v>30</v>
      </c>
      <c r="J18" s="5"/>
      <c r="K18" s="6"/>
      <c r="L18" s="43" t="s">
        <v>27</v>
      </c>
      <c r="M18" s="5"/>
      <c r="N18" s="5"/>
      <c r="O18" s="5"/>
      <c r="P18" s="5"/>
      <c r="Q18" s="5"/>
      <c r="R18" s="5"/>
      <c r="S18" s="5"/>
      <c r="T18" s="5"/>
      <c r="U18" s="5"/>
      <c r="V18" s="5"/>
      <c r="W18" s="5"/>
      <c r="X18" s="5"/>
      <c r="Y18" s="6"/>
      <c r="Z18" s="44" t="s">
        <v>31</v>
      </c>
      <c r="AA18" s="43" t="s">
        <v>27</v>
      </c>
      <c r="AB18" s="5"/>
      <c r="AC18" s="5"/>
      <c r="AD18" s="5"/>
      <c r="AE18" s="6"/>
      <c r="AF18" s="42" t="s">
        <v>32</v>
      </c>
      <c r="AG18" s="5"/>
      <c r="AH18" s="5"/>
      <c r="AI18" s="6"/>
      <c r="AJ18" s="42" t="s">
        <v>27</v>
      </c>
      <c r="AK18" s="5"/>
      <c r="AL18" s="5"/>
      <c r="AM18" s="5"/>
      <c r="AN18" s="6"/>
      <c r="AO18" s="9"/>
      <c r="AP18" s="9"/>
      <c r="AQ18" s="9"/>
      <c r="AR18" s="9"/>
      <c r="AS18" s="9"/>
      <c r="AT18" s="9"/>
      <c r="AU18" s="9"/>
      <c r="AV18" s="9"/>
      <c r="AW18" s="9"/>
      <c r="AX18" s="9"/>
      <c r="AY18" s="9"/>
      <c r="AZ18" s="9"/>
      <c r="BA18" s="9"/>
      <c r="BB18" s="9"/>
    </row>
    <row r="19" ht="17.25" customHeight="1">
      <c r="A19" s="42" t="s">
        <v>33</v>
      </c>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6"/>
      <c r="AO19" s="9"/>
      <c r="AP19" s="9"/>
      <c r="AQ19" s="9"/>
      <c r="AR19" s="9"/>
      <c r="AS19" s="9"/>
      <c r="AT19" s="9"/>
      <c r="AU19" s="9"/>
      <c r="AV19" s="9"/>
      <c r="AW19" s="9"/>
      <c r="AX19" s="9"/>
      <c r="AY19" s="9"/>
      <c r="AZ19" s="9"/>
      <c r="BA19" s="9"/>
      <c r="BB19" s="9"/>
    </row>
    <row r="20" ht="12.75" customHeight="1">
      <c r="A20" s="80" t="s">
        <v>34</v>
      </c>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6"/>
      <c r="AO20" s="9"/>
      <c r="AP20" s="9"/>
      <c r="AQ20" s="9"/>
      <c r="AR20" s="9"/>
      <c r="AS20" s="9"/>
      <c r="AT20" s="9"/>
      <c r="AU20" s="9"/>
      <c r="AV20" s="9"/>
      <c r="AW20" s="9"/>
      <c r="AX20" s="9"/>
      <c r="AY20" s="9"/>
      <c r="AZ20" s="9"/>
      <c r="BA20" s="9"/>
      <c r="BB20" s="9"/>
    </row>
    <row r="21" ht="12.75" customHeight="1">
      <c r="A21" s="80" t="s">
        <v>35</v>
      </c>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6"/>
      <c r="AK21" s="80" t="s">
        <v>36</v>
      </c>
      <c r="AL21" s="5"/>
      <c r="AM21" s="5"/>
      <c r="AN21" s="6"/>
      <c r="AO21" s="9"/>
      <c r="AP21" s="9"/>
      <c r="AQ21" s="9"/>
      <c r="AR21" s="9"/>
      <c r="AS21" s="9"/>
      <c r="AT21" s="9"/>
      <c r="AU21" s="9"/>
      <c r="AV21" s="9"/>
      <c r="AW21" s="9"/>
      <c r="AX21" s="9"/>
      <c r="AY21" s="9"/>
      <c r="AZ21" s="9"/>
      <c r="BA21" s="9"/>
      <c r="BB21" s="9"/>
    </row>
    <row r="22" ht="28.5" customHeight="1">
      <c r="A22" s="47">
        <v>1.0</v>
      </c>
      <c r="B22" s="48" t="s">
        <v>37</v>
      </c>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6"/>
      <c r="AK22" s="49"/>
      <c r="AL22" s="5"/>
      <c r="AM22" s="5"/>
      <c r="AN22" s="6"/>
      <c r="AO22" s="9"/>
      <c r="AP22" s="9"/>
      <c r="AQ22" s="9"/>
      <c r="AR22" s="9"/>
      <c r="AS22" s="9"/>
      <c r="AT22" s="9"/>
      <c r="AU22" s="9"/>
      <c r="AV22" s="9"/>
      <c r="AW22" s="9"/>
      <c r="AX22" s="9"/>
      <c r="AY22" s="9"/>
      <c r="AZ22" s="9"/>
      <c r="BA22" s="9"/>
      <c r="BB22" s="9"/>
    </row>
    <row r="23" ht="28.5" customHeight="1">
      <c r="A23" s="50">
        <v>2.0</v>
      </c>
      <c r="B23" s="48" t="s">
        <v>39</v>
      </c>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6"/>
      <c r="AK23" s="49"/>
      <c r="AL23" s="5"/>
      <c r="AM23" s="5"/>
      <c r="AN23" s="6"/>
      <c r="AO23" s="9"/>
      <c r="AP23" s="9"/>
      <c r="AQ23" s="9"/>
      <c r="AR23" s="9"/>
      <c r="AS23" s="9"/>
      <c r="AT23" s="9"/>
      <c r="AU23" s="9"/>
      <c r="AV23" s="9"/>
      <c r="AW23" s="9"/>
      <c r="AX23" s="9"/>
      <c r="AY23" s="9"/>
      <c r="AZ23" s="9"/>
      <c r="BA23" s="9"/>
      <c r="BB23" s="9"/>
    </row>
    <row r="24" ht="28.5" customHeight="1">
      <c r="A24" s="50">
        <v>3.0</v>
      </c>
      <c r="B24" s="48" t="s">
        <v>40</v>
      </c>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6"/>
      <c r="AK24" s="49"/>
      <c r="AL24" s="5"/>
      <c r="AM24" s="5"/>
      <c r="AN24" s="6"/>
      <c r="AO24" s="9"/>
      <c r="AP24" s="9"/>
      <c r="AQ24" s="9"/>
      <c r="AR24" s="9"/>
      <c r="AS24" s="9"/>
      <c r="AT24" s="9"/>
      <c r="AU24" s="9"/>
      <c r="AV24" s="9"/>
      <c r="AW24" s="9"/>
      <c r="AX24" s="9"/>
      <c r="AY24" s="9"/>
      <c r="AZ24" s="9"/>
      <c r="BA24" s="9"/>
      <c r="BB24" s="9"/>
    </row>
    <row r="25" ht="28.5" customHeight="1">
      <c r="A25" s="50">
        <v>4.0</v>
      </c>
      <c r="B25" s="48" t="s">
        <v>41</v>
      </c>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6"/>
      <c r="AK25" s="49"/>
      <c r="AL25" s="5"/>
      <c r="AM25" s="5"/>
      <c r="AN25" s="6"/>
      <c r="AO25" s="9"/>
      <c r="AP25" s="9"/>
      <c r="AQ25" s="9"/>
      <c r="AR25" s="9"/>
      <c r="AS25" s="9"/>
      <c r="AT25" s="9"/>
      <c r="AU25" s="9"/>
      <c r="AV25" s="9"/>
      <c r="AW25" s="9"/>
      <c r="AX25" s="9"/>
      <c r="AY25" s="9"/>
      <c r="AZ25" s="9"/>
      <c r="BA25" s="9"/>
      <c r="BB25" s="9"/>
    </row>
    <row r="26" ht="28.5" customHeight="1">
      <c r="A26" s="50">
        <v>5.0</v>
      </c>
      <c r="B26" s="48" t="s">
        <v>42</v>
      </c>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6"/>
      <c r="AK26" s="49"/>
      <c r="AL26" s="5"/>
      <c r="AM26" s="5"/>
      <c r="AN26" s="6"/>
      <c r="AO26" s="9"/>
      <c r="AP26" s="9"/>
      <c r="AQ26" s="9"/>
      <c r="AR26" s="9"/>
      <c r="AS26" s="9"/>
      <c r="AT26" s="9"/>
      <c r="AU26" s="9"/>
      <c r="AV26" s="9"/>
      <c r="AW26" s="9"/>
      <c r="AX26" s="9"/>
      <c r="AY26" s="9"/>
      <c r="AZ26" s="9"/>
      <c r="BA26" s="9"/>
      <c r="BB26" s="9"/>
    </row>
    <row r="27" ht="28.5" customHeight="1">
      <c r="A27" s="50">
        <v>6.0</v>
      </c>
      <c r="B27" s="48" t="s">
        <v>43</v>
      </c>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6"/>
      <c r="AK27" s="49"/>
      <c r="AL27" s="5"/>
      <c r="AM27" s="5"/>
      <c r="AN27" s="6"/>
      <c r="AO27" s="9"/>
      <c r="AP27" s="9"/>
      <c r="AQ27" s="9"/>
      <c r="AR27" s="9"/>
      <c r="AS27" s="9"/>
      <c r="AT27" s="9"/>
      <c r="AU27" s="9"/>
      <c r="AV27" s="9"/>
      <c r="AW27" s="9"/>
      <c r="AX27" s="9"/>
      <c r="AY27" s="9"/>
      <c r="AZ27" s="9"/>
      <c r="BA27" s="9"/>
      <c r="BB27" s="9"/>
    </row>
    <row r="28" ht="28.5" customHeight="1">
      <c r="A28" s="50">
        <v>7.0</v>
      </c>
      <c r="B28" s="48" t="s">
        <v>44</v>
      </c>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6"/>
      <c r="AK28" s="49"/>
      <c r="AL28" s="5"/>
      <c r="AM28" s="5"/>
      <c r="AN28" s="6"/>
      <c r="AO28" s="9"/>
      <c r="AP28" s="9"/>
      <c r="AQ28" s="9"/>
      <c r="AR28" s="9"/>
      <c r="AS28" s="9"/>
      <c r="AT28" s="9"/>
      <c r="AU28" s="9"/>
      <c r="AV28" s="9"/>
      <c r="AW28" s="9"/>
      <c r="AX28" s="9"/>
      <c r="AY28" s="9"/>
      <c r="AZ28" s="9"/>
      <c r="BA28" s="9"/>
      <c r="BB28" s="9"/>
    </row>
    <row r="29" ht="28.5" customHeight="1">
      <c r="A29" s="50">
        <v>8.0</v>
      </c>
      <c r="B29" s="48" t="s">
        <v>45</v>
      </c>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6"/>
      <c r="AK29" s="49"/>
      <c r="AL29" s="5"/>
      <c r="AM29" s="5"/>
      <c r="AN29" s="6"/>
      <c r="AO29" s="9"/>
      <c r="AP29" s="9"/>
      <c r="AQ29" s="9"/>
      <c r="AR29" s="9"/>
      <c r="AS29" s="9"/>
      <c r="AT29" s="9"/>
      <c r="AU29" s="9"/>
      <c r="AV29" s="9"/>
      <c r="AW29" s="9"/>
      <c r="AX29" s="9"/>
      <c r="AY29" s="9"/>
      <c r="AZ29" s="9"/>
      <c r="BA29" s="9"/>
      <c r="BB29" s="9"/>
    </row>
    <row r="30" ht="28.5" customHeight="1">
      <c r="A30" s="50">
        <v>9.0</v>
      </c>
      <c r="B30" s="48" t="s">
        <v>46</v>
      </c>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6"/>
      <c r="AK30" s="49"/>
      <c r="AL30" s="5"/>
      <c r="AM30" s="5"/>
      <c r="AN30" s="6"/>
      <c r="AO30" s="9"/>
      <c r="AP30" s="9"/>
      <c r="AQ30" s="9"/>
      <c r="AR30" s="9"/>
      <c r="AS30" s="9"/>
      <c r="AT30" s="9"/>
      <c r="AU30" s="9"/>
      <c r="AV30" s="9"/>
      <c r="AW30" s="9"/>
      <c r="AX30" s="9"/>
      <c r="AY30" s="9"/>
      <c r="AZ30" s="9"/>
      <c r="BA30" s="9"/>
      <c r="BB30" s="9"/>
    </row>
    <row r="31" ht="28.5" customHeight="1">
      <c r="A31" s="50">
        <v>10.0</v>
      </c>
      <c r="B31" s="48" t="s">
        <v>47</v>
      </c>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6"/>
      <c r="AK31" s="49"/>
      <c r="AL31" s="5"/>
      <c r="AM31" s="5"/>
      <c r="AN31" s="6"/>
      <c r="AO31" s="9"/>
      <c r="AP31" s="9"/>
      <c r="AQ31" s="9"/>
      <c r="AR31" s="9"/>
      <c r="AS31" s="9"/>
      <c r="AT31" s="9"/>
      <c r="AU31" s="9"/>
      <c r="AV31" s="9"/>
      <c r="AW31" s="9"/>
      <c r="AX31" s="9"/>
      <c r="AY31" s="9"/>
      <c r="AZ31" s="9"/>
      <c r="BA31" s="9"/>
      <c r="BB31" s="9"/>
    </row>
    <row r="32" ht="29.25" customHeight="1">
      <c r="A32" s="50">
        <v>11.0</v>
      </c>
      <c r="B32" s="48" t="s">
        <v>48</v>
      </c>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6"/>
      <c r="AK32" s="49"/>
      <c r="AL32" s="5"/>
      <c r="AM32" s="5"/>
      <c r="AN32" s="6"/>
      <c r="AO32" s="9"/>
      <c r="AP32" s="9"/>
      <c r="AQ32" s="9"/>
      <c r="AR32" s="9"/>
      <c r="AS32" s="9"/>
      <c r="AT32" s="9"/>
      <c r="AU32" s="9"/>
      <c r="AV32" s="9"/>
      <c r="AW32" s="9"/>
      <c r="AX32" s="9"/>
      <c r="AY32" s="9"/>
      <c r="AZ32" s="9"/>
      <c r="BA32" s="9"/>
      <c r="BB32" s="9"/>
    </row>
    <row r="33" ht="29.25" customHeight="1">
      <c r="A33" s="51">
        <v>12.0</v>
      </c>
      <c r="B33" s="52" t="s">
        <v>49</v>
      </c>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3"/>
      <c r="AK33" s="41"/>
      <c r="AL33" s="2"/>
      <c r="AM33" s="2"/>
      <c r="AN33" s="3"/>
      <c r="AO33" s="9"/>
      <c r="AP33" s="9"/>
      <c r="AQ33" s="9"/>
      <c r="AR33" s="9"/>
      <c r="AS33" s="9"/>
      <c r="AT33" s="9"/>
      <c r="AU33" s="9"/>
      <c r="AV33" s="9"/>
      <c r="AW33" s="9"/>
      <c r="AX33" s="9"/>
      <c r="AY33" s="9"/>
      <c r="AZ33" s="9"/>
      <c r="BA33" s="9"/>
      <c r="BB33" s="9"/>
    </row>
    <row r="34" ht="29.25" customHeight="1">
      <c r="A34" s="51">
        <v>13.0</v>
      </c>
      <c r="B34" s="52" t="s">
        <v>50</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3"/>
      <c r="AK34" s="41"/>
      <c r="AL34" s="2"/>
      <c r="AM34" s="2"/>
      <c r="AN34" s="3"/>
      <c r="AO34" s="9"/>
      <c r="AP34" s="9"/>
      <c r="AQ34" s="9"/>
      <c r="AR34" s="9"/>
      <c r="AS34" s="9"/>
      <c r="AT34" s="9"/>
      <c r="AU34" s="9"/>
      <c r="AV34" s="9"/>
      <c r="AW34" s="9"/>
      <c r="AX34" s="9"/>
      <c r="AY34" s="9"/>
      <c r="AZ34" s="9"/>
      <c r="BA34" s="9"/>
      <c r="BB34" s="9"/>
    </row>
    <row r="35" ht="29.25" customHeight="1">
      <c r="A35" s="51">
        <v>14.0</v>
      </c>
      <c r="B35" s="52" t="s">
        <v>51</v>
      </c>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3"/>
      <c r="AK35" s="41"/>
      <c r="AL35" s="2"/>
      <c r="AM35" s="2"/>
      <c r="AN35" s="3"/>
      <c r="AO35" s="9"/>
      <c r="AP35" s="9"/>
      <c r="AQ35" s="9"/>
      <c r="AR35" s="9"/>
      <c r="AS35" s="9"/>
      <c r="AT35" s="9"/>
      <c r="AU35" s="9"/>
      <c r="AV35" s="9"/>
      <c r="AW35" s="9"/>
      <c r="AX35" s="9"/>
      <c r="AY35" s="9"/>
      <c r="AZ35" s="9"/>
      <c r="BA35" s="9"/>
      <c r="BB35" s="9"/>
    </row>
    <row r="36" ht="29.25" customHeight="1">
      <c r="A36" s="51">
        <v>15.0</v>
      </c>
      <c r="B36" s="52" t="s">
        <v>52</v>
      </c>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3"/>
      <c r="AK36" s="41"/>
      <c r="AL36" s="2"/>
      <c r="AM36" s="2"/>
      <c r="AN36" s="3"/>
      <c r="AO36" s="9"/>
      <c r="AP36" s="9"/>
      <c r="AQ36" s="9"/>
      <c r="AR36" s="9"/>
      <c r="AS36" s="9"/>
      <c r="AT36" s="9"/>
      <c r="AU36" s="9"/>
      <c r="AV36" s="9"/>
      <c r="AW36" s="9"/>
      <c r="AX36" s="9"/>
      <c r="AY36" s="9"/>
      <c r="AZ36" s="9"/>
      <c r="BA36" s="9"/>
      <c r="BB36" s="9"/>
    </row>
    <row r="37" ht="15.0" customHeight="1">
      <c r="A37" s="80" t="s">
        <v>53</v>
      </c>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6"/>
      <c r="AO37" s="9"/>
      <c r="AP37" s="9"/>
      <c r="AQ37" s="9"/>
      <c r="AR37" s="9"/>
      <c r="AS37" s="9"/>
      <c r="AT37" s="9"/>
      <c r="AU37" s="9"/>
      <c r="AV37" s="9"/>
      <c r="AW37" s="9"/>
      <c r="AX37" s="9"/>
      <c r="AY37" s="9"/>
      <c r="AZ37" s="9"/>
      <c r="BA37" s="9"/>
      <c r="BB37" s="9"/>
    </row>
    <row r="38" ht="12.75" customHeight="1">
      <c r="A38" s="53" t="s">
        <v>54</v>
      </c>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6"/>
      <c r="AO38" s="9"/>
      <c r="AP38" s="9"/>
      <c r="AQ38" s="9"/>
      <c r="AR38" s="9"/>
      <c r="AS38" s="9"/>
      <c r="AT38" s="9"/>
      <c r="AU38" s="9"/>
      <c r="AV38" s="9"/>
      <c r="AW38" s="9"/>
      <c r="AX38" s="9"/>
      <c r="AY38" s="9"/>
      <c r="AZ38" s="9"/>
      <c r="BA38" s="9"/>
      <c r="BB38" s="9"/>
    </row>
    <row r="39" ht="12.75" customHeight="1">
      <c r="A39" s="49"/>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6"/>
      <c r="AO39" s="9"/>
      <c r="AP39" s="9"/>
      <c r="AQ39" s="9"/>
      <c r="AR39" s="9"/>
      <c r="AS39" s="9"/>
      <c r="AT39" s="9"/>
      <c r="AU39" s="9"/>
      <c r="AV39" s="9"/>
      <c r="AW39" s="9"/>
      <c r="AX39" s="9"/>
      <c r="AY39" s="9"/>
      <c r="AZ39" s="9"/>
      <c r="BA39" s="9"/>
      <c r="BB39" s="9"/>
    </row>
    <row r="40" ht="12.75" customHeight="1">
      <c r="A40" s="49"/>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6"/>
      <c r="AO40" s="9"/>
      <c r="AP40" s="9"/>
      <c r="AQ40" s="9"/>
      <c r="AR40" s="9"/>
      <c r="AS40" s="9"/>
      <c r="AT40" s="9"/>
      <c r="AU40" s="9"/>
      <c r="AV40" s="9"/>
      <c r="AW40" s="9"/>
      <c r="AX40" s="9"/>
      <c r="AY40" s="9"/>
      <c r="AZ40" s="9"/>
      <c r="BA40" s="9"/>
      <c r="BB40" s="9"/>
    </row>
    <row r="41" ht="12.75" customHeight="1">
      <c r="A41" s="49"/>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6"/>
      <c r="AO41" s="9"/>
      <c r="AP41" s="9"/>
      <c r="AQ41" s="9"/>
      <c r="AR41" s="9"/>
      <c r="AS41" s="9"/>
      <c r="AT41" s="9"/>
      <c r="AU41" s="9"/>
      <c r="AV41" s="9"/>
      <c r="AW41" s="9"/>
      <c r="AX41" s="9"/>
      <c r="AY41" s="9"/>
      <c r="AZ41" s="9"/>
      <c r="BA41" s="9"/>
      <c r="BB41" s="9"/>
    </row>
    <row r="42" ht="12.75" customHeight="1">
      <c r="A42" s="49"/>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6"/>
      <c r="AO42" s="9"/>
      <c r="AP42" s="9"/>
      <c r="AQ42" s="9"/>
      <c r="AR42" s="9"/>
      <c r="AS42" s="9"/>
      <c r="AT42" s="9"/>
      <c r="AU42" s="9"/>
      <c r="AV42" s="9"/>
      <c r="AW42" s="9"/>
      <c r="AX42" s="9"/>
      <c r="AY42" s="9"/>
      <c r="AZ42" s="9"/>
      <c r="BA42" s="9"/>
      <c r="BB42" s="9"/>
    </row>
    <row r="43" ht="12.75" customHeight="1">
      <c r="A43" s="49"/>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6"/>
      <c r="AO43" s="9"/>
      <c r="AP43" s="9"/>
      <c r="AQ43" s="9"/>
      <c r="AR43" s="9"/>
      <c r="AS43" s="9"/>
      <c r="AT43" s="9"/>
      <c r="AU43" s="9"/>
      <c r="AV43" s="9"/>
      <c r="AW43" s="9"/>
      <c r="AX43" s="9"/>
      <c r="AY43" s="9"/>
      <c r="AZ43" s="9"/>
      <c r="BA43" s="9"/>
      <c r="BB43" s="9"/>
    </row>
    <row r="44" ht="12.75" customHeight="1">
      <c r="A44" s="49"/>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6"/>
      <c r="AO44" s="9"/>
      <c r="AP44" s="9"/>
      <c r="AQ44" s="9"/>
      <c r="AR44" s="9"/>
      <c r="AS44" s="9"/>
      <c r="AT44" s="9"/>
      <c r="AU44" s="9"/>
      <c r="AV44" s="9"/>
      <c r="AW44" s="9"/>
      <c r="AX44" s="9"/>
      <c r="AY44" s="9"/>
      <c r="AZ44" s="9"/>
      <c r="BA44" s="9"/>
      <c r="BB44" s="9"/>
    </row>
    <row r="45" ht="12.75" customHeight="1">
      <c r="A45" s="49"/>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6"/>
      <c r="AO45" s="9"/>
      <c r="AP45" s="9"/>
      <c r="AQ45" s="9"/>
      <c r="AR45" s="9"/>
      <c r="AS45" s="9"/>
      <c r="AT45" s="9"/>
      <c r="AU45" s="9"/>
      <c r="AV45" s="9"/>
      <c r="AW45" s="9"/>
      <c r="AX45" s="9"/>
      <c r="AY45" s="9"/>
      <c r="AZ45" s="9"/>
      <c r="BA45" s="9"/>
      <c r="BB45" s="9"/>
    </row>
    <row r="46" ht="4.5" customHeight="1">
      <c r="A46" s="54"/>
      <c r="B46" s="55"/>
      <c r="C46" s="55"/>
      <c r="D46" s="55"/>
      <c r="E46" s="55"/>
      <c r="F46" s="55"/>
      <c r="G46" s="55"/>
      <c r="H46" s="55"/>
      <c r="I46" s="55"/>
      <c r="J46" s="55"/>
      <c r="K46" s="55"/>
      <c r="L46" s="55"/>
      <c r="M46" s="55"/>
      <c r="N46" s="55"/>
      <c r="O46" s="55"/>
      <c r="P46" s="55"/>
      <c r="Q46" s="55"/>
      <c r="R46" s="55"/>
      <c r="S46" s="55"/>
      <c r="T46" s="55"/>
      <c r="U46" s="55"/>
      <c r="V46" s="55"/>
      <c r="W46" s="55"/>
      <c r="X46" s="55"/>
      <c r="Y46" s="55"/>
      <c r="Z46" s="55"/>
      <c r="AA46" s="55"/>
      <c r="AB46" s="55"/>
      <c r="AC46" s="55"/>
      <c r="AD46" s="55"/>
      <c r="AE46" s="55"/>
      <c r="AF46" s="55"/>
      <c r="AG46" s="55"/>
      <c r="AH46" s="55"/>
      <c r="AI46" s="55"/>
      <c r="AJ46" s="55"/>
      <c r="AK46" s="55"/>
      <c r="AL46" s="55"/>
      <c r="AM46" s="55"/>
      <c r="AN46" s="56"/>
      <c r="AO46" s="30"/>
      <c r="AP46" s="30"/>
      <c r="AQ46" s="30"/>
      <c r="AR46" s="30"/>
      <c r="AS46" s="30"/>
      <c r="AT46" s="30"/>
      <c r="AU46" s="30"/>
      <c r="AV46" s="30"/>
      <c r="AW46" s="30"/>
      <c r="AX46" s="30"/>
      <c r="AY46" s="30"/>
      <c r="AZ46" s="30"/>
      <c r="BA46" s="30"/>
      <c r="BB46" s="30"/>
    </row>
    <row r="47" ht="15.0" customHeight="1">
      <c r="A47" s="54"/>
      <c r="B47" s="55"/>
      <c r="C47" s="57"/>
      <c r="D47" s="57"/>
      <c r="E47" s="57"/>
      <c r="F47" s="57"/>
      <c r="G47" s="57"/>
      <c r="H47" s="57"/>
      <c r="I47" s="57"/>
      <c r="J47" s="57"/>
      <c r="K47" s="57"/>
      <c r="L47" s="57"/>
      <c r="M47" s="57"/>
      <c r="N47" s="57"/>
      <c r="O47" s="81" t="s">
        <v>55</v>
      </c>
      <c r="P47" s="5"/>
      <c r="Q47" s="5"/>
      <c r="R47" s="5"/>
      <c r="S47" s="5"/>
      <c r="T47" s="5"/>
      <c r="U47" s="5"/>
      <c r="V47" s="5"/>
      <c r="W47" s="5"/>
      <c r="X47" s="5"/>
      <c r="Y47" s="5"/>
      <c r="Z47" s="6"/>
      <c r="AA47" s="81" t="s">
        <v>55</v>
      </c>
      <c r="AB47" s="5"/>
      <c r="AC47" s="5"/>
      <c r="AD47" s="5"/>
      <c r="AE47" s="5"/>
      <c r="AF47" s="5"/>
      <c r="AG47" s="5"/>
      <c r="AH47" s="5"/>
      <c r="AI47" s="5"/>
      <c r="AJ47" s="5"/>
      <c r="AK47" s="5"/>
      <c r="AL47" s="6"/>
      <c r="AM47" s="55"/>
      <c r="AN47" s="56"/>
      <c r="AO47" s="30"/>
      <c r="AP47" s="30"/>
      <c r="AQ47" s="30"/>
      <c r="AR47" s="30"/>
      <c r="AS47" s="30"/>
      <c r="AT47" s="30"/>
      <c r="AU47" s="30"/>
      <c r="AV47" s="30"/>
      <c r="AW47" s="30"/>
      <c r="AX47" s="30"/>
      <c r="AY47" s="30"/>
      <c r="AZ47" s="30"/>
      <c r="BA47" s="30"/>
      <c r="BB47" s="30"/>
    </row>
    <row r="48" ht="12.75" customHeight="1">
      <c r="A48" s="54"/>
      <c r="B48" s="55"/>
      <c r="C48" s="59"/>
      <c r="D48" s="59"/>
      <c r="E48" s="59"/>
      <c r="F48" s="59"/>
      <c r="G48" s="59"/>
      <c r="H48" s="59"/>
      <c r="I48" s="59"/>
      <c r="J48" s="59"/>
      <c r="K48" s="59"/>
      <c r="L48" s="59"/>
      <c r="M48" s="59"/>
      <c r="N48" s="59"/>
      <c r="O48" s="60"/>
      <c r="P48" s="2"/>
      <c r="Q48" s="2"/>
      <c r="R48" s="2"/>
      <c r="S48" s="2"/>
      <c r="T48" s="2"/>
      <c r="U48" s="2"/>
      <c r="V48" s="2"/>
      <c r="W48" s="2"/>
      <c r="X48" s="2"/>
      <c r="Y48" s="2"/>
      <c r="Z48" s="3"/>
      <c r="AA48" s="60"/>
      <c r="AB48" s="2"/>
      <c r="AC48" s="2"/>
      <c r="AD48" s="2"/>
      <c r="AE48" s="2"/>
      <c r="AF48" s="2"/>
      <c r="AG48" s="2"/>
      <c r="AH48" s="2"/>
      <c r="AI48" s="2"/>
      <c r="AJ48" s="2"/>
      <c r="AK48" s="2"/>
      <c r="AL48" s="3"/>
      <c r="AM48" s="55"/>
      <c r="AN48" s="56"/>
      <c r="AO48" s="30"/>
      <c r="AP48" s="30"/>
      <c r="AQ48" s="30"/>
      <c r="AR48" s="30"/>
      <c r="AS48" s="30"/>
      <c r="AT48" s="30"/>
      <c r="AU48" s="30"/>
      <c r="AV48" s="30"/>
      <c r="AW48" s="30"/>
      <c r="AX48" s="30"/>
      <c r="AY48" s="30"/>
      <c r="AZ48" s="30"/>
      <c r="BA48" s="30"/>
      <c r="BB48" s="30"/>
    </row>
    <row r="49" ht="25.5" customHeight="1">
      <c r="A49" s="54"/>
      <c r="B49" s="55"/>
      <c r="C49" s="59"/>
      <c r="D49" s="59"/>
      <c r="E49" s="59"/>
      <c r="F49" s="59"/>
      <c r="G49" s="59"/>
      <c r="H49" s="59"/>
      <c r="I49" s="59"/>
      <c r="J49" s="59"/>
      <c r="K49" s="59"/>
      <c r="L49" s="59"/>
      <c r="M49" s="59"/>
      <c r="N49" s="59"/>
      <c r="O49" s="14"/>
      <c r="P49" s="15"/>
      <c r="Q49" s="15"/>
      <c r="R49" s="15"/>
      <c r="S49" s="15"/>
      <c r="T49" s="15"/>
      <c r="U49" s="15"/>
      <c r="V49" s="15"/>
      <c r="W49" s="15"/>
      <c r="X49" s="15"/>
      <c r="Y49" s="15"/>
      <c r="Z49" s="16"/>
      <c r="AA49" s="14"/>
      <c r="AB49" s="15"/>
      <c r="AC49" s="15"/>
      <c r="AD49" s="15"/>
      <c r="AE49" s="15"/>
      <c r="AF49" s="15"/>
      <c r="AG49" s="15"/>
      <c r="AH49" s="15"/>
      <c r="AI49" s="15"/>
      <c r="AJ49" s="15"/>
      <c r="AK49" s="15"/>
      <c r="AL49" s="16"/>
      <c r="AM49" s="55"/>
      <c r="AN49" s="56"/>
      <c r="AO49" s="30"/>
      <c r="AP49" s="30"/>
      <c r="AQ49" s="30"/>
      <c r="AR49" s="30"/>
      <c r="AS49" s="30"/>
      <c r="AT49" s="30"/>
      <c r="AU49" s="30"/>
      <c r="AV49" s="30"/>
      <c r="AW49" s="30"/>
      <c r="AX49" s="30"/>
      <c r="AY49" s="30"/>
      <c r="AZ49" s="30"/>
      <c r="BA49" s="30"/>
      <c r="BB49" s="30"/>
    </row>
    <row r="50" ht="14.25" customHeight="1">
      <c r="A50" s="54"/>
      <c r="B50" s="55"/>
      <c r="C50" s="59"/>
      <c r="D50" s="59"/>
      <c r="E50" s="59"/>
      <c r="F50" s="59"/>
      <c r="G50" s="59"/>
      <c r="H50" s="59"/>
      <c r="I50" s="59"/>
      <c r="J50" s="59"/>
      <c r="K50" s="59"/>
      <c r="L50" s="59"/>
      <c r="M50" s="59"/>
      <c r="N50" s="59"/>
      <c r="O50" s="18" t="s">
        <v>63</v>
      </c>
      <c r="P50" s="5"/>
      <c r="Q50" s="5"/>
      <c r="R50" s="5"/>
      <c r="S50" s="5"/>
      <c r="T50" s="5"/>
      <c r="U50" s="5"/>
      <c r="V50" s="5"/>
      <c r="W50" s="5"/>
      <c r="X50" s="5"/>
      <c r="Y50" s="5"/>
      <c r="Z50" s="6"/>
      <c r="AA50" s="18" t="s">
        <v>63</v>
      </c>
      <c r="AB50" s="5"/>
      <c r="AC50" s="5"/>
      <c r="AD50" s="5"/>
      <c r="AE50" s="5"/>
      <c r="AF50" s="5"/>
      <c r="AG50" s="5"/>
      <c r="AH50" s="5"/>
      <c r="AI50" s="5"/>
      <c r="AJ50" s="5"/>
      <c r="AK50" s="5"/>
      <c r="AL50" s="6"/>
      <c r="AM50" s="55"/>
      <c r="AN50" s="56"/>
      <c r="AO50" s="30"/>
      <c r="AP50" s="30"/>
      <c r="AQ50" s="30"/>
      <c r="AR50" s="30"/>
      <c r="AS50" s="30"/>
      <c r="AT50" s="30"/>
      <c r="AU50" s="30"/>
      <c r="AV50" s="30"/>
      <c r="AW50" s="30"/>
      <c r="AX50" s="30"/>
      <c r="AY50" s="30"/>
      <c r="AZ50" s="30"/>
      <c r="BA50" s="30"/>
      <c r="BB50" s="30"/>
    </row>
    <row r="51" ht="14.25" customHeight="1">
      <c r="A51" s="54"/>
      <c r="B51" s="55"/>
      <c r="C51" s="59"/>
      <c r="D51" s="59"/>
      <c r="E51" s="59"/>
      <c r="F51" s="59"/>
      <c r="G51" s="59"/>
      <c r="H51" s="59"/>
      <c r="I51" s="59"/>
      <c r="J51" s="59"/>
      <c r="K51" s="59"/>
      <c r="L51" s="59"/>
      <c r="M51" s="59"/>
      <c r="N51" s="59"/>
      <c r="O51" s="18" t="s">
        <v>58</v>
      </c>
      <c r="P51" s="5"/>
      <c r="Q51" s="5"/>
      <c r="R51" s="5"/>
      <c r="S51" s="5"/>
      <c r="T51" s="5"/>
      <c r="U51" s="5"/>
      <c r="V51" s="5"/>
      <c r="W51" s="5"/>
      <c r="X51" s="5"/>
      <c r="Y51" s="5"/>
      <c r="Z51" s="6"/>
      <c r="AA51" s="18" t="s">
        <v>58</v>
      </c>
      <c r="AB51" s="5"/>
      <c r="AC51" s="5"/>
      <c r="AD51" s="5"/>
      <c r="AE51" s="5"/>
      <c r="AF51" s="5"/>
      <c r="AG51" s="5"/>
      <c r="AH51" s="5"/>
      <c r="AI51" s="5"/>
      <c r="AJ51" s="5"/>
      <c r="AK51" s="5"/>
      <c r="AL51" s="6"/>
      <c r="AM51" s="55"/>
      <c r="AN51" s="56"/>
      <c r="AO51" s="30"/>
      <c r="AP51" s="30"/>
      <c r="AQ51" s="30"/>
      <c r="AR51" s="30"/>
      <c r="AS51" s="30"/>
      <c r="AT51" s="30"/>
      <c r="AU51" s="30"/>
      <c r="AV51" s="30"/>
      <c r="AW51" s="30"/>
      <c r="AX51" s="30"/>
      <c r="AY51" s="30"/>
      <c r="AZ51" s="30"/>
      <c r="BA51" s="30"/>
      <c r="BB51" s="30"/>
    </row>
    <row r="52" ht="14.25" customHeight="1">
      <c r="A52" s="54"/>
      <c r="B52" s="55"/>
      <c r="C52" s="59"/>
      <c r="D52" s="59"/>
      <c r="E52" s="59"/>
      <c r="F52" s="59"/>
      <c r="G52" s="59"/>
      <c r="H52" s="59"/>
      <c r="I52" s="59"/>
      <c r="J52" s="59"/>
      <c r="K52" s="59"/>
      <c r="L52" s="59"/>
      <c r="M52" s="59"/>
      <c r="N52" s="59"/>
      <c r="O52" s="18" t="s">
        <v>64</v>
      </c>
      <c r="P52" s="5"/>
      <c r="Q52" s="5"/>
      <c r="R52" s="5"/>
      <c r="S52" s="5"/>
      <c r="T52" s="5"/>
      <c r="U52" s="5"/>
      <c r="V52" s="5"/>
      <c r="W52" s="5"/>
      <c r="X52" s="5"/>
      <c r="Y52" s="5"/>
      <c r="Z52" s="6"/>
      <c r="AA52" s="18" t="s">
        <v>64</v>
      </c>
      <c r="AB52" s="5"/>
      <c r="AC52" s="5"/>
      <c r="AD52" s="5"/>
      <c r="AE52" s="5"/>
      <c r="AF52" s="5"/>
      <c r="AG52" s="5"/>
      <c r="AH52" s="5"/>
      <c r="AI52" s="5"/>
      <c r="AJ52" s="5"/>
      <c r="AK52" s="5"/>
      <c r="AL52" s="6"/>
      <c r="AM52" s="55"/>
      <c r="AN52" s="56"/>
      <c r="AO52" s="30"/>
      <c r="AP52" s="30"/>
      <c r="AQ52" s="30"/>
      <c r="AR52" s="30"/>
      <c r="AS52" s="30"/>
      <c r="AT52" s="30"/>
      <c r="AU52" s="30"/>
      <c r="AV52" s="30"/>
      <c r="AW52" s="30"/>
      <c r="AX52" s="30"/>
      <c r="AY52" s="30"/>
      <c r="AZ52" s="30"/>
      <c r="BA52" s="30"/>
      <c r="BB52" s="30"/>
    </row>
    <row r="53" ht="4.5" customHeight="1">
      <c r="A53" s="61"/>
      <c r="B53" s="62"/>
      <c r="C53" s="62"/>
      <c r="D53" s="62"/>
      <c r="E53" s="62"/>
      <c r="F53" s="62"/>
      <c r="G53" s="62"/>
      <c r="H53" s="62"/>
      <c r="I53" s="62"/>
      <c r="J53" s="62"/>
      <c r="K53" s="62"/>
      <c r="L53" s="62"/>
      <c r="M53" s="62"/>
      <c r="N53" s="62"/>
      <c r="O53" s="62"/>
      <c r="P53" s="62"/>
      <c r="Q53" s="62"/>
      <c r="R53" s="62"/>
      <c r="S53" s="62"/>
      <c r="T53" s="62"/>
      <c r="U53" s="62"/>
      <c r="V53" s="62"/>
      <c r="W53" s="62"/>
      <c r="X53" s="62"/>
      <c r="Y53" s="62"/>
      <c r="Z53" s="62"/>
      <c r="AA53" s="62"/>
      <c r="AB53" s="62"/>
      <c r="AC53" s="62"/>
      <c r="AD53" s="62"/>
      <c r="AE53" s="62"/>
      <c r="AF53" s="62"/>
      <c r="AG53" s="62"/>
      <c r="AH53" s="62"/>
      <c r="AI53" s="62"/>
      <c r="AJ53" s="62"/>
      <c r="AK53" s="62"/>
      <c r="AL53" s="62"/>
      <c r="AM53" s="62"/>
      <c r="AN53" s="63"/>
      <c r="AO53" s="30"/>
      <c r="AP53" s="30"/>
      <c r="AQ53" s="30"/>
      <c r="AR53" s="30"/>
      <c r="AS53" s="30"/>
      <c r="AT53" s="30"/>
      <c r="AU53" s="30"/>
      <c r="AV53" s="30"/>
      <c r="AW53" s="30"/>
      <c r="AX53" s="30"/>
      <c r="AY53" s="30"/>
      <c r="AZ53" s="30"/>
      <c r="BA53" s="30"/>
      <c r="BB53" s="30"/>
    </row>
    <row r="54" ht="12.75" customHeight="1">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row>
    <row r="55" ht="12.75" customHeight="1">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row>
    <row r="56" ht="12.75" customHeight="1">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row>
    <row r="57" ht="12.75" customHeight="1">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row>
    <row r="58" ht="12.75" customHeight="1">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row>
    <row r="59" ht="12.75" customHeight="1">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row>
    <row r="60" ht="12.75" customHeight="1">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row>
    <row r="61" ht="12.75" customHeight="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row>
    <row r="62" ht="12.75" customHeight="1">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row>
    <row r="63" ht="12.75" customHeight="1">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row>
    <row r="64" ht="12.75" customHeight="1">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row>
    <row r="65" ht="12.75" customHeight="1">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row>
    <row r="66" ht="12.75" customHeight="1">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row>
    <row r="67" ht="12.75" customHeight="1">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row>
    <row r="68" ht="12.75" customHeight="1">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row>
    <row r="69" ht="12.75" customHeight="1">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row>
    <row r="70" ht="12.75" customHeight="1">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row>
    <row r="71" ht="12.75" customHeight="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row>
    <row r="72" ht="12.75" customHeight="1">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row>
    <row r="73" ht="12.75" customHeight="1">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row>
    <row r="74" ht="12.75" customHeight="1">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row>
    <row r="75" ht="12.75" customHeight="1">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row>
    <row r="76" ht="12.75" customHeight="1">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row>
    <row r="77" ht="12.75" customHeight="1">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row>
    <row r="78" ht="12.75" customHeight="1">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row>
    <row r="79" ht="12.75" customHeight="1">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row>
    <row r="80" ht="12.75" customHeight="1">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row>
    <row r="81" ht="12.75" customHeight="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row>
    <row r="82" ht="12.75" customHeight="1">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row>
    <row r="83" ht="12.75" customHeight="1">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row>
    <row r="84" ht="12.75" customHeight="1">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row>
    <row r="85" ht="12.75" customHeight="1">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row>
    <row r="86" ht="12.75" customHeight="1">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row>
    <row r="87" ht="12.75" customHeight="1">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row>
    <row r="88" ht="12.75" customHeight="1">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row>
    <row r="89" ht="12.75" customHeight="1">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row>
    <row r="90" ht="12.75" customHeight="1">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row>
    <row r="91" ht="12.75" customHeight="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row>
    <row r="92" ht="12.75" customHeight="1">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row>
    <row r="93" ht="12.75" customHeight="1">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row>
    <row r="94" ht="12.75" customHeight="1">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row>
    <row r="95" ht="12.75" customHeight="1">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row>
    <row r="96" ht="12.75" customHeight="1">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row>
    <row r="97" ht="12.75" customHeight="1">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row>
    <row r="98" ht="12.75" customHeight="1">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row>
    <row r="99" ht="12.75" customHeight="1">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row>
    <row r="100" ht="12.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row>
    <row r="101" ht="12.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row>
    <row r="102" ht="12.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row>
    <row r="103" ht="12.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row>
    <row r="104" ht="12.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row>
    <row r="105" ht="12.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row>
    <row r="106" ht="12.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row>
    <row r="107" ht="12.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row>
    <row r="108" ht="12.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row>
    <row r="109" ht="12.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row>
    <row r="110" ht="12.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row>
    <row r="111" ht="12.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row>
    <row r="112" ht="12.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row>
    <row r="113" ht="12.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row>
    <row r="114" ht="12.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row>
    <row r="115" ht="12.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row>
    <row r="116" ht="12.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row>
    <row r="117" ht="12.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row>
    <row r="118" ht="12.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row>
    <row r="119" ht="12.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row>
    <row r="120" ht="12.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row>
    <row r="121" ht="12.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row>
    <row r="122" ht="12.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row>
    <row r="123" ht="12.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row>
    <row r="124" ht="12.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row>
    <row r="125" ht="12.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row>
    <row r="126" ht="12.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row>
    <row r="127" ht="12.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row>
    <row r="128" ht="12.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row>
    <row r="129" ht="12.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row>
    <row r="130" ht="12.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row>
    <row r="131" ht="12.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row>
    <row r="132" ht="12.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row>
    <row r="133" ht="12.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row>
    <row r="134" ht="12.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row>
    <row r="135" ht="12.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row>
    <row r="136" ht="12.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row>
    <row r="137" ht="12.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row>
    <row r="138" ht="12.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row>
    <row r="139" ht="12.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row>
    <row r="140" ht="12.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row>
    <row r="141" ht="12.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row>
    <row r="142" ht="12.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row>
    <row r="143" ht="12.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row>
    <row r="144" ht="12.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row>
    <row r="145" ht="12.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row>
    <row r="146" ht="12.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row>
    <row r="147" ht="12.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row>
    <row r="148" ht="12.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row>
    <row r="149" ht="12.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row>
    <row r="150" ht="12.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row>
    <row r="151" ht="12.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row>
    <row r="152" ht="12.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row>
    <row r="153" ht="12.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row>
    <row r="154" ht="12.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row>
    <row r="155" ht="12.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row>
    <row r="156" ht="12.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row>
    <row r="157" ht="12.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row>
    <row r="158" ht="12.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row>
    <row r="159" ht="12.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row>
    <row r="160" ht="12.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row>
    <row r="161" ht="12.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row>
    <row r="162" ht="12.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row>
    <row r="163" ht="12.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row>
    <row r="164" ht="12.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row>
    <row r="165" ht="12.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row>
    <row r="166" ht="12.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row>
    <row r="167" ht="12.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row>
    <row r="168" ht="12.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row>
    <row r="169" ht="12.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row>
    <row r="170" ht="12.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row>
    <row r="171" ht="12.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row>
    <row r="172" ht="12.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row>
    <row r="173" ht="12.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row>
    <row r="174" ht="12.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row>
    <row r="175" ht="12.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row>
    <row r="176" ht="12.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row>
    <row r="177" ht="12.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row>
    <row r="178" ht="12.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row>
    <row r="179" ht="12.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row>
    <row r="180" ht="12.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row>
    <row r="181" ht="12.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row>
    <row r="182" ht="12.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row>
    <row r="183" ht="12.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row>
    <row r="184" ht="12.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row>
    <row r="185" ht="12.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row>
    <row r="186" ht="12.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row>
    <row r="187" ht="12.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row>
    <row r="188" ht="12.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row>
    <row r="189" ht="12.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row>
    <row r="190" ht="12.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row>
    <row r="191" ht="12.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row>
    <row r="192" ht="12.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row>
    <row r="193" ht="12.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row>
    <row r="194" ht="12.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row>
    <row r="195" ht="12.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row>
    <row r="196" ht="12.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row>
    <row r="197" ht="12.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row>
    <row r="198" ht="12.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row>
    <row r="199" ht="12.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row>
    <row r="200" ht="12.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row>
    <row r="201" ht="12.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row>
    <row r="202" ht="12.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row>
    <row r="203" ht="12.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row>
    <row r="204" ht="12.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row>
    <row r="205" ht="12.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row>
    <row r="206" ht="12.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row>
    <row r="207" ht="12.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row>
    <row r="208" ht="12.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row>
    <row r="209" ht="12.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row>
    <row r="210" ht="12.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row>
    <row r="211" ht="12.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row>
    <row r="212" ht="12.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row>
    <row r="213" ht="12.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row>
    <row r="214" ht="12.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row>
    <row r="215" ht="12.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row>
    <row r="216" ht="12.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row>
    <row r="217" ht="12.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row>
    <row r="218" ht="12.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row>
    <row r="219" ht="12.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row>
    <row r="220" ht="12.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c r="BA220" s="9"/>
      <c r="BB220" s="9"/>
    </row>
    <row r="221" ht="12.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c r="BA221" s="9"/>
      <c r="BB221" s="9"/>
    </row>
    <row r="222" ht="12.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c r="BA222" s="9"/>
      <c r="BB222" s="9"/>
    </row>
    <row r="223" ht="12.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c r="BA223" s="9"/>
      <c r="BB223" s="9"/>
    </row>
    <row r="224" ht="12.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c r="BA224" s="9"/>
      <c r="BB224" s="9"/>
    </row>
    <row r="225" ht="12.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c r="BA225" s="9"/>
      <c r="BB225" s="9"/>
    </row>
    <row r="226" ht="12.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c r="BA226" s="9"/>
      <c r="BB226" s="9"/>
    </row>
    <row r="227" ht="12.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c r="BA227" s="9"/>
      <c r="BB227" s="9"/>
    </row>
    <row r="228" ht="12.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c r="BA228" s="9"/>
      <c r="BB228" s="9"/>
    </row>
    <row r="229" ht="12.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c r="BA229" s="9"/>
      <c r="BB229" s="9"/>
    </row>
    <row r="230" ht="12.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c r="BA230" s="9"/>
      <c r="BB230" s="9"/>
    </row>
    <row r="231" ht="12.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c r="BA231" s="9"/>
      <c r="BB231" s="9"/>
    </row>
    <row r="232" ht="12.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c r="BA232" s="9"/>
      <c r="BB232" s="9"/>
    </row>
    <row r="233" ht="12.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c r="BA233" s="9"/>
      <c r="BB233" s="9"/>
    </row>
    <row r="234" ht="12.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c r="BA234" s="9"/>
      <c r="BB234" s="9"/>
    </row>
    <row r="235" ht="12.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c r="BA235" s="9"/>
      <c r="BB235" s="9"/>
    </row>
    <row r="236" ht="12.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c r="BA236" s="9"/>
      <c r="BB236" s="9"/>
    </row>
    <row r="237" ht="12.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c r="BA237" s="9"/>
      <c r="BB237" s="9"/>
    </row>
    <row r="238" ht="12.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c r="BA238" s="9"/>
      <c r="BB238" s="9"/>
    </row>
    <row r="239" ht="12.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c r="BA239" s="9"/>
      <c r="BB239" s="9"/>
    </row>
    <row r="240" ht="12.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c r="BA240" s="9"/>
      <c r="BB240" s="9"/>
    </row>
    <row r="241" ht="12.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c r="BA241" s="9"/>
      <c r="BB241" s="9"/>
    </row>
    <row r="242" ht="12.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c r="BA242" s="9"/>
      <c r="BB242" s="9"/>
    </row>
    <row r="243" ht="12.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c r="BA243" s="9"/>
      <c r="BB243" s="9"/>
    </row>
    <row r="244" ht="12.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c r="BA244" s="9"/>
      <c r="BB244" s="9"/>
    </row>
    <row r="245" ht="12.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c r="BA245" s="9"/>
      <c r="BB245" s="9"/>
    </row>
    <row r="246" ht="12.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c r="BA246" s="9"/>
      <c r="BB246" s="9"/>
    </row>
    <row r="247" ht="12.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c r="BA247" s="9"/>
      <c r="BB247" s="9"/>
    </row>
    <row r="248" ht="12.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c r="BA248" s="9"/>
      <c r="BB248" s="9"/>
    </row>
    <row r="249" ht="12.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c r="BA249" s="9"/>
      <c r="BB249" s="9"/>
    </row>
    <row r="250" ht="12.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c r="BA250" s="9"/>
      <c r="BB250" s="9"/>
    </row>
    <row r="251" ht="12.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c r="BA251" s="9"/>
      <c r="BB251" s="9"/>
    </row>
    <row r="252" ht="12.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c r="BA252" s="9"/>
      <c r="BB252" s="9"/>
    </row>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9">
    <mergeCell ref="A1:J5"/>
    <mergeCell ref="K1:AG1"/>
    <mergeCell ref="AH1:AN5"/>
    <mergeCell ref="K2:AG5"/>
    <mergeCell ref="A6:F6"/>
    <mergeCell ref="G6:AN6"/>
    <mergeCell ref="A7:I7"/>
    <mergeCell ref="X7:AN7"/>
    <mergeCell ref="AA8:AD8"/>
    <mergeCell ref="AE8:AI8"/>
    <mergeCell ref="AA9:AN10"/>
    <mergeCell ref="AD11:AN11"/>
    <mergeCell ref="AU7:AW7"/>
    <mergeCell ref="AU8:AW8"/>
    <mergeCell ref="AX8:AZ8"/>
    <mergeCell ref="BA8:BB8"/>
    <mergeCell ref="J7:Q7"/>
    <mergeCell ref="R7:W7"/>
    <mergeCell ref="AP7:AT8"/>
    <mergeCell ref="AX7:AZ7"/>
    <mergeCell ref="BA7:BB7"/>
    <mergeCell ref="A8:G8"/>
    <mergeCell ref="AJ8:AN8"/>
    <mergeCell ref="H8:W8"/>
    <mergeCell ref="X8:Z8"/>
    <mergeCell ref="A9:G10"/>
    <mergeCell ref="H9:W10"/>
    <mergeCell ref="X9:Z10"/>
    <mergeCell ref="H11:W11"/>
    <mergeCell ref="X11:AC11"/>
    <mergeCell ref="AA18:AE18"/>
    <mergeCell ref="AF18:AI18"/>
    <mergeCell ref="A37:AN37"/>
    <mergeCell ref="A38:AN38"/>
    <mergeCell ref="A39:AN39"/>
    <mergeCell ref="A40:AN40"/>
    <mergeCell ref="A41:AN41"/>
    <mergeCell ref="A42:AN42"/>
    <mergeCell ref="A43:AN43"/>
    <mergeCell ref="O50:Z50"/>
    <mergeCell ref="O51:Z51"/>
    <mergeCell ref="AA51:AL51"/>
    <mergeCell ref="O52:Z52"/>
    <mergeCell ref="AA52:AL52"/>
    <mergeCell ref="A44:AN44"/>
    <mergeCell ref="A45:AN45"/>
    <mergeCell ref="O47:Z47"/>
    <mergeCell ref="AA47:AL47"/>
    <mergeCell ref="O48:Z49"/>
    <mergeCell ref="AA48:AL49"/>
    <mergeCell ref="AA50:AL50"/>
    <mergeCell ref="A11:G11"/>
    <mergeCell ref="A12:G12"/>
    <mergeCell ref="A14:H16"/>
    <mergeCell ref="A17:H18"/>
    <mergeCell ref="I17:K17"/>
    <mergeCell ref="I18:K18"/>
    <mergeCell ref="H12:W12"/>
    <mergeCell ref="X12:AC12"/>
    <mergeCell ref="AD12:AN12"/>
    <mergeCell ref="A13:AN13"/>
    <mergeCell ref="I14:AN16"/>
    <mergeCell ref="L17:AN17"/>
    <mergeCell ref="AJ18:AN18"/>
    <mergeCell ref="L18:Y18"/>
    <mergeCell ref="A19:AN19"/>
    <mergeCell ref="A20:AN20"/>
    <mergeCell ref="A21:AJ21"/>
    <mergeCell ref="AK21:AN21"/>
    <mergeCell ref="B22:AJ22"/>
    <mergeCell ref="AK22:AN22"/>
    <mergeCell ref="B23:AJ23"/>
    <mergeCell ref="AK23:AN23"/>
    <mergeCell ref="B24:AJ24"/>
    <mergeCell ref="AK24:AN24"/>
    <mergeCell ref="B25:AJ25"/>
    <mergeCell ref="AK25:AN25"/>
    <mergeCell ref="AK26:AN26"/>
    <mergeCell ref="B26:AJ26"/>
    <mergeCell ref="B27:AJ27"/>
    <mergeCell ref="AK27:AN27"/>
    <mergeCell ref="B28:AJ28"/>
    <mergeCell ref="AK28:AN28"/>
    <mergeCell ref="B29:AJ29"/>
    <mergeCell ref="AK29:AN29"/>
    <mergeCell ref="B30:AJ30"/>
    <mergeCell ref="AK30:AN30"/>
    <mergeCell ref="B31:AJ31"/>
    <mergeCell ref="AK31:AN31"/>
    <mergeCell ref="B32:AJ32"/>
    <mergeCell ref="AK32:AN32"/>
    <mergeCell ref="AK33:AN33"/>
    <mergeCell ref="B33:AJ33"/>
    <mergeCell ref="B34:AJ34"/>
    <mergeCell ref="AK34:AN34"/>
    <mergeCell ref="B35:AJ35"/>
    <mergeCell ref="AK35:AN35"/>
    <mergeCell ref="B36:AJ36"/>
    <mergeCell ref="AK36:AN36"/>
  </mergeCells>
  <printOptions/>
  <pageMargins bottom="0.5118110236220472" footer="0.0" header="0.0" left="0.3937007874015748" right="0.4330708661417323" top="0.4724409448818898"/>
  <pageSetup fitToHeight="0" orientation="portrait"/>
  <headerFooter>
    <oddFooter>&amp;CPágina &amp;P de </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3" width="3.71"/>
    <col customWidth="1" min="4" max="4" width="5.86"/>
    <col customWidth="1" min="5" max="44" width="3.71"/>
    <col customWidth="1" min="45" max="45" width="4.43"/>
    <col customWidth="1" min="46" max="46" width="4.57"/>
    <col customWidth="1" min="47" max="47" width="5.14"/>
    <col customWidth="1" min="48" max="48" width="5.29"/>
    <col customWidth="1" min="49" max="49" width="3.71"/>
    <col customWidth="1" min="50" max="50" width="5.14"/>
    <col customWidth="1" min="51" max="53" width="3.71"/>
    <col customWidth="1" min="54" max="54" width="7.0"/>
  </cols>
  <sheetData>
    <row r="1" ht="21.75" customHeight="1">
      <c r="A1" s="82"/>
      <c r="B1" s="83"/>
      <c r="C1" s="83"/>
      <c r="D1" s="83"/>
      <c r="E1" s="83"/>
      <c r="F1" s="83"/>
      <c r="G1" s="83"/>
      <c r="H1" s="83"/>
      <c r="I1" s="83"/>
      <c r="J1" s="84"/>
      <c r="K1" s="85" t="s">
        <v>0</v>
      </c>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6"/>
      <c r="AV1" s="48" t="s">
        <v>65</v>
      </c>
      <c r="AW1" s="5"/>
      <c r="AX1" s="5"/>
      <c r="AY1" s="5"/>
      <c r="AZ1" s="5"/>
      <c r="BA1" s="5"/>
      <c r="BB1" s="6"/>
    </row>
    <row r="2" ht="20.25" customHeight="1">
      <c r="A2" s="86"/>
      <c r="J2" s="11"/>
      <c r="K2" s="87" t="s">
        <v>66</v>
      </c>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3"/>
      <c r="AV2" s="48" t="s">
        <v>67</v>
      </c>
      <c r="AW2" s="5"/>
      <c r="AX2" s="5"/>
      <c r="AY2" s="5"/>
      <c r="AZ2" s="5"/>
      <c r="BA2" s="5"/>
      <c r="BB2" s="6"/>
    </row>
    <row r="3" ht="15.0" customHeight="1">
      <c r="A3" s="86"/>
      <c r="J3" s="11"/>
      <c r="K3" s="10"/>
      <c r="AU3" s="11"/>
      <c r="AV3" s="52" t="s">
        <v>68</v>
      </c>
      <c r="AW3" s="2"/>
      <c r="AX3" s="2"/>
      <c r="AY3" s="2"/>
      <c r="AZ3" s="2"/>
      <c r="BA3" s="2"/>
      <c r="BB3" s="3"/>
    </row>
    <row r="4" ht="15.0" customHeight="1">
      <c r="A4" s="88"/>
      <c r="B4" s="15"/>
      <c r="C4" s="15"/>
      <c r="D4" s="15"/>
      <c r="E4" s="15"/>
      <c r="F4" s="15"/>
      <c r="G4" s="15"/>
      <c r="H4" s="15"/>
      <c r="I4" s="15"/>
      <c r="J4" s="16"/>
      <c r="K4" s="14"/>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6"/>
      <c r="AV4" s="14"/>
      <c r="AW4" s="15"/>
      <c r="AX4" s="15"/>
      <c r="AY4" s="15"/>
      <c r="AZ4" s="15"/>
      <c r="BA4" s="15"/>
      <c r="BB4" s="16"/>
    </row>
    <row r="5" ht="19.5" customHeight="1">
      <c r="A5" s="89" t="s">
        <v>69</v>
      </c>
      <c r="B5" s="5"/>
      <c r="C5" s="5"/>
      <c r="D5" s="5"/>
      <c r="E5" s="5"/>
      <c r="F5" s="6"/>
      <c r="G5" s="42"/>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6"/>
    </row>
    <row r="6" ht="24.0" customHeight="1">
      <c r="A6" s="90" t="s">
        <v>5</v>
      </c>
      <c r="B6" s="5"/>
      <c r="C6" s="5"/>
      <c r="D6" s="5"/>
      <c r="E6" s="5"/>
      <c r="F6" s="5"/>
      <c r="G6" s="5"/>
      <c r="H6" s="5"/>
      <c r="I6" s="6"/>
      <c r="J6" s="91" t="s">
        <v>70</v>
      </c>
      <c r="K6" s="20"/>
      <c r="L6" s="20"/>
      <c r="M6" s="20"/>
      <c r="N6" s="20"/>
      <c r="O6" s="20"/>
      <c r="P6" s="20"/>
      <c r="Q6" s="92"/>
      <c r="R6" s="93" t="s">
        <v>6</v>
      </c>
      <c r="S6" s="20"/>
      <c r="T6" s="20"/>
      <c r="U6" s="20"/>
      <c r="V6" s="20"/>
      <c r="W6" s="20"/>
      <c r="X6" s="42"/>
      <c r="Y6" s="5"/>
      <c r="Z6" s="5"/>
      <c r="AA6" s="5"/>
      <c r="AB6" s="5"/>
      <c r="AC6" s="5"/>
      <c r="AD6" s="5"/>
      <c r="AE6" s="5"/>
      <c r="AF6" s="5"/>
      <c r="AG6" s="5"/>
      <c r="AH6" s="5"/>
      <c r="AI6" s="5"/>
      <c r="AJ6" s="5"/>
      <c r="AK6" s="5"/>
      <c r="AL6" s="5"/>
      <c r="AM6" s="5"/>
      <c r="AN6" s="5"/>
      <c r="AO6" s="6"/>
      <c r="AP6" s="94" t="s">
        <v>71</v>
      </c>
      <c r="AQ6" s="2"/>
      <c r="AR6" s="2"/>
      <c r="AS6" s="2"/>
      <c r="AT6" s="3"/>
      <c r="AU6" s="95" t="s">
        <v>72</v>
      </c>
      <c r="AV6" s="5"/>
      <c r="AW6" s="6"/>
      <c r="AX6" s="95" t="s">
        <v>73</v>
      </c>
      <c r="AY6" s="5"/>
      <c r="AZ6" s="6"/>
      <c r="BA6" s="96" t="s">
        <v>74</v>
      </c>
      <c r="BB6" s="6"/>
    </row>
    <row r="7" ht="21.75" customHeight="1">
      <c r="A7" s="89" t="s">
        <v>8</v>
      </c>
      <c r="B7" s="5"/>
      <c r="C7" s="5"/>
      <c r="D7" s="5"/>
      <c r="E7" s="5"/>
      <c r="F7" s="6"/>
      <c r="G7" s="42"/>
      <c r="H7" s="5"/>
      <c r="I7" s="5"/>
      <c r="J7" s="5"/>
      <c r="K7" s="5"/>
      <c r="L7" s="5"/>
      <c r="M7" s="5"/>
      <c r="N7" s="5"/>
      <c r="O7" s="5"/>
      <c r="P7" s="5"/>
      <c r="Q7" s="6"/>
      <c r="R7" s="96" t="s">
        <v>75</v>
      </c>
      <c r="S7" s="5"/>
      <c r="T7" s="5"/>
      <c r="U7" s="5"/>
      <c r="V7" s="5"/>
      <c r="W7" s="6"/>
      <c r="X7" s="42"/>
      <c r="Y7" s="5"/>
      <c r="Z7" s="5"/>
      <c r="AA7" s="5"/>
      <c r="AB7" s="5"/>
      <c r="AC7" s="5"/>
      <c r="AD7" s="5"/>
      <c r="AE7" s="5"/>
      <c r="AF7" s="5"/>
      <c r="AG7" s="5"/>
      <c r="AH7" s="5"/>
      <c r="AI7" s="5"/>
      <c r="AJ7" s="5"/>
      <c r="AK7" s="5"/>
      <c r="AL7" s="5"/>
      <c r="AM7" s="5"/>
      <c r="AN7" s="5"/>
      <c r="AO7" s="6"/>
      <c r="AP7" s="14"/>
      <c r="AQ7" s="15"/>
      <c r="AR7" s="15"/>
      <c r="AS7" s="15"/>
      <c r="AT7" s="16"/>
      <c r="AU7" s="96"/>
      <c r="AV7" s="5"/>
      <c r="AW7" s="6"/>
      <c r="AX7" s="42"/>
      <c r="AY7" s="5"/>
      <c r="AZ7" s="6"/>
      <c r="BA7" s="42"/>
      <c r="BB7" s="6"/>
    </row>
    <row r="8" ht="12.75" customHeight="1">
      <c r="A8" s="79" t="s">
        <v>76</v>
      </c>
      <c r="B8" s="38"/>
      <c r="C8" s="38"/>
      <c r="D8" s="38"/>
      <c r="E8" s="38"/>
      <c r="F8" s="38"/>
      <c r="G8" s="38"/>
      <c r="H8" s="38"/>
      <c r="I8" s="38"/>
      <c r="J8" s="38"/>
      <c r="K8" s="38"/>
      <c r="L8" s="38"/>
      <c r="M8" s="38"/>
      <c r="N8" s="38"/>
      <c r="O8" s="38"/>
      <c r="P8" s="38"/>
      <c r="Q8" s="38"/>
      <c r="R8" s="38"/>
      <c r="S8" s="38"/>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c r="AT8" s="38"/>
      <c r="AU8" s="38"/>
      <c r="AV8" s="38"/>
      <c r="AW8" s="38"/>
      <c r="AX8" s="38"/>
      <c r="AY8" s="38"/>
      <c r="AZ8" s="38"/>
      <c r="BA8" s="38"/>
      <c r="BB8" s="38"/>
    </row>
    <row r="9" ht="15.0" customHeight="1">
      <c r="A9" s="97" t="s">
        <v>77</v>
      </c>
      <c r="B9" s="24"/>
      <c r="C9" s="24"/>
      <c r="D9" s="24"/>
      <c r="E9" s="98"/>
      <c r="F9" s="96"/>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6"/>
    </row>
    <row r="10" ht="12.75" customHeight="1">
      <c r="A10" s="86"/>
      <c r="E10" s="11"/>
      <c r="F10" s="96"/>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6"/>
    </row>
    <row r="11" ht="12.75" customHeight="1">
      <c r="A11" s="86"/>
      <c r="E11" s="11"/>
      <c r="F11" s="96"/>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6"/>
    </row>
    <row r="12" ht="18.75" customHeight="1">
      <c r="A12" s="80" t="s">
        <v>78</v>
      </c>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6"/>
    </row>
    <row r="13" ht="64.5" customHeight="1">
      <c r="A13" s="66" t="s">
        <v>79</v>
      </c>
      <c r="B13" s="2"/>
      <c r="C13" s="2"/>
      <c r="D13" s="2"/>
      <c r="E13" s="2"/>
      <c r="F13" s="2"/>
      <c r="G13" s="2"/>
      <c r="H13" s="2"/>
      <c r="I13" s="3"/>
      <c r="J13" s="66" t="s">
        <v>80</v>
      </c>
      <c r="K13" s="2"/>
      <c r="L13" s="2"/>
      <c r="M13" s="2"/>
      <c r="N13" s="2"/>
      <c r="O13" s="2"/>
      <c r="P13" s="2"/>
      <c r="Q13" s="2"/>
      <c r="R13" s="3"/>
      <c r="S13" s="66" t="s">
        <v>81</v>
      </c>
      <c r="T13" s="2"/>
      <c r="U13" s="2"/>
      <c r="V13" s="2"/>
      <c r="W13" s="3"/>
      <c r="X13" s="66" t="s">
        <v>82</v>
      </c>
      <c r="Y13" s="2"/>
      <c r="Z13" s="2"/>
      <c r="AA13" s="3"/>
      <c r="AB13" s="66" t="s">
        <v>83</v>
      </c>
      <c r="AC13" s="2"/>
      <c r="AD13" s="3"/>
      <c r="AE13" s="66" t="s">
        <v>84</v>
      </c>
      <c r="AF13" s="2"/>
      <c r="AG13" s="2"/>
      <c r="AH13" s="3"/>
      <c r="AI13" s="66" t="s">
        <v>85</v>
      </c>
      <c r="AJ13" s="2"/>
      <c r="AK13" s="2"/>
      <c r="AL13" s="3"/>
      <c r="AM13" s="66" t="s">
        <v>86</v>
      </c>
      <c r="AN13" s="2"/>
      <c r="AO13" s="2"/>
      <c r="AP13" s="3"/>
      <c r="AQ13" s="66" t="s">
        <v>87</v>
      </c>
      <c r="AR13" s="2"/>
      <c r="AS13" s="2"/>
      <c r="AT13" s="3"/>
      <c r="AU13" s="85" t="s">
        <v>88</v>
      </c>
      <c r="AV13" s="5"/>
      <c r="AW13" s="5"/>
      <c r="AX13" s="6"/>
      <c r="AY13" s="66" t="s">
        <v>89</v>
      </c>
      <c r="AZ13" s="2"/>
      <c r="BA13" s="2"/>
      <c r="BB13" s="3"/>
    </row>
    <row r="14" ht="15.0" customHeight="1">
      <c r="A14" s="14"/>
      <c r="B14" s="15"/>
      <c r="C14" s="15"/>
      <c r="D14" s="15"/>
      <c r="E14" s="15"/>
      <c r="F14" s="15"/>
      <c r="G14" s="15"/>
      <c r="H14" s="15"/>
      <c r="I14" s="16"/>
      <c r="J14" s="14"/>
      <c r="K14" s="15"/>
      <c r="L14" s="15"/>
      <c r="M14" s="15"/>
      <c r="N14" s="15"/>
      <c r="O14" s="15"/>
      <c r="P14" s="15"/>
      <c r="Q14" s="15"/>
      <c r="R14" s="16"/>
      <c r="S14" s="14"/>
      <c r="T14" s="15"/>
      <c r="U14" s="15"/>
      <c r="V14" s="15"/>
      <c r="W14" s="16"/>
      <c r="X14" s="14"/>
      <c r="Y14" s="15"/>
      <c r="Z14" s="15"/>
      <c r="AA14" s="16"/>
      <c r="AB14" s="14"/>
      <c r="AC14" s="15"/>
      <c r="AD14" s="16"/>
      <c r="AE14" s="14"/>
      <c r="AF14" s="15"/>
      <c r="AG14" s="15"/>
      <c r="AH14" s="16"/>
      <c r="AI14" s="14"/>
      <c r="AJ14" s="15"/>
      <c r="AK14" s="15"/>
      <c r="AL14" s="16"/>
      <c r="AM14" s="14"/>
      <c r="AN14" s="15"/>
      <c r="AO14" s="15"/>
      <c r="AP14" s="16"/>
      <c r="AQ14" s="14"/>
      <c r="AR14" s="15"/>
      <c r="AS14" s="15"/>
      <c r="AT14" s="16"/>
      <c r="AU14" s="99" t="s">
        <v>90</v>
      </c>
      <c r="AV14" s="99" t="s">
        <v>91</v>
      </c>
      <c r="AW14" s="100" t="s">
        <v>92</v>
      </c>
      <c r="AX14" s="6"/>
      <c r="AY14" s="14"/>
      <c r="AZ14" s="15"/>
      <c r="BA14" s="15"/>
      <c r="BB14" s="16"/>
    </row>
    <row r="15" ht="12.75" customHeight="1">
      <c r="A15" s="42"/>
      <c r="B15" s="5"/>
      <c r="C15" s="5"/>
      <c r="D15" s="5"/>
      <c r="E15" s="5"/>
      <c r="F15" s="5"/>
      <c r="G15" s="5"/>
      <c r="H15" s="5"/>
      <c r="I15" s="6"/>
      <c r="J15" s="42"/>
      <c r="K15" s="5"/>
      <c r="L15" s="5"/>
      <c r="M15" s="5"/>
      <c r="N15" s="5"/>
      <c r="O15" s="5"/>
      <c r="P15" s="5"/>
      <c r="Q15" s="5"/>
      <c r="R15" s="6"/>
      <c r="S15" s="42"/>
      <c r="T15" s="5"/>
      <c r="U15" s="5"/>
      <c r="V15" s="5"/>
      <c r="W15" s="6"/>
      <c r="X15" s="42"/>
      <c r="Y15" s="5"/>
      <c r="Z15" s="5"/>
      <c r="AA15" s="6"/>
      <c r="AB15" s="42"/>
      <c r="AC15" s="5"/>
      <c r="AD15" s="6"/>
      <c r="AE15" s="42"/>
      <c r="AF15" s="5"/>
      <c r="AG15" s="5"/>
      <c r="AH15" s="6"/>
      <c r="AI15" s="42"/>
      <c r="AJ15" s="5"/>
      <c r="AK15" s="5"/>
      <c r="AL15" s="6"/>
      <c r="AM15" s="42"/>
      <c r="AN15" s="5"/>
      <c r="AO15" s="5"/>
      <c r="AP15" s="6"/>
      <c r="AQ15" s="42"/>
      <c r="AR15" s="5"/>
      <c r="AS15" s="5"/>
      <c r="AT15" s="6"/>
      <c r="AU15" s="101"/>
      <c r="AV15" s="101"/>
      <c r="AW15" s="42"/>
      <c r="AX15" s="6"/>
      <c r="AY15" s="42"/>
      <c r="AZ15" s="5"/>
      <c r="BA15" s="5"/>
      <c r="BB15" s="6"/>
    </row>
    <row r="16" ht="12.75" customHeight="1">
      <c r="A16" s="42"/>
      <c r="B16" s="5"/>
      <c r="C16" s="5"/>
      <c r="D16" s="5"/>
      <c r="E16" s="5"/>
      <c r="F16" s="5"/>
      <c r="G16" s="5"/>
      <c r="H16" s="5"/>
      <c r="I16" s="6"/>
      <c r="J16" s="42"/>
      <c r="K16" s="5"/>
      <c r="L16" s="5"/>
      <c r="M16" s="5"/>
      <c r="N16" s="5"/>
      <c r="O16" s="5"/>
      <c r="P16" s="5"/>
      <c r="Q16" s="5"/>
      <c r="R16" s="6"/>
      <c r="S16" s="42"/>
      <c r="T16" s="5"/>
      <c r="U16" s="5"/>
      <c r="V16" s="5"/>
      <c r="W16" s="6"/>
      <c r="X16" s="42"/>
      <c r="Y16" s="5"/>
      <c r="Z16" s="5"/>
      <c r="AA16" s="6"/>
      <c r="AB16" s="42"/>
      <c r="AC16" s="5"/>
      <c r="AD16" s="6"/>
      <c r="AE16" s="42"/>
      <c r="AF16" s="5"/>
      <c r="AG16" s="5"/>
      <c r="AH16" s="6"/>
      <c r="AI16" s="42"/>
      <c r="AJ16" s="5"/>
      <c r="AK16" s="5"/>
      <c r="AL16" s="6"/>
      <c r="AM16" s="42"/>
      <c r="AN16" s="5"/>
      <c r="AO16" s="5"/>
      <c r="AP16" s="6"/>
      <c r="AQ16" s="42"/>
      <c r="AR16" s="5"/>
      <c r="AS16" s="5"/>
      <c r="AT16" s="6"/>
      <c r="AU16" s="101"/>
      <c r="AV16" s="101"/>
      <c r="AW16" s="42"/>
      <c r="AX16" s="6"/>
      <c r="AY16" s="42"/>
      <c r="AZ16" s="5"/>
      <c r="BA16" s="5"/>
      <c r="BB16" s="6"/>
    </row>
    <row r="17" ht="12.75" customHeight="1">
      <c r="A17" s="42"/>
      <c r="B17" s="5"/>
      <c r="C17" s="5"/>
      <c r="D17" s="5"/>
      <c r="E17" s="5"/>
      <c r="F17" s="5"/>
      <c r="G17" s="5"/>
      <c r="H17" s="5"/>
      <c r="I17" s="6"/>
      <c r="J17" s="42"/>
      <c r="K17" s="5"/>
      <c r="L17" s="5"/>
      <c r="M17" s="5"/>
      <c r="N17" s="5"/>
      <c r="O17" s="5"/>
      <c r="P17" s="5"/>
      <c r="Q17" s="5"/>
      <c r="R17" s="6"/>
      <c r="S17" s="42"/>
      <c r="T17" s="5"/>
      <c r="U17" s="5"/>
      <c r="V17" s="5"/>
      <c r="W17" s="6"/>
      <c r="X17" s="42"/>
      <c r="Y17" s="5"/>
      <c r="Z17" s="5"/>
      <c r="AA17" s="6"/>
      <c r="AB17" s="42"/>
      <c r="AC17" s="5"/>
      <c r="AD17" s="6"/>
      <c r="AE17" s="42"/>
      <c r="AF17" s="5"/>
      <c r="AG17" s="5"/>
      <c r="AH17" s="6"/>
      <c r="AI17" s="42"/>
      <c r="AJ17" s="5"/>
      <c r="AK17" s="5"/>
      <c r="AL17" s="6"/>
      <c r="AM17" s="42"/>
      <c r="AN17" s="5"/>
      <c r="AO17" s="5"/>
      <c r="AP17" s="6"/>
      <c r="AQ17" s="42"/>
      <c r="AR17" s="5"/>
      <c r="AS17" s="5"/>
      <c r="AT17" s="6"/>
      <c r="AU17" s="101"/>
      <c r="AV17" s="101"/>
      <c r="AW17" s="42"/>
      <c r="AX17" s="6"/>
      <c r="AY17" s="42"/>
      <c r="AZ17" s="5"/>
      <c r="BA17" s="5"/>
      <c r="BB17" s="6"/>
    </row>
    <row r="18" ht="15.0" customHeight="1">
      <c r="A18" s="42"/>
      <c r="B18" s="5"/>
      <c r="C18" s="5"/>
      <c r="D18" s="5"/>
      <c r="E18" s="5"/>
      <c r="F18" s="5"/>
      <c r="G18" s="5"/>
      <c r="H18" s="5"/>
      <c r="I18" s="6"/>
      <c r="J18" s="42"/>
      <c r="K18" s="5"/>
      <c r="L18" s="5"/>
      <c r="M18" s="5"/>
      <c r="N18" s="5"/>
      <c r="O18" s="5"/>
      <c r="P18" s="5"/>
      <c r="Q18" s="5"/>
      <c r="R18" s="6"/>
      <c r="S18" s="42"/>
      <c r="T18" s="5"/>
      <c r="U18" s="5"/>
      <c r="V18" s="5"/>
      <c r="W18" s="6"/>
      <c r="X18" s="42"/>
      <c r="Y18" s="5"/>
      <c r="Z18" s="5"/>
      <c r="AA18" s="6"/>
      <c r="AB18" s="42"/>
      <c r="AC18" s="5"/>
      <c r="AD18" s="6"/>
      <c r="AE18" s="42"/>
      <c r="AF18" s="5"/>
      <c r="AG18" s="5"/>
      <c r="AH18" s="6"/>
      <c r="AI18" s="42"/>
      <c r="AJ18" s="5"/>
      <c r="AK18" s="5"/>
      <c r="AL18" s="6"/>
      <c r="AM18" s="42"/>
      <c r="AN18" s="5"/>
      <c r="AO18" s="5"/>
      <c r="AP18" s="6"/>
      <c r="AQ18" s="42"/>
      <c r="AR18" s="5"/>
      <c r="AS18" s="5"/>
      <c r="AT18" s="6"/>
      <c r="AU18" s="101"/>
      <c r="AV18" s="101"/>
      <c r="AW18" s="42"/>
      <c r="AX18" s="6"/>
      <c r="AY18" s="42"/>
      <c r="AZ18" s="5"/>
      <c r="BA18" s="5"/>
      <c r="BB18" s="6"/>
    </row>
    <row r="19" ht="15.0" customHeight="1">
      <c r="A19" s="42"/>
      <c r="B19" s="5"/>
      <c r="C19" s="5"/>
      <c r="D19" s="5"/>
      <c r="E19" s="5"/>
      <c r="F19" s="5"/>
      <c r="G19" s="5"/>
      <c r="H19" s="5"/>
      <c r="I19" s="6"/>
      <c r="J19" s="42"/>
      <c r="K19" s="5"/>
      <c r="L19" s="5"/>
      <c r="M19" s="5"/>
      <c r="N19" s="5"/>
      <c r="O19" s="5"/>
      <c r="P19" s="5"/>
      <c r="Q19" s="5"/>
      <c r="R19" s="6"/>
      <c r="S19" s="42"/>
      <c r="T19" s="5"/>
      <c r="U19" s="5"/>
      <c r="V19" s="5"/>
      <c r="W19" s="6"/>
      <c r="X19" s="42"/>
      <c r="Y19" s="5"/>
      <c r="Z19" s="5"/>
      <c r="AA19" s="6"/>
      <c r="AB19" s="42"/>
      <c r="AC19" s="5"/>
      <c r="AD19" s="6"/>
      <c r="AE19" s="42"/>
      <c r="AF19" s="5"/>
      <c r="AG19" s="5"/>
      <c r="AH19" s="6"/>
      <c r="AI19" s="42"/>
      <c r="AJ19" s="5"/>
      <c r="AK19" s="5"/>
      <c r="AL19" s="6"/>
      <c r="AM19" s="42"/>
      <c r="AN19" s="5"/>
      <c r="AO19" s="5"/>
      <c r="AP19" s="6"/>
      <c r="AQ19" s="42"/>
      <c r="AR19" s="5"/>
      <c r="AS19" s="5"/>
      <c r="AT19" s="6"/>
      <c r="AU19" s="101"/>
      <c r="AV19" s="101"/>
      <c r="AW19" s="42"/>
      <c r="AX19" s="6"/>
      <c r="AY19" s="42"/>
      <c r="AZ19" s="5"/>
      <c r="BA19" s="5"/>
      <c r="BB19" s="6"/>
    </row>
    <row r="20" ht="12.75" customHeight="1">
      <c r="A20" s="42"/>
      <c r="B20" s="5"/>
      <c r="C20" s="5"/>
      <c r="D20" s="5"/>
      <c r="E20" s="5"/>
      <c r="F20" s="5"/>
      <c r="G20" s="5"/>
      <c r="H20" s="5"/>
      <c r="I20" s="6"/>
      <c r="J20" s="42"/>
      <c r="K20" s="5"/>
      <c r="L20" s="5"/>
      <c r="M20" s="5"/>
      <c r="N20" s="5"/>
      <c r="O20" s="5"/>
      <c r="P20" s="5"/>
      <c r="Q20" s="5"/>
      <c r="R20" s="6"/>
      <c r="S20" s="42"/>
      <c r="T20" s="5"/>
      <c r="U20" s="5"/>
      <c r="V20" s="5"/>
      <c r="W20" s="6"/>
      <c r="X20" s="42"/>
      <c r="Y20" s="5"/>
      <c r="Z20" s="5"/>
      <c r="AA20" s="6"/>
      <c r="AB20" s="42"/>
      <c r="AC20" s="5"/>
      <c r="AD20" s="6"/>
      <c r="AE20" s="42"/>
      <c r="AF20" s="5"/>
      <c r="AG20" s="5"/>
      <c r="AH20" s="6"/>
      <c r="AI20" s="42"/>
      <c r="AJ20" s="5"/>
      <c r="AK20" s="5"/>
      <c r="AL20" s="6"/>
      <c r="AM20" s="42"/>
      <c r="AN20" s="5"/>
      <c r="AO20" s="5"/>
      <c r="AP20" s="6"/>
      <c r="AQ20" s="42"/>
      <c r="AR20" s="5"/>
      <c r="AS20" s="5"/>
      <c r="AT20" s="6"/>
      <c r="AU20" s="101"/>
      <c r="AV20" s="101"/>
      <c r="AW20" s="42"/>
      <c r="AX20" s="6"/>
      <c r="AY20" s="42"/>
      <c r="AZ20" s="5"/>
      <c r="BA20" s="5"/>
      <c r="BB20" s="6"/>
    </row>
    <row r="21" ht="12.75" customHeight="1">
      <c r="A21" s="42"/>
      <c r="B21" s="5"/>
      <c r="C21" s="5"/>
      <c r="D21" s="5"/>
      <c r="E21" s="5"/>
      <c r="F21" s="5"/>
      <c r="G21" s="5"/>
      <c r="H21" s="5"/>
      <c r="I21" s="6"/>
      <c r="J21" s="42"/>
      <c r="K21" s="5"/>
      <c r="L21" s="5"/>
      <c r="M21" s="5"/>
      <c r="N21" s="5"/>
      <c r="O21" s="5"/>
      <c r="P21" s="5"/>
      <c r="Q21" s="5"/>
      <c r="R21" s="6"/>
      <c r="S21" s="42"/>
      <c r="T21" s="5"/>
      <c r="U21" s="5"/>
      <c r="V21" s="5"/>
      <c r="W21" s="6"/>
      <c r="X21" s="42"/>
      <c r="Y21" s="5"/>
      <c r="Z21" s="5"/>
      <c r="AA21" s="6"/>
      <c r="AB21" s="42"/>
      <c r="AC21" s="5"/>
      <c r="AD21" s="6"/>
      <c r="AE21" s="42"/>
      <c r="AF21" s="5"/>
      <c r="AG21" s="5"/>
      <c r="AH21" s="6"/>
      <c r="AI21" s="42"/>
      <c r="AJ21" s="5"/>
      <c r="AK21" s="5"/>
      <c r="AL21" s="6"/>
      <c r="AM21" s="42"/>
      <c r="AN21" s="5"/>
      <c r="AO21" s="5"/>
      <c r="AP21" s="6"/>
      <c r="AQ21" s="42"/>
      <c r="AR21" s="5"/>
      <c r="AS21" s="5"/>
      <c r="AT21" s="6"/>
      <c r="AU21" s="101"/>
      <c r="AV21" s="101"/>
      <c r="AW21" s="42"/>
      <c r="AX21" s="6"/>
      <c r="AY21" s="42"/>
      <c r="AZ21" s="5"/>
      <c r="BA21" s="5"/>
      <c r="BB21" s="6"/>
    </row>
    <row r="22" ht="12.75" customHeight="1">
      <c r="A22" s="42"/>
      <c r="B22" s="5"/>
      <c r="C22" s="5"/>
      <c r="D22" s="5"/>
      <c r="E22" s="5"/>
      <c r="F22" s="5"/>
      <c r="G22" s="5"/>
      <c r="H22" s="5"/>
      <c r="I22" s="6"/>
      <c r="J22" s="42"/>
      <c r="K22" s="5"/>
      <c r="L22" s="5"/>
      <c r="M22" s="5"/>
      <c r="N22" s="5"/>
      <c r="O22" s="5"/>
      <c r="P22" s="5"/>
      <c r="Q22" s="5"/>
      <c r="R22" s="6"/>
      <c r="S22" s="42"/>
      <c r="T22" s="5"/>
      <c r="U22" s="5"/>
      <c r="V22" s="5"/>
      <c r="W22" s="6"/>
      <c r="X22" s="42"/>
      <c r="Y22" s="5"/>
      <c r="Z22" s="5"/>
      <c r="AA22" s="6"/>
      <c r="AB22" s="42"/>
      <c r="AC22" s="5"/>
      <c r="AD22" s="6"/>
      <c r="AE22" s="42"/>
      <c r="AF22" s="5"/>
      <c r="AG22" s="5"/>
      <c r="AH22" s="6"/>
      <c r="AI22" s="42"/>
      <c r="AJ22" s="5"/>
      <c r="AK22" s="5"/>
      <c r="AL22" s="6"/>
      <c r="AM22" s="42"/>
      <c r="AN22" s="5"/>
      <c r="AO22" s="5"/>
      <c r="AP22" s="6"/>
      <c r="AQ22" s="42"/>
      <c r="AR22" s="5"/>
      <c r="AS22" s="5"/>
      <c r="AT22" s="6"/>
      <c r="AU22" s="101"/>
      <c r="AV22" s="101"/>
      <c r="AW22" s="42"/>
      <c r="AX22" s="6"/>
      <c r="AY22" s="42"/>
      <c r="AZ22" s="5"/>
      <c r="BA22" s="5"/>
      <c r="BB22" s="6"/>
    </row>
    <row r="23" ht="12.75" customHeight="1">
      <c r="A23" s="42"/>
      <c r="B23" s="5"/>
      <c r="C23" s="5"/>
      <c r="D23" s="5"/>
      <c r="E23" s="5"/>
      <c r="F23" s="5"/>
      <c r="G23" s="5"/>
      <c r="H23" s="5"/>
      <c r="I23" s="6"/>
      <c r="J23" s="42"/>
      <c r="K23" s="5"/>
      <c r="L23" s="5"/>
      <c r="M23" s="5"/>
      <c r="N23" s="5"/>
      <c r="O23" s="5"/>
      <c r="P23" s="5"/>
      <c r="Q23" s="5"/>
      <c r="R23" s="6"/>
      <c r="S23" s="42"/>
      <c r="T23" s="5"/>
      <c r="U23" s="5"/>
      <c r="V23" s="5"/>
      <c r="W23" s="6"/>
      <c r="X23" s="42"/>
      <c r="Y23" s="5"/>
      <c r="Z23" s="5"/>
      <c r="AA23" s="6"/>
      <c r="AB23" s="42"/>
      <c r="AC23" s="5"/>
      <c r="AD23" s="6"/>
      <c r="AE23" s="42"/>
      <c r="AF23" s="5"/>
      <c r="AG23" s="5"/>
      <c r="AH23" s="6"/>
      <c r="AI23" s="42"/>
      <c r="AJ23" s="5"/>
      <c r="AK23" s="5"/>
      <c r="AL23" s="6"/>
      <c r="AM23" s="42"/>
      <c r="AN23" s="5"/>
      <c r="AO23" s="5"/>
      <c r="AP23" s="6"/>
      <c r="AQ23" s="42"/>
      <c r="AR23" s="5"/>
      <c r="AS23" s="5"/>
      <c r="AT23" s="6"/>
      <c r="AU23" s="101"/>
      <c r="AV23" s="101"/>
      <c r="AW23" s="42"/>
      <c r="AX23" s="6"/>
      <c r="AY23" s="42"/>
      <c r="AZ23" s="5"/>
      <c r="BA23" s="5"/>
      <c r="BB23" s="6"/>
    </row>
    <row r="24" ht="12.75" customHeight="1">
      <c r="A24" s="42"/>
      <c r="B24" s="5"/>
      <c r="C24" s="5"/>
      <c r="D24" s="5"/>
      <c r="E24" s="5"/>
      <c r="F24" s="5"/>
      <c r="G24" s="5"/>
      <c r="H24" s="5"/>
      <c r="I24" s="6"/>
      <c r="J24" s="42"/>
      <c r="K24" s="5"/>
      <c r="L24" s="5"/>
      <c r="M24" s="5"/>
      <c r="N24" s="5"/>
      <c r="O24" s="5"/>
      <c r="P24" s="5"/>
      <c r="Q24" s="5"/>
      <c r="R24" s="6"/>
      <c r="S24" s="42"/>
      <c r="T24" s="5"/>
      <c r="U24" s="5"/>
      <c r="V24" s="5"/>
      <c r="W24" s="6"/>
      <c r="X24" s="42"/>
      <c r="Y24" s="5"/>
      <c r="Z24" s="5"/>
      <c r="AA24" s="6"/>
      <c r="AB24" s="42"/>
      <c r="AC24" s="5"/>
      <c r="AD24" s="6"/>
      <c r="AE24" s="42"/>
      <c r="AF24" s="5"/>
      <c r="AG24" s="5"/>
      <c r="AH24" s="6"/>
      <c r="AI24" s="42"/>
      <c r="AJ24" s="5"/>
      <c r="AK24" s="5"/>
      <c r="AL24" s="6"/>
      <c r="AM24" s="42"/>
      <c r="AN24" s="5"/>
      <c r="AO24" s="5"/>
      <c r="AP24" s="6"/>
      <c r="AQ24" s="42"/>
      <c r="AR24" s="5"/>
      <c r="AS24" s="5"/>
      <c r="AT24" s="6"/>
      <c r="AU24" s="101"/>
      <c r="AV24" s="101"/>
      <c r="AW24" s="42"/>
      <c r="AX24" s="6"/>
      <c r="AY24" s="42"/>
      <c r="AZ24" s="5"/>
      <c r="BA24" s="5"/>
      <c r="BB24" s="6"/>
    </row>
    <row r="25" ht="12.75" customHeight="1">
      <c r="A25" s="102" t="s">
        <v>93</v>
      </c>
      <c r="B25" s="103"/>
      <c r="C25" s="103"/>
      <c r="D25" s="103"/>
      <c r="E25" s="103"/>
      <c r="F25" s="103"/>
      <c r="G25" s="103"/>
      <c r="H25" s="103"/>
      <c r="I25" s="103"/>
      <c r="J25" s="103"/>
      <c r="K25" s="103"/>
      <c r="L25" s="103"/>
      <c r="M25" s="103"/>
      <c r="N25" s="103"/>
      <c r="O25" s="103"/>
      <c r="P25" s="103"/>
      <c r="Q25" s="103"/>
      <c r="R25" s="103"/>
      <c r="S25" s="103"/>
      <c r="T25" s="103"/>
      <c r="U25" s="103"/>
      <c r="V25" s="103"/>
      <c r="W25" s="103"/>
      <c r="X25" s="103"/>
      <c r="Y25" s="103"/>
      <c r="Z25" s="103"/>
      <c r="AA25" s="103"/>
      <c r="AB25" s="103"/>
      <c r="AC25" s="103"/>
      <c r="AD25" s="103"/>
      <c r="AE25" s="103"/>
      <c r="AF25" s="103"/>
      <c r="AG25" s="103"/>
      <c r="AH25" s="103"/>
      <c r="AI25" s="103"/>
      <c r="AJ25" s="103"/>
      <c r="AK25" s="103"/>
      <c r="AL25" s="103"/>
      <c r="AM25" s="103"/>
      <c r="AN25" s="103"/>
      <c r="AO25" s="103"/>
      <c r="AP25" s="103"/>
      <c r="AQ25" s="103"/>
      <c r="AR25" s="103"/>
      <c r="AS25" s="103"/>
      <c r="AT25" s="103"/>
      <c r="AU25" s="103"/>
      <c r="AV25" s="103"/>
      <c r="AW25" s="103"/>
      <c r="AX25" s="103"/>
      <c r="AY25" s="103"/>
      <c r="AZ25" s="103"/>
      <c r="BA25" s="103"/>
      <c r="BB25" s="103"/>
    </row>
    <row r="26" ht="15.0" customHeight="1">
      <c r="A26" s="97" t="s">
        <v>77</v>
      </c>
      <c r="B26" s="24"/>
      <c r="C26" s="24"/>
      <c r="D26" s="24"/>
      <c r="E26" s="98"/>
      <c r="F26" s="96"/>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6"/>
    </row>
    <row r="27" ht="12.75" customHeight="1">
      <c r="A27" s="86"/>
      <c r="E27" s="11"/>
      <c r="F27" s="96"/>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6"/>
    </row>
    <row r="28" ht="12.75" customHeight="1">
      <c r="A28" s="86"/>
      <c r="E28" s="11"/>
      <c r="F28" s="104"/>
      <c r="G28" s="105"/>
      <c r="H28" s="105"/>
      <c r="I28" s="105"/>
      <c r="J28" s="105"/>
      <c r="K28" s="105"/>
      <c r="L28" s="105"/>
      <c r="M28" s="105"/>
      <c r="N28" s="105"/>
      <c r="O28" s="105"/>
      <c r="P28" s="105"/>
      <c r="Q28" s="105"/>
      <c r="R28" s="105"/>
      <c r="S28" s="105"/>
      <c r="T28" s="105"/>
      <c r="U28" s="105"/>
      <c r="V28" s="105"/>
      <c r="W28" s="105"/>
      <c r="X28" s="105"/>
      <c r="Y28" s="105"/>
      <c r="Z28" s="105"/>
      <c r="AA28" s="105"/>
      <c r="AB28" s="105"/>
      <c r="AC28" s="105"/>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6"/>
    </row>
    <row r="29" ht="59.25" customHeight="1">
      <c r="A29" s="66" t="s">
        <v>79</v>
      </c>
      <c r="B29" s="2"/>
      <c r="C29" s="2"/>
      <c r="D29" s="2"/>
      <c r="E29" s="2"/>
      <c r="F29" s="2"/>
      <c r="G29" s="2"/>
      <c r="H29" s="2"/>
      <c r="I29" s="3"/>
      <c r="J29" s="66" t="s">
        <v>80</v>
      </c>
      <c r="K29" s="2"/>
      <c r="L29" s="2"/>
      <c r="M29" s="2"/>
      <c r="N29" s="2"/>
      <c r="O29" s="2"/>
      <c r="P29" s="2"/>
      <c r="Q29" s="2"/>
      <c r="R29" s="3"/>
      <c r="S29" s="66" t="s">
        <v>81</v>
      </c>
      <c r="T29" s="2"/>
      <c r="U29" s="2"/>
      <c r="V29" s="2"/>
      <c r="W29" s="3"/>
      <c r="X29" s="66" t="s">
        <v>82</v>
      </c>
      <c r="Y29" s="2"/>
      <c r="Z29" s="2"/>
      <c r="AA29" s="3"/>
      <c r="AB29" s="66" t="s">
        <v>83</v>
      </c>
      <c r="AC29" s="2"/>
      <c r="AD29" s="3"/>
      <c r="AE29" s="66" t="s">
        <v>84</v>
      </c>
      <c r="AF29" s="2"/>
      <c r="AG29" s="2"/>
      <c r="AH29" s="3"/>
      <c r="AI29" s="66" t="s">
        <v>94</v>
      </c>
      <c r="AJ29" s="2"/>
      <c r="AK29" s="2"/>
      <c r="AL29" s="3"/>
      <c r="AM29" s="66" t="s">
        <v>95</v>
      </c>
      <c r="AN29" s="2"/>
      <c r="AO29" s="2"/>
      <c r="AP29" s="3"/>
      <c r="AQ29" s="66" t="s">
        <v>87</v>
      </c>
      <c r="AR29" s="2"/>
      <c r="AS29" s="2"/>
      <c r="AT29" s="3"/>
      <c r="AU29" s="85" t="s">
        <v>88</v>
      </c>
      <c r="AV29" s="5"/>
      <c r="AW29" s="5"/>
      <c r="AX29" s="6"/>
      <c r="AY29" s="66" t="s">
        <v>89</v>
      </c>
      <c r="AZ29" s="2"/>
      <c r="BA29" s="2"/>
      <c r="BB29" s="3"/>
    </row>
    <row r="30" ht="12.75" customHeight="1">
      <c r="A30" s="14"/>
      <c r="B30" s="15"/>
      <c r="C30" s="15"/>
      <c r="D30" s="15"/>
      <c r="E30" s="15"/>
      <c r="F30" s="15"/>
      <c r="G30" s="15"/>
      <c r="H30" s="15"/>
      <c r="I30" s="16"/>
      <c r="J30" s="14"/>
      <c r="K30" s="15"/>
      <c r="L30" s="15"/>
      <c r="M30" s="15"/>
      <c r="N30" s="15"/>
      <c r="O30" s="15"/>
      <c r="P30" s="15"/>
      <c r="Q30" s="15"/>
      <c r="R30" s="16"/>
      <c r="S30" s="14"/>
      <c r="T30" s="15"/>
      <c r="U30" s="15"/>
      <c r="V30" s="15"/>
      <c r="W30" s="16"/>
      <c r="X30" s="14"/>
      <c r="Y30" s="15"/>
      <c r="Z30" s="15"/>
      <c r="AA30" s="16"/>
      <c r="AB30" s="14"/>
      <c r="AC30" s="15"/>
      <c r="AD30" s="16"/>
      <c r="AE30" s="14"/>
      <c r="AF30" s="15"/>
      <c r="AG30" s="15"/>
      <c r="AH30" s="16"/>
      <c r="AI30" s="14"/>
      <c r="AJ30" s="15"/>
      <c r="AK30" s="15"/>
      <c r="AL30" s="16"/>
      <c r="AM30" s="14"/>
      <c r="AN30" s="15"/>
      <c r="AO30" s="15"/>
      <c r="AP30" s="16"/>
      <c r="AQ30" s="14"/>
      <c r="AR30" s="15"/>
      <c r="AS30" s="15"/>
      <c r="AT30" s="16"/>
      <c r="AU30" s="99" t="s">
        <v>90</v>
      </c>
      <c r="AV30" s="99" t="s">
        <v>91</v>
      </c>
      <c r="AW30" s="100" t="s">
        <v>92</v>
      </c>
      <c r="AX30" s="6"/>
      <c r="AY30" s="14"/>
      <c r="AZ30" s="15"/>
      <c r="BA30" s="15"/>
      <c r="BB30" s="16"/>
    </row>
    <row r="31" ht="12.75" customHeight="1">
      <c r="A31" s="107"/>
      <c r="B31" s="15"/>
      <c r="C31" s="15"/>
      <c r="D31" s="15"/>
      <c r="E31" s="15"/>
      <c r="F31" s="15"/>
      <c r="G31" s="15"/>
      <c r="H31" s="15"/>
      <c r="I31" s="16"/>
      <c r="J31" s="107"/>
      <c r="K31" s="15"/>
      <c r="L31" s="15"/>
      <c r="M31" s="15"/>
      <c r="N31" s="15"/>
      <c r="O31" s="15"/>
      <c r="P31" s="15"/>
      <c r="Q31" s="15"/>
      <c r="R31" s="16"/>
      <c r="S31" s="107"/>
      <c r="T31" s="15"/>
      <c r="U31" s="15"/>
      <c r="V31" s="15"/>
      <c r="W31" s="16"/>
      <c r="X31" s="107"/>
      <c r="Y31" s="15"/>
      <c r="Z31" s="15"/>
      <c r="AA31" s="16"/>
      <c r="AB31" s="107"/>
      <c r="AC31" s="15"/>
      <c r="AD31" s="16"/>
      <c r="AE31" s="107"/>
      <c r="AF31" s="15"/>
      <c r="AG31" s="15"/>
      <c r="AH31" s="16"/>
      <c r="AI31" s="107"/>
      <c r="AJ31" s="15"/>
      <c r="AK31" s="15"/>
      <c r="AL31" s="16"/>
      <c r="AM31" s="107"/>
      <c r="AN31" s="15"/>
      <c r="AO31" s="15"/>
      <c r="AP31" s="16"/>
      <c r="AQ31" s="107"/>
      <c r="AR31" s="15"/>
      <c r="AS31" s="15"/>
      <c r="AT31" s="16"/>
      <c r="AU31" s="108"/>
      <c r="AV31" s="108"/>
      <c r="AW31" s="107"/>
      <c r="AX31" s="16"/>
      <c r="AY31" s="47"/>
      <c r="AZ31" s="109"/>
      <c r="BA31" s="109"/>
      <c r="BB31" s="110"/>
    </row>
    <row r="32" ht="12.75" customHeight="1">
      <c r="A32" s="42"/>
      <c r="B32" s="5"/>
      <c r="C32" s="5"/>
      <c r="D32" s="5"/>
      <c r="E32" s="5"/>
      <c r="F32" s="5"/>
      <c r="G32" s="5"/>
      <c r="H32" s="5"/>
      <c r="I32" s="6"/>
      <c r="J32" s="42"/>
      <c r="K32" s="5"/>
      <c r="L32" s="5"/>
      <c r="M32" s="5"/>
      <c r="N32" s="5"/>
      <c r="O32" s="5"/>
      <c r="P32" s="5"/>
      <c r="Q32" s="5"/>
      <c r="R32" s="6"/>
      <c r="S32" s="42"/>
      <c r="T32" s="5"/>
      <c r="U32" s="5"/>
      <c r="V32" s="5"/>
      <c r="W32" s="6"/>
      <c r="X32" s="42"/>
      <c r="Y32" s="5"/>
      <c r="Z32" s="5"/>
      <c r="AA32" s="6"/>
      <c r="AB32" s="42"/>
      <c r="AC32" s="5"/>
      <c r="AD32" s="6"/>
      <c r="AE32" s="42"/>
      <c r="AF32" s="5"/>
      <c r="AG32" s="5"/>
      <c r="AH32" s="6"/>
      <c r="AI32" s="42"/>
      <c r="AJ32" s="5"/>
      <c r="AK32" s="5"/>
      <c r="AL32" s="6"/>
      <c r="AM32" s="42"/>
      <c r="AN32" s="5"/>
      <c r="AO32" s="5"/>
      <c r="AP32" s="6"/>
      <c r="AQ32" s="42"/>
      <c r="AR32" s="5"/>
      <c r="AS32" s="5"/>
      <c r="AT32" s="6"/>
      <c r="AU32" s="101"/>
      <c r="AV32" s="101"/>
      <c r="AW32" s="42"/>
      <c r="AX32" s="6"/>
      <c r="AY32" s="50"/>
      <c r="AZ32" s="38"/>
      <c r="BA32" s="38"/>
      <c r="BB32" s="39"/>
    </row>
    <row r="33" ht="12.75" customHeight="1">
      <c r="A33" s="42"/>
      <c r="B33" s="5"/>
      <c r="C33" s="5"/>
      <c r="D33" s="5"/>
      <c r="E33" s="5"/>
      <c r="F33" s="5"/>
      <c r="G33" s="5"/>
      <c r="H33" s="5"/>
      <c r="I33" s="6"/>
      <c r="J33" s="42"/>
      <c r="K33" s="5"/>
      <c r="L33" s="5"/>
      <c r="M33" s="5"/>
      <c r="N33" s="5"/>
      <c r="O33" s="5"/>
      <c r="P33" s="5"/>
      <c r="Q33" s="5"/>
      <c r="R33" s="6"/>
      <c r="S33" s="42"/>
      <c r="T33" s="5"/>
      <c r="U33" s="5"/>
      <c r="V33" s="5"/>
      <c r="W33" s="6"/>
      <c r="X33" s="42"/>
      <c r="Y33" s="5"/>
      <c r="Z33" s="5"/>
      <c r="AA33" s="6"/>
      <c r="AB33" s="42"/>
      <c r="AC33" s="5"/>
      <c r="AD33" s="6"/>
      <c r="AE33" s="42"/>
      <c r="AF33" s="5"/>
      <c r="AG33" s="5"/>
      <c r="AH33" s="6"/>
      <c r="AI33" s="42"/>
      <c r="AJ33" s="5"/>
      <c r="AK33" s="5"/>
      <c r="AL33" s="6"/>
      <c r="AM33" s="42"/>
      <c r="AN33" s="5"/>
      <c r="AO33" s="5"/>
      <c r="AP33" s="6"/>
      <c r="AQ33" s="42"/>
      <c r="AR33" s="5"/>
      <c r="AS33" s="5"/>
      <c r="AT33" s="6"/>
      <c r="AU33" s="101"/>
      <c r="AV33" s="101"/>
      <c r="AW33" s="42"/>
      <c r="AX33" s="6"/>
      <c r="AY33" s="50"/>
      <c r="AZ33" s="38"/>
      <c r="BA33" s="38"/>
      <c r="BB33" s="39"/>
    </row>
    <row r="34" ht="15.0" customHeight="1">
      <c r="A34" s="42"/>
      <c r="B34" s="5"/>
      <c r="C34" s="5"/>
      <c r="D34" s="5"/>
      <c r="E34" s="5"/>
      <c r="F34" s="5"/>
      <c r="G34" s="5"/>
      <c r="H34" s="5"/>
      <c r="I34" s="6"/>
      <c r="J34" s="42"/>
      <c r="K34" s="5"/>
      <c r="L34" s="5"/>
      <c r="M34" s="5"/>
      <c r="N34" s="5"/>
      <c r="O34" s="5"/>
      <c r="P34" s="5"/>
      <c r="Q34" s="5"/>
      <c r="R34" s="6"/>
      <c r="S34" s="42"/>
      <c r="T34" s="5"/>
      <c r="U34" s="5"/>
      <c r="V34" s="5"/>
      <c r="W34" s="6"/>
      <c r="X34" s="42"/>
      <c r="Y34" s="5"/>
      <c r="Z34" s="5"/>
      <c r="AA34" s="6"/>
      <c r="AB34" s="42"/>
      <c r="AC34" s="5"/>
      <c r="AD34" s="6"/>
      <c r="AE34" s="42"/>
      <c r="AF34" s="5"/>
      <c r="AG34" s="5"/>
      <c r="AH34" s="6"/>
      <c r="AI34" s="42"/>
      <c r="AJ34" s="5"/>
      <c r="AK34" s="5"/>
      <c r="AL34" s="6"/>
      <c r="AM34" s="42"/>
      <c r="AN34" s="5"/>
      <c r="AO34" s="5"/>
      <c r="AP34" s="6"/>
      <c r="AQ34" s="42"/>
      <c r="AR34" s="5"/>
      <c r="AS34" s="5"/>
      <c r="AT34" s="6"/>
      <c r="AU34" s="101"/>
      <c r="AV34" s="101"/>
      <c r="AW34" s="42"/>
      <c r="AX34" s="6"/>
      <c r="AY34" s="50"/>
      <c r="AZ34" s="38"/>
      <c r="BA34" s="38"/>
      <c r="BB34" s="39"/>
    </row>
    <row r="35" ht="15.0" customHeight="1">
      <c r="A35" s="42"/>
      <c r="B35" s="5"/>
      <c r="C35" s="5"/>
      <c r="D35" s="5"/>
      <c r="E35" s="5"/>
      <c r="F35" s="5"/>
      <c r="G35" s="5"/>
      <c r="H35" s="5"/>
      <c r="I35" s="6"/>
      <c r="J35" s="42"/>
      <c r="K35" s="5"/>
      <c r="L35" s="5"/>
      <c r="M35" s="5"/>
      <c r="N35" s="5"/>
      <c r="O35" s="5"/>
      <c r="P35" s="5"/>
      <c r="Q35" s="5"/>
      <c r="R35" s="6"/>
      <c r="S35" s="42"/>
      <c r="T35" s="5"/>
      <c r="U35" s="5"/>
      <c r="V35" s="5"/>
      <c r="W35" s="6"/>
      <c r="X35" s="42"/>
      <c r="Y35" s="5"/>
      <c r="Z35" s="5"/>
      <c r="AA35" s="6"/>
      <c r="AB35" s="42"/>
      <c r="AC35" s="5"/>
      <c r="AD35" s="6"/>
      <c r="AE35" s="42"/>
      <c r="AF35" s="5"/>
      <c r="AG35" s="5"/>
      <c r="AH35" s="6"/>
      <c r="AI35" s="42"/>
      <c r="AJ35" s="5"/>
      <c r="AK35" s="5"/>
      <c r="AL35" s="6"/>
      <c r="AM35" s="42"/>
      <c r="AN35" s="5"/>
      <c r="AO35" s="5"/>
      <c r="AP35" s="6"/>
      <c r="AQ35" s="42"/>
      <c r="AR35" s="5"/>
      <c r="AS35" s="5"/>
      <c r="AT35" s="6"/>
      <c r="AU35" s="101"/>
      <c r="AV35" s="101"/>
      <c r="AW35" s="42"/>
      <c r="AX35" s="6"/>
      <c r="AY35" s="50"/>
      <c r="AZ35" s="38"/>
      <c r="BA35" s="38"/>
      <c r="BB35" s="39"/>
    </row>
    <row r="36" ht="12.75" customHeight="1">
      <c r="A36" s="42"/>
      <c r="B36" s="5"/>
      <c r="C36" s="5"/>
      <c r="D36" s="5"/>
      <c r="E36" s="5"/>
      <c r="F36" s="5"/>
      <c r="G36" s="5"/>
      <c r="H36" s="5"/>
      <c r="I36" s="6"/>
      <c r="J36" s="42"/>
      <c r="K36" s="5"/>
      <c r="L36" s="5"/>
      <c r="M36" s="5"/>
      <c r="N36" s="5"/>
      <c r="O36" s="5"/>
      <c r="P36" s="5"/>
      <c r="Q36" s="5"/>
      <c r="R36" s="6"/>
      <c r="S36" s="42"/>
      <c r="T36" s="5"/>
      <c r="U36" s="5"/>
      <c r="V36" s="5"/>
      <c r="W36" s="6"/>
      <c r="X36" s="42"/>
      <c r="Y36" s="5"/>
      <c r="Z36" s="5"/>
      <c r="AA36" s="6"/>
      <c r="AB36" s="42"/>
      <c r="AC36" s="5"/>
      <c r="AD36" s="6"/>
      <c r="AE36" s="42"/>
      <c r="AF36" s="5"/>
      <c r="AG36" s="5"/>
      <c r="AH36" s="6"/>
      <c r="AI36" s="42"/>
      <c r="AJ36" s="5"/>
      <c r="AK36" s="5"/>
      <c r="AL36" s="6"/>
      <c r="AM36" s="42"/>
      <c r="AN36" s="5"/>
      <c r="AO36" s="5"/>
      <c r="AP36" s="6"/>
      <c r="AQ36" s="42"/>
      <c r="AR36" s="5"/>
      <c r="AS36" s="5"/>
      <c r="AT36" s="6"/>
      <c r="AU36" s="101"/>
      <c r="AV36" s="101"/>
      <c r="AW36" s="42"/>
      <c r="AX36" s="6"/>
      <c r="AY36" s="50"/>
      <c r="AZ36" s="38"/>
      <c r="BA36" s="38"/>
      <c r="BB36" s="39"/>
    </row>
    <row r="37" ht="12.75" customHeight="1">
      <c r="A37" s="42"/>
      <c r="B37" s="5"/>
      <c r="C37" s="5"/>
      <c r="D37" s="5"/>
      <c r="E37" s="5"/>
      <c r="F37" s="5"/>
      <c r="G37" s="5"/>
      <c r="H37" s="5"/>
      <c r="I37" s="6"/>
      <c r="J37" s="42"/>
      <c r="K37" s="5"/>
      <c r="L37" s="5"/>
      <c r="M37" s="5"/>
      <c r="N37" s="5"/>
      <c r="O37" s="5"/>
      <c r="P37" s="5"/>
      <c r="Q37" s="5"/>
      <c r="R37" s="6"/>
      <c r="S37" s="42"/>
      <c r="T37" s="5"/>
      <c r="U37" s="5"/>
      <c r="V37" s="5"/>
      <c r="W37" s="6"/>
      <c r="X37" s="42"/>
      <c r="Y37" s="5"/>
      <c r="Z37" s="5"/>
      <c r="AA37" s="6"/>
      <c r="AB37" s="42"/>
      <c r="AC37" s="5"/>
      <c r="AD37" s="6"/>
      <c r="AE37" s="42"/>
      <c r="AF37" s="5"/>
      <c r="AG37" s="5"/>
      <c r="AH37" s="6"/>
      <c r="AI37" s="42"/>
      <c r="AJ37" s="5"/>
      <c r="AK37" s="5"/>
      <c r="AL37" s="6"/>
      <c r="AM37" s="42"/>
      <c r="AN37" s="5"/>
      <c r="AO37" s="5"/>
      <c r="AP37" s="6"/>
      <c r="AQ37" s="42"/>
      <c r="AR37" s="5"/>
      <c r="AS37" s="5"/>
      <c r="AT37" s="6"/>
      <c r="AU37" s="101"/>
      <c r="AV37" s="101"/>
      <c r="AW37" s="42"/>
      <c r="AX37" s="6"/>
      <c r="AY37" s="50"/>
      <c r="AZ37" s="38"/>
      <c r="BA37" s="38"/>
      <c r="BB37" s="39"/>
    </row>
    <row r="38" ht="12.75" customHeight="1">
      <c r="A38" s="42"/>
      <c r="B38" s="5"/>
      <c r="C38" s="5"/>
      <c r="D38" s="5"/>
      <c r="E38" s="5"/>
      <c r="F38" s="5"/>
      <c r="G38" s="5"/>
      <c r="H38" s="5"/>
      <c r="I38" s="6"/>
      <c r="J38" s="42"/>
      <c r="K38" s="5"/>
      <c r="L38" s="5"/>
      <c r="M38" s="5"/>
      <c r="N38" s="5"/>
      <c r="O38" s="5"/>
      <c r="P38" s="5"/>
      <c r="Q38" s="5"/>
      <c r="R38" s="6"/>
      <c r="S38" s="42"/>
      <c r="T38" s="5"/>
      <c r="U38" s="5"/>
      <c r="V38" s="5"/>
      <c r="W38" s="6"/>
      <c r="X38" s="42"/>
      <c r="Y38" s="5"/>
      <c r="Z38" s="5"/>
      <c r="AA38" s="6"/>
      <c r="AB38" s="42"/>
      <c r="AC38" s="5"/>
      <c r="AD38" s="6"/>
      <c r="AE38" s="42"/>
      <c r="AF38" s="5"/>
      <c r="AG38" s="5"/>
      <c r="AH38" s="6"/>
      <c r="AI38" s="42"/>
      <c r="AJ38" s="5"/>
      <c r="AK38" s="5"/>
      <c r="AL38" s="6"/>
      <c r="AM38" s="42"/>
      <c r="AN38" s="5"/>
      <c r="AO38" s="5"/>
      <c r="AP38" s="6"/>
      <c r="AQ38" s="42"/>
      <c r="AR38" s="5"/>
      <c r="AS38" s="5"/>
      <c r="AT38" s="6"/>
      <c r="AU38" s="101"/>
      <c r="AV38" s="101"/>
      <c r="AW38" s="42"/>
      <c r="AX38" s="6"/>
      <c r="AY38" s="50"/>
      <c r="AZ38" s="38"/>
      <c r="BA38" s="38"/>
      <c r="BB38" s="39"/>
    </row>
    <row r="39" ht="12.75" customHeight="1">
      <c r="A39" s="42"/>
      <c r="B39" s="5"/>
      <c r="C39" s="5"/>
      <c r="D39" s="5"/>
      <c r="E39" s="5"/>
      <c r="F39" s="5"/>
      <c r="G39" s="5"/>
      <c r="H39" s="5"/>
      <c r="I39" s="6"/>
      <c r="J39" s="42"/>
      <c r="K39" s="5"/>
      <c r="L39" s="5"/>
      <c r="M39" s="5"/>
      <c r="N39" s="5"/>
      <c r="O39" s="5"/>
      <c r="P39" s="5"/>
      <c r="Q39" s="5"/>
      <c r="R39" s="6"/>
      <c r="S39" s="42"/>
      <c r="T39" s="5"/>
      <c r="U39" s="5"/>
      <c r="V39" s="5"/>
      <c r="W39" s="6"/>
      <c r="X39" s="42"/>
      <c r="Y39" s="5"/>
      <c r="Z39" s="5"/>
      <c r="AA39" s="6"/>
      <c r="AB39" s="42"/>
      <c r="AC39" s="5"/>
      <c r="AD39" s="6"/>
      <c r="AE39" s="42"/>
      <c r="AF39" s="5"/>
      <c r="AG39" s="5"/>
      <c r="AH39" s="6"/>
      <c r="AI39" s="42"/>
      <c r="AJ39" s="5"/>
      <c r="AK39" s="5"/>
      <c r="AL39" s="6"/>
      <c r="AM39" s="42"/>
      <c r="AN39" s="5"/>
      <c r="AO39" s="5"/>
      <c r="AP39" s="6"/>
      <c r="AQ39" s="42"/>
      <c r="AR39" s="5"/>
      <c r="AS39" s="5"/>
      <c r="AT39" s="6"/>
      <c r="AU39" s="101"/>
      <c r="AV39" s="101"/>
      <c r="AW39" s="42"/>
      <c r="AX39" s="6"/>
      <c r="AY39" s="50"/>
      <c r="AZ39" s="38"/>
      <c r="BA39" s="38"/>
      <c r="BB39" s="39"/>
    </row>
    <row r="40" ht="12.75" customHeight="1">
      <c r="A40" s="42"/>
      <c r="B40" s="5"/>
      <c r="C40" s="5"/>
      <c r="D40" s="5"/>
      <c r="E40" s="5"/>
      <c r="F40" s="5"/>
      <c r="G40" s="5"/>
      <c r="H40" s="5"/>
      <c r="I40" s="6"/>
      <c r="J40" s="42"/>
      <c r="K40" s="5"/>
      <c r="L40" s="5"/>
      <c r="M40" s="5"/>
      <c r="N40" s="5"/>
      <c r="O40" s="5"/>
      <c r="P40" s="5"/>
      <c r="Q40" s="5"/>
      <c r="R40" s="6"/>
      <c r="S40" s="42"/>
      <c r="T40" s="5"/>
      <c r="U40" s="5"/>
      <c r="V40" s="5"/>
      <c r="W40" s="6"/>
      <c r="X40" s="42"/>
      <c r="Y40" s="5"/>
      <c r="Z40" s="5"/>
      <c r="AA40" s="6"/>
      <c r="AB40" s="42"/>
      <c r="AC40" s="5"/>
      <c r="AD40" s="6"/>
      <c r="AE40" s="42"/>
      <c r="AF40" s="5"/>
      <c r="AG40" s="5"/>
      <c r="AH40" s="6"/>
      <c r="AI40" s="42"/>
      <c r="AJ40" s="5"/>
      <c r="AK40" s="5"/>
      <c r="AL40" s="6"/>
      <c r="AM40" s="42"/>
      <c r="AN40" s="5"/>
      <c r="AO40" s="5"/>
      <c r="AP40" s="6"/>
      <c r="AQ40" s="42"/>
      <c r="AR40" s="5"/>
      <c r="AS40" s="5"/>
      <c r="AT40" s="6"/>
      <c r="AU40" s="101"/>
      <c r="AV40" s="101"/>
      <c r="AW40" s="42"/>
      <c r="AX40" s="6"/>
      <c r="AY40" s="50"/>
      <c r="AZ40" s="38"/>
      <c r="BA40" s="38"/>
      <c r="BB40" s="39"/>
    </row>
    <row r="41" ht="12.75" customHeight="1">
      <c r="A41" s="89" t="s">
        <v>96</v>
      </c>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6"/>
      <c r="AQ41" s="42" t="s">
        <v>97</v>
      </c>
      <c r="AR41" s="5"/>
      <c r="AS41" s="5"/>
      <c r="AT41" s="5"/>
      <c r="AU41" s="5"/>
      <c r="AV41" s="5"/>
      <c r="AW41" s="5"/>
      <c r="AX41" s="6"/>
      <c r="AY41" s="111" t="s">
        <v>98</v>
      </c>
      <c r="AZ41" s="5"/>
      <c r="BA41" s="5"/>
      <c r="BB41" s="6"/>
    </row>
    <row r="42" ht="12.75" customHeight="1">
      <c r="A42" s="112" t="s">
        <v>99</v>
      </c>
      <c r="B42" s="113"/>
      <c r="C42" s="113"/>
      <c r="D42" s="113"/>
      <c r="E42" s="113"/>
      <c r="F42" s="113"/>
      <c r="G42" s="113"/>
      <c r="H42" s="113"/>
      <c r="I42" s="113"/>
      <c r="J42" s="113"/>
      <c r="K42" s="113"/>
      <c r="L42" s="113"/>
      <c r="M42" s="113"/>
      <c r="N42" s="113"/>
      <c r="O42" s="113"/>
      <c r="P42" s="113"/>
      <c r="Q42" s="113"/>
      <c r="R42" s="113"/>
      <c r="S42" s="113"/>
      <c r="T42" s="113"/>
      <c r="U42" s="113"/>
      <c r="V42" s="113"/>
      <c r="W42" s="113"/>
      <c r="X42" s="113"/>
      <c r="Y42" s="113"/>
      <c r="Z42" s="113"/>
      <c r="AA42" s="113"/>
      <c r="AB42" s="113"/>
      <c r="AC42" s="113"/>
      <c r="AD42" s="113"/>
      <c r="AE42" s="113"/>
      <c r="AF42" s="113"/>
      <c r="AG42" s="113"/>
      <c r="AH42" s="113"/>
      <c r="AI42" s="113"/>
      <c r="AJ42" s="113"/>
      <c r="AK42" s="113"/>
      <c r="AL42" s="113"/>
      <c r="AM42" s="113"/>
      <c r="AN42" s="113"/>
      <c r="AO42" s="113"/>
      <c r="AP42" s="113"/>
      <c r="AQ42" s="113"/>
      <c r="AR42" s="113"/>
      <c r="AS42" s="113"/>
      <c r="AT42" s="113"/>
      <c r="AU42" s="113"/>
      <c r="AV42" s="113"/>
      <c r="AW42" s="113"/>
      <c r="AX42" s="113"/>
      <c r="AY42" s="113"/>
      <c r="AZ42" s="113"/>
      <c r="BA42" s="113"/>
      <c r="BB42" s="113"/>
    </row>
    <row r="43" ht="12.75" customHeight="1">
      <c r="A43" s="96"/>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6"/>
    </row>
    <row r="44" ht="12.75" customHeight="1">
      <c r="A44" s="96"/>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6"/>
    </row>
    <row r="45" ht="12.75" customHeight="1">
      <c r="A45" s="96"/>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6"/>
    </row>
    <row r="46" ht="12.75" customHeight="1">
      <c r="A46" s="96"/>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6"/>
    </row>
    <row r="47" ht="4.5" customHeight="1">
      <c r="A47" s="54"/>
      <c r="B47" s="55"/>
      <c r="C47" s="55"/>
      <c r="D47" s="55"/>
      <c r="E47" s="55"/>
      <c r="F47" s="55"/>
      <c r="G47" s="55"/>
      <c r="H47" s="55"/>
      <c r="I47" s="55"/>
      <c r="J47" s="55"/>
      <c r="K47" s="55"/>
      <c r="L47" s="55"/>
      <c r="M47" s="55"/>
      <c r="N47" s="55"/>
      <c r="O47" s="55"/>
      <c r="P47" s="55"/>
      <c r="Q47" s="55"/>
      <c r="R47" s="55"/>
      <c r="S47" s="55"/>
      <c r="T47" s="55"/>
      <c r="U47" s="55"/>
      <c r="V47" s="55"/>
      <c r="W47" s="55"/>
      <c r="X47" s="55"/>
      <c r="Y47" s="55"/>
      <c r="Z47" s="55"/>
      <c r="AA47" s="55"/>
      <c r="AB47" s="55"/>
      <c r="AC47" s="55"/>
      <c r="AD47" s="55"/>
      <c r="AE47" s="55"/>
      <c r="AF47" s="55"/>
      <c r="AG47" s="55"/>
      <c r="AH47" s="55"/>
      <c r="AI47" s="55"/>
      <c r="AJ47" s="55"/>
      <c r="AK47" s="55"/>
      <c r="AL47" s="55"/>
      <c r="AM47" s="55"/>
      <c r="AN47" s="55"/>
      <c r="AO47" s="55"/>
      <c r="AP47" s="55"/>
      <c r="AQ47" s="55"/>
      <c r="AR47" s="55"/>
      <c r="AS47" s="55"/>
      <c r="AT47" s="55"/>
      <c r="AU47" s="55"/>
      <c r="AV47" s="55"/>
      <c r="AW47" s="55"/>
      <c r="AX47" s="55"/>
      <c r="AY47" s="55"/>
      <c r="AZ47" s="55"/>
      <c r="BA47" s="55"/>
      <c r="BB47" s="55"/>
    </row>
    <row r="48" ht="12.75" customHeight="1">
      <c r="A48" s="54"/>
      <c r="B48" s="55"/>
      <c r="C48" s="55"/>
      <c r="D48" s="55"/>
      <c r="E48" s="55"/>
      <c r="F48" s="55"/>
      <c r="G48" s="55"/>
      <c r="H48" s="55"/>
      <c r="I48" s="55"/>
      <c r="J48" s="55"/>
      <c r="K48" s="55"/>
      <c r="L48" s="55"/>
      <c r="M48" s="55"/>
      <c r="N48" s="55"/>
      <c r="O48" s="55"/>
      <c r="P48" s="55"/>
      <c r="Q48" s="55"/>
      <c r="R48" s="55"/>
      <c r="S48" s="55"/>
      <c r="T48" s="55"/>
      <c r="U48" s="80" t="s">
        <v>100</v>
      </c>
      <c r="V48" s="5"/>
      <c r="W48" s="5"/>
      <c r="X48" s="5"/>
      <c r="Y48" s="5"/>
      <c r="Z48" s="5"/>
      <c r="AA48" s="5"/>
      <c r="AB48" s="5"/>
      <c r="AC48" s="5"/>
      <c r="AD48" s="5"/>
      <c r="AE48" s="5"/>
      <c r="AF48" s="5"/>
      <c r="AG48" s="5"/>
      <c r="AH48" s="5"/>
      <c r="AI48" s="5"/>
      <c r="AJ48" s="6"/>
      <c r="AK48" s="80" t="s">
        <v>100</v>
      </c>
      <c r="AL48" s="5"/>
      <c r="AM48" s="5"/>
      <c r="AN48" s="5"/>
      <c r="AO48" s="5"/>
      <c r="AP48" s="5"/>
      <c r="AQ48" s="5"/>
      <c r="AR48" s="5"/>
      <c r="AS48" s="5"/>
      <c r="AT48" s="5"/>
      <c r="AU48" s="5"/>
      <c r="AV48" s="5"/>
      <c r="AW48" s="5"/>
      <c r="AX48" s="5"/>
      <c r="AY48" s="5"/>
      <c r="AZ48" s="6"/>
      <c r="BA48" s="55"/>
      <c r="BB48" s="55"/>
    </row>
    <row r="49" ht="12.75" customHeight="1">
      <c r="A49" s="54"/>
      <c r="B49" s="55"/>
      <c r="C49" s="55"/>
      <c r="D49" s="55"/>
      <c r="E49" s="55"/>
      <c r="F49" s="55"/>
      <c r="G49" s="55"/>
      <c r="H49" s="55"/>
      <c r="I49" s="55"/>
      <c r="J49" s="55"/>
      <c r="K49" s="55"/>
      <c r="L49" s="55"/>
      <c r="M49" s="55"/>
      <c r="N49" s="55"/>
      <c r="O49" s="55"/>
      <c r="P49" s="55"/>
      <c r="Q49" s="55"/>
      <c r="R49" s="55"/>
      <c r="S49" s="55"/>
      <c r="T49" s="55"/>
      <c r="U49" s="94"/>
      <c r="V49" s="2"/>
      <c r="W49" s="2"/>
      <c r="X49" s="2"/>
      <c r="Y49" s="2"/>
      <c r="Z49" s="2"/>
      <c r="AA49" s="2"/>
      <c r="AB49" s="2"/>
      <c r="AC49" s="2"/>
      <c r="AD49" s="2"/>
      <c r="AE49" s="2"/>
      <c r="AF49" s="2"/>
      <c r="AG49" s="2"/>
      <c r="AH49" s="2"/>
      <c r="AI49" s="2"/>
      <c r="AJ49" s="3"/>
      <c r="AK49" s="94"/>
      <c r="AL49" s="2"/>
      <c r="AM49" s="2"/>
      <c r="AN49" s="2"/>
      <c r="AO49" s="2"/>
      <c r="AP49" s="2"/>
      <c r="AQ49" s="2"/>
      <c r="AR49" s="2"/>
      <c r="AS49" s="2"/>
      <c r="AT49" s="2"/>
      <c r="AU49" s="2"/>
      <c r="AV49" s="2"/>
      <c r="AW49" s="2"/>
      <c r="AX49" s="2"/>
      <c r="AY49" s="2"/>
      <c r="AZ49" s="3"/>
      <c r="BA49" s="55"/>
      <c r="BB49" s="55"/>
    </row>
    <row r="50" ht="12.75" customHeight="1">
      <c r="A50" s="54"/>
      <c r="B50" s="114"/>
      <c r="C50" s="114"/>
      <c r="D50" s="114"/>
      <c r="E50" s="114"/>
      <c r="F50" s="114"/>
      <c r="G50" s="114"/>
      <c r="H50" s="114"/>
      <c r="I50" s="114"/>
      <c r="J50" s="114"/>
      <c r="K50" s="114"/>
      <c r="L50" s="114"/>
      <c r="M50" s="114"/>
      <c r="N50" s="114"/>
      <c r="O50" s="114"/>
      <c r="P50" s="114"/>
      <c r="Q50" s="114"/>
      <c r="R50" s="114"/>
      <c r="S50" s="114"/>
      <c r="T50" s="55"/>
      <c r="U50" s="14"/>
      <c r="V50" s="15"/>
      <c r="W50" s="15"/>
      <c r="X50" s="15"/>
      <c r="Y50" s="15"/>
      <c r="Z50" s="15"/>
      <c r="AA50" s="15"/>
      <c r="AB50" s="15"/>
      <c r="AC50" s="15"/>
      <c r="AD50" s="15"/>
      <c r="AE50" s="15"/>
      <c r="AF50" s="15"/>
      <c r="AG50" s="15"/>
      <c r="AH50" s="15"/>
      <c r="AI50" s="15"/>
      <c r="AJ50" s="16"/>
      <c r="AK50" s="14"/>
      <c r="AL50" s="15"/>
      <c r="AM50" s="15"/>
      <c r="AN50" s="15"/>
      <c r="AO50" s="15"/>
      <c r="AP50" s="15"/>
      <c r="AQ50" s="15"/>
      <c r="AR50" s="15"/>
      <c r="AS50" s="15"/>
      <c r="AT50" s="15"/>
      <c r="AU50" s="15"/>
      <c r="AV50" s="15"/>
      <c r="AW50" s="15"/>
      <c r="AX50" s="15"/>
      <c r="AY50" s="15"/>
      <c r="AZ50" s="16"/>
      <c r="BA50" s="55"/>
      <c r="BB50" s="55"/>
    </row>
    <row r="51" ht="12.75" customHeight="1">
      <c r="A51" s="54"/>
      <c r="B51" s="114"/>
      <c r="C51" s="114"/>
      <c r="D51" s="114"/>
      <c r="E51" s="114"/>
      <c r="F51" s="114"/>
      <c r="G51" s="114"/>
      <c r="H51" s="114"/>
      <c r="I51" s="114"/>
      <c r="J51" s="114"/>
      <c r="K51" s="114"/>
      <c r="L51" s="114"/>
      <c r="M51" s="114"/>
      <c r="N51" s="114"/>
      <c r="O51" s="114"/>
      <c r="P51" s="114"/>
      <c r="Q51" s="114"/>
      <c r="R51" s="114"/>
      <c r="S51" s="114"/>
      <c r="T51" s="55"/>
      <c r="U51" s="90" t="s">
        <v>101</v>
      </c>
      <c r="V51" s="5"/>
      <c r="W51" s="5"/>
      <c r="X51" s="5"/>
      <c r="Y51" s="5"/>
      <c r="Z51" s="5"/>
      <c r="AA51" s="5"/>
      <c r="AB51" s="5"/>
      <c r="AC51" s="5"/>
      <c r="AD51" s="5"/>
      <c r="AE51" s="5"/>
      <c r="AF51" s="5"/>
      <c r="AG51" s="5"/>
      <c r="AH51" s="5"/>
      <c r="AI51" s="5"/>
      <c r="AJ51" s="6"/>
      <c r="AK51" s="90" t="s">
        <v>101</v>
      </c>
      <c r="AL51" s="5"/>
      <c r="AM51" s="5"/>
      <c r="AN51" s="5"/>
      <c r="AO51" s="5"/>
      <c r="AP51" s="5"/>
      <c r="AQ51" s="5"/>
      <c r="AR51" s="5"/>
      <c r="AS51" s="5"/>
      <c r="AT51" s="5"/>
      <c r="AU51" s="5"/>
      <c r="AV51" s="5"/>
      <c r="AW51" s="5"/>
      <c r="AX51" s="5"/>
      <c r="AY51" s="5"/>
      <c r="AZ51" s="6"/>
      <c r="BA51" s="115"/>
      <c r="BB51" s="55"/>
    </row>
    <row r="52" ht="12.75" customHeight="1">
      <c r="A52" s="54"/>
      <c r="B52" s="55"/>
      <c r="C52" s="55"/>
      <c r="D52" s="55"/>
      <c r="E52" s="55"/>
      <c r="F52" s="55"/>
      <c r="G52" s="55"/>
      <c r="H52" s="55"/>
      <c r="I52" s="55"/>
      <c r="J52" s="55"/>
      <c r="K52" s="55"/>
      <c r="L52" s="55"/>
      <c r="M52" s="55"/>
      <c r="N52" s="55"/>
      <c r="O52" s="55"/>
      <c r="P52" s="55"/>
      <c r="Q52" s="55"/>
      <c r="R52" s="55"/>
      <c r="S52" s="55"/>
      <c r="T52" s="55"/>
      <c r="U52" s="90" t="s">
        <v>58</v>
      </c>
      <c r="V52" s="5"/>
      <c r="W52" s="5"/>
      <c r="X52" s="5"/>
      <c r="Y52" s="5"/>
      <c r="Z52" s="5"/>
      <c r="AA52" s="5"/>
      <c r="AB52" s="5"/>
      <c r="AC52" s="5"/>
      <c r="AD52" s="5"/>
      <c r="AE52" s="5"/>
      <c r="AF52" s="5"/>
      <c r="AG52" s="5"/>
      <c r="AH52" s="5"/>
      <c r="AI52" s="5"/>
      <c r="AJ52" s="6"/>
      <c r="AK52" s="90" t="s">
        <v>58</v>
      </c>
      <c r="AL52" s="5"/>
      <c r="AM52" s="5"/>
      <c r="AN52" s="5"/>
      <c r="AO52" s="5"/>
      <c r="AP52" s="5"/>
      <c r="AQ52" s="5"/>
      <c r="AR52" s="5"/>
      <c r="AS52" s="5"/>
      <c r="AT52" s="5"/>
      <c r="AU52" s="5"/>
      <c r="AV52" s="5"/>
      <c r="AW52" s="5"/>
      <c r="AX52" s="5"/>
      <c r="AY52" s="5"/>
      <c r="AZ52" s="6"/>
      <c r="BA52" s="115"/>
      <c r="BB52" s="55"/>
    </row>
    <row r="53" ht="12.75" customHeight="1">
      <c r="A53" s="54"/>
      <c r="B53" s="55"/>
      <c r="C53" s="55"/>
      <c r="D53" s="55"/>
      <c r="E53" s="55"/>
      <c r="F53" s="55"/>
      <c r="G53" s="55"/>
      <c r="H53" s="55"/>
      <c r="I53" s="55"/>
      <c r="J53" s="55"/>
      <c r="K53" s="55"/>
      <c r="L53" s="55"/>
      <c r="M53" s="55"/>
      <c r="N53" s="55"/>
      <c r="O53" s="55"/>
      <c r="P53" s="55"/>
      <c r="Q53" s="55"/>
      <c r="R53" s="55"/>
      <c r="S53" s="55"/>
      <c r="T53" s="55"/>
      <c r="U53" s="90" t="s">
        <v>102</v>
      </c>
      <c r="V53" s="5"/>
      <c r="W53" s="5"/>
      <c r="X53" s="5"/>
      <c r="Y53" s="5"/>
      <c r="Z53" s="5"/>
      <c r="AA53" s="5"/>
      <c r="AB53" s="5"/>
      <c r="AC53" s="5"/>
      <c r="AD53" s="5"/>
      <c r="AE53" s="5"/>
      <c r="AF53" s="5"/>
      <c r="AG53" s="5"/>
      <c r="AH53" s="5"/>
      <c r="AI53" s="5"/>
      <c r="AJ53" s="6"/>
      <c r="AK53" s="90" t="s">
        <v>102</v>
      </c>
      <c r="AL53" s="5"/>
      <c r="AM53" s="5"/>
      <c r="AN53" s="5"/>
      <c r="AO53" s="5"/>
      <c r="AP53" s="5"/>
      <c r="AQ53" s="5"/>
      <c r="AR53" s="5"/>
      <c r="AS53" s="5"/>
      <c r="AT53" s="5"/>
      <c r="AU53" s="5"/>
      <c r="AV53" s="5"/>
      <c r="AW53" s="5"/>
      <c r="AX53" s="5"/>
      <c r="AY53" s="5"/>
      <c r="AZ53" s="6"/>
      <c r="BA53" s="115"/>
      <c r="BB53" s="55"/>
    </row>
    <row r="54" ht="4.5" customHeight="1">
      <c r="A54" s="61"/>
      <c r="B54" s="62"/>
      <c r="C54" s="62"/>
      <c r="D54" s="62"/>
      <c r="E54" s="62"/>
      <c r="F54" s="62"/>
      <c r="G54" s="62"/>
      <c r="H54" s="62"/>
      <c r="I54" s="62"/>
      <c r="J54" s="62"/>
      <c r="K54" s="62"/>
      <c r="L54" s="62"/>
      <c r="M54" s="62"/>
      <c r="N54" s="62"/>
      <c r="O54" s="62"/>
      <c r="P54" s="62"/>
      <c r="Q54" s="62"/>
      <c r="R54" s="62"/>
      <c r="S54" s="62"/>
      <c r="T54" s="62"/>
      <c r="U54" s="62"/>
      <c r="V54" s="62"/>
      <c r="W54" s="62"/>
      <c r="X54" s="62"/>
      <c r="Y54" s="62"/>
      <c r="Z54" s="62"/>
      <c r="AA54" s="62"/>
      <c r="AB54" s="62"/>
      <c r="AC54" s="62"/>
      <c r="AD54" s="62"/>
      <c r="AE54" s="62"/>
      <c r="AF54" s="62"/>
      <c r="AG54" s="62"/>
      <c r="AH54" s="62"/>
      <c r="AI54" s="62"/>
      <c r="AJ54" s="62"/>
      <c r="AK54" s="62"/>
      <c r="AL54" s="62"/>
      <c r="AM54" s="62"/>
      <c r="AN54" s="62"/>
      <c r="AO54" s="62"/>
      <c r="AP54" s="62"/>
      <c r="AQ54" s="62"/>
      <c r="AR54" s="62"/>
      <c r="AS54" s="62"/>
      <c r="AT54" s="62"/>
      <c r="AU54" s="62"/>
      <c r="AV54" s="62"/>
      <c r="AW54" s="62"/>
      <c r="AX54" s="62"/>
      <c r="AY54" s="62"/>
      <c r="AZ54" s="62"/>
      <c r="BA54" s="62"/>
      <c r="BB54" s="62"/>
    </row>
    <row r="55" ht="12.75" customHeight="1">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c r="AW55" s="30"/>
      <c r="AX55" s="30"/>
      <c r="AY55" s="30"/>
      <c r="AZ55" s="30"/>
      <c r="BA55" s="30"/>
      <c r="BB55" s="30"/>
    </row>
    <row r="56" ht="12.75" customHeight="1">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row>
    <row r="57" ht="12.7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c r="AE57" s="30"/>
      <c r="AF57" s="30"/>
      <c r="AG57" s="30"/>
      <c r="AH57" s="30"/>
      <c r="AI57" s="30"/>
      <c r="AJ57" s="30"/>
      <c r="AK57" s="30"/>
      <c r="AL57" s="30"/>
      <c r="AM57" s="30"/>
      <c r="AN57" s="30"/>
      <c r="AO57" s="30"/>
      <c r="AP57" s="30"/>
      <c r="AQ57" s="30"/>
      <c r="AR57" s="30"/>
      <c r="AS57" s="30"/>
      <c r="AT57" s="30"/>
      <c r="AU57" s="30"/>
      <c r="AV57" s="30"/>
      <c r="AW57" s="30"/>
      <c r="AX57" s="30"/>
      <c r="AY57" s="30"/>
      <c r="AZ57" s="30"/>
      <c r="BA57" s="30"/>
      <c r="BB57" s="30"/>
    </row>
    <row r="58" ht="12.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c r="AW58" s="30"/>
      <c r="AX58" s="30"/>
      <c r="AY58" s="30"/>
      <c r="AZ58" s="30"/>
      <c r="BA58" s="30"/>
      <c r="BB58" s="30"/>
    </row>
    <row r="59" ht="12.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c r="AE59" s="30"/>
      <c r="AF59" s="30"/>
      <c r="AG59" s="30"/>
      <c r="AH59" s="30"/>
      <c r="AI59" s="30"/>
      <c r="AJ59" s="30"/>
      <c r="AK59" s="30"/>
      <c r="AL59" s="30"/>
      <c r="AM59" s="30"/>
      <c r="AN59" s="30"/>
      <c r="AO59" s="30"/>
      <c r="AP59" s="30"/>
      <c r="AQ59" s="30"/>
      <c r="AR59" s="30"/>
      <c r="AS59" s="30"/>
      <c r="AT59" s="30"/>
      <c r="AU59" s="30"/>
      <c r="AV59" s="30"/>
      <c r="AW59" s="30"/>
      <c r="AX59" s="30"/>
      <c r="AY59" s="30"/>
      <c r="AZ59" s="30"/>
      <c r="BA59" s="30"/>
      <c r="BB59" s="30"/>
    </row>
    <row r="60" ht="12.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row>
    <row r="61" ht="12.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c r="AE61" s="30"/>
      <c r="AF61" s="30"/>
      <c r="AG61" s="30"/>
      <c r="AH61" s="30"/>
      <c r="AI61" s="30"/>
      <c r="AJ61" s="30"/>
      <c r="AK61" s="30"/>
      <c r="AL61" s="30"/>
      <c r="AM61" s="30"/>
      <c r="AN61" s="30"/>
      <c r="AO61" s="30"/>
      <c r="AP61" s="30"/>
      <c r="AQ61" s="30"/>
      <c r="AR61" s="30"/>
      <c r="AS61" s="30"/>
      <c r="AT61" s="30"/>
      <c r="AU61" s="30"/>
      <c r="AV61" s="30"/>
      <c r="AW61" s="30"/>
      <c r="AX61" s="30"/>
      <c r="AY61" s="30"/>
      <c r="AZ61" s="30"/>
      <c r="BA61" s="30"/>
      <c r="BB61" s="30"/>
    </row>
    <row r="62" ht="12.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c r="AW62" s="30"/>
      <c r="AX62" s="30"/>
      <c r="AY62" s="30"/>
      <c r="AZ62" s="30"/>
      <c r="BA62" s="30"/>
      <c r="BB62" s="30"/>
    </row>
    <row r="63" ht="12.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c r="AE63" s="30"/>
      <c r="AF63" s="30"/>
      <c r="AG63" s="30"/>
      <c r="AH63" s="30"/>
      <c r="AI63" s="30"/>
      <c r="AJ63" s="30"/>
      <c r="AK63" s="30"/>
      <c r="AL63" s="30"/>
      <c r="AM63" s="30"/>
      <c r="AN63" s="30"/>
      <c r="AO63" s="30"/>
      <c r="AP63" s="30"/>
      <c r="AQ63" s="30"/>
      <c r="AR63" s="30"/>
      <c r="AS63" s="30"/>
      <c r="AT63" s="30"/>
      <c r="AU63" s="30"/>
      <c r="AV63" s="30"/>
      <c r="AW63" s="30"/>
      <c r="AX63" s="30"/>
      <c r="AY63" s="30"/>
      <c r="AZ63" s="30"/>
      <c r="BA63" s="30"/>
      <c r="BB63" s="30"/>
    </row>
    <row r="64" ht="12.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0"/>
      <c r="AV64" s="30"/>
      <c r="AW64" s="30"/>
      <c r="AX64" s="30"/>
      <c r="AY64" s="30"/>
      <c r="AZ64" s="30"/>
      <c r="BA64" s="30"/>
      <c r="BB64" s="30"/>
    </row>
    <row r="65" ht="12.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c r="AE65" s="30"/>
      <c r="AF65" s="30"/>
      <c r="AG65" s="30"/>
      <c r="AH65" s="30"/>
      <c r="AI65" s="30"/>
      <c r="AJ65" s="30"/>
      <c r="AK65" s="30"/>
      <c r="AL65" s="30"/>
      <c r="AM65" s="30"/>
      <c r="AN65" s="30"/>
      <c r="AO65" s="30"/>
      <c r="AP65" s="30"/>
      <c r="AQ65" s="30"/>
      <c r="AR65" s="30"/>
      <c r="AS65" s="30"/>
      <c r="AT65" s="30"/>
      <c r="AU65" s="30"/>
      <c r="AV65" s="30"/>
      <c r="AW65" s="30"/>
      <c r="AX65" s="30"/>
      <c r="AY65" s="30"/>
      <c r="AZ65" s="30"/>
      <c r="BA65" s="30"/>
      <c r="BB65" s="30"/>
    </row>
    <row r="66" ht="12.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c r="AE66" s="30"/>
      <c r="AF66" s="30"/>
      <c r="AG66" s="30"/>
      <c r="AH66" s="30"/>
      <c r="AI66" s="30"/>
      <c r="AJ66" s="30"/>
      <c r="AK66" s="30"/>
      <c r="AL66" s="30"/>
      <c r="AM66" s="30"/>
      <c r="AN66" s="30"/>
      <c r="AO66" s="30"/>
      <c r="AP66" s="30"/>
      <c r="AQ66" s="30"/>
      <c r="AR66" s="30"/>
      <c r="AS66" s="30"/>
      <c r="AT66" s="30"/>
      <c r="AU66" s="30"/>
      <c r="AV66" s="30"/>
      <c r="AW66" s="30"/>
      <c r="AX66" s="30"/>
      <c r="AY66" s="30"/>
      <c r="AZ66" s="30"/>
      <c r="BA66" s="30"/>
      <c r="BB66" s="30"/>
    </row>
    <row r="67" ht="12.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c r="AE67" s="30"/>
      <c r="AF67" s="30"/>
      <c r="AG67" s="30"/>
      <c r="AH67" s="30"/>
      <c r="AI67" s="30"/>
      <c r="AJ67" s="30"/>
      <c r="AK67" s="30"/>
      <c r="AL67" s="30"/>
      <c r="AM67" s="30"/>
      <c r="AN67" s="30"/>
      <c r="AO67" s="30"/>
      <c r="AP67" s="30"/>
      <c r="AQ67" s="30"/>
      <c r="AR67" s="30"/>
      <c r="AS67" s="30"/>
      <c r="AT67" s="30"/>
      <c r="AU67" s="30"/>
      <c r="AV67" s="30"/>
      <c r="AW67" s="30"/>
      <c r="AX67" s="30"/>
      <c r="AY67" s="30"/>
      <c r="AZ67" s="30"/>
      <c r="BA67" s="30"/>
      <c r="BB67" s="30"/>
    </row>
    <row r="68" ht="12.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c r="AE68" s="30"/>
      <c r="AF68" s="30"/>
      <c r="AG68" s="30"/>
      <c r="AH68" s="30"/>
      <c r="AI68" s="30"/>
      <c r="AJ68" s="30"/>
      <c r="AK68" s="30"/>
      <c r="AL68" s="30"/>
      <c r="AM68" s="30"/>
      <c r="AN68" s="30"/>
      <c r="AO68" s="30"/>
      <c r="AP68" s="30"/>
      <c r="AQ68" s="30"/>
      <c r="AR68" s="30"/>
      <c r="AS68" s="30"/>
      <c r="AT68" s="30"/>
      <c r="AU68" s="30"/>
      <c r="AV68" s="30"/>
      <c r="AW68" s="30"/>
      <c r="AX68" s="30"/>
      <c r="AY68" s="30"/>
      <c r="AZ68" s="30"/>
      <c r="BA68" s="30"/>
      <c r="BB68" s="30"/>
    </row>
    <row r="69" ht="12.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c r="AE69" s="30"/>
      <c r="AF69" s="30"/>
      <c r="AG69" s="30"/>
      <c r="AH69" s="30"/>
      <c r="AI69" s="30"/>
      <c r="AJ69" s="30"/>
      <c r="AK69" s="30"/>
      <c r="AL69" s="30"/>
      <c r="AM69" s="30"/>
      <c r="AN69" s="30"/>
      <c r="AO69" s="30"/>
      <c r="AP69" s="30"/>
      <c r="AQ69" s="30"/>
      <c r="AR69" s="30"/>
      <c r="AS69" s="30"/>
      <c r="AT69" s="30"/>
      <c r="AU69" s="30"/>
      <c r="AV69" s="30"/>
      <c r="AW69" s="30"/>
      <c r="AX69" s="30"/>
      <c r="AY69" s="30"/>
      <c r="AZ69" s="30"/>
      <c r="BA69" s="30"/>
      <c r="BB69" s="30"/>
    </row>
    <row r="70" ht="12.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c r="AE70" s="30"/>
      <c r="AF70" s="30"/>
      <c r="AG70" s="30"/>
      <c r="AH70" s="30"/>
      <c r="AI70" s="30"/>
      <c r="AJ70" s="30"/>
      <c r="AK70" s="30"/>
      <c r="AL70" s="30"/>
      <c r="AM70" s="30"/>
      <c r="AN70" s="30"/>
      <c r="AO70" s="30"/>
      <c r="AP70" s="30"/>
      <c r="AQ70" s="30"/>
      <c r="AR70" s="30"/>
      <c r="AS70" s="30"/>
      <c r="AT70" s="30"/>
      <c r="AU70" s="30"/>
      <c r="AV70" s="30"/>
      <c r="AW70" s="30"/>
      <c r="AX70" s="30"/>
      <c r="AY70" s="30"/>
      <c r="AZ70" s="30"/>
      <c r="BA70" s="30"/>
      <c r="BB70" s="30"/>
    </row>
    <row r="71" ht="12.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c r="AV71" s="30"/>
      <c r="AW71" s="30"/>
      <c r="AX71" s="30"/>
      <c r="AY71" s="30"/>
      <c r="AZ71" s="30"/>
      <c r="BA71" s="30"/>
      <c r="BB71" s="30"/>
    </row>
    <row r="72" ht="12.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c r="AE72" s="30"/>
      <c r="AF72" s="30"/>
      <c r="AG72" s="30"/>
      <c r="AH72" s="30"/>
      <c r="AI72" s="30"/>
      <c r="AJ72" s="30"/>
      <c r="AK72" s="30"/>
      <c r="AL72" s="30"/>
      <c r="AM72" s="30"/>
      <c r="AN72" s="30"/>
      <c r="AO72" s="30"/>
      <c r="AP72" s="30"/>
      <c r="AQ72" s="30"/>
      <c r="AR72" s="30"/>
      <c r="AS72" s="30"/>
      <c r="AT72" s="30"/>
      <c r="AU72" s="30"/>
      <c r="AV72" s="30"/>
      <c r="AW72" s="30"/>
      <c r="AX72" s="30"/>
      <c r="AY72" s="30"/>
      <c r="AZ72" s="30"/>
      <c r="BA72" s="30"/>
      <c r="BB72" s="30"/>
    </row>
    <row r="73" ht="12.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c r="AE73" s="30"/>
      <c r="AF73" s="30"/>
      <c r="AG73" s="30"/>
      <c r="AH73" s="30"/>
      <c r="AI73" s="30"/>
      <c r="AJ73" s="30"/>
      <c r="AK73" s="30"/>
      <c r="AL73" s="30"/>
      <c r="AM73" s="30"/>
      <c r="AN73" s="30"/>
      <c r="AO73" s="30"/>
      <c r="AP73" s="30"/>
      <c r="AQ73" s="30"/>
      <c r="AR73" s="30"/>
      <c r="AS73" s="30"/>
      <c r="AT73" s="30"/>
      <c r="AU73" s="30"/>
      <c r="AV73" s="30"/>
      <c r="AW73" s="30"/>
      <c r="AX73" s="30"/>
      <c r="AY73" s="30"/>
      <c r="AZ73" s="30"/>
      <c r="BA73" s="30"/>
      <c r="BB73" s="30"/>
    </row>
    <row r="74" ht="12.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c r="AE74" s="30"/>
      <c r="AF74" s="30"/>
      <c r="AG74" s="30"/>
      <c r="AH74" s="30"/>
      <c r="AI74" s="30"/>
      <c r="AJ74" s="30"/>
      <c r="AK74" s="30"/>
      <c r="AL74" s="30"/>
      <c r="AM74" s="30"/>
      <c r="AN74" s="30"/>
      <c r="AO74" s="30"/>
      <c r="AP74" s="30"/>
      <c r="AQ74" s="30"/>
      <c r="AR74" s="30"/>
      <c r="AS74" s="30"/>
      <c r="AT74" s="30"/>
      <c r="AU74" s="30"/>
      <c r="AV74" s="30"/>
      <c r="AW74" s="30"/>
      <c r="AX74" s="30"/>
      <c r="AY74" s="30"/>
      <c r="AZ74" s="30"/>
      <c r="BA74" s="30"/>
      <c r="BB74" s="30"/>
    </row>
    <row r="75" ht="12.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c r="AE75" s="30"/>
      <c r="AF75" s="30"/>
      <c r="AG75" s="30"/>
      <c r="AH75" s="30"/>
      <c r="AI75" s="30"/>
      <c r="AJ75" s="30"/>
      <c r="AK75" s="30"/>
      <c r="AL75" s="30"/>
      <c r="AM75" s="30"/>
      <c r="AN75" s="30"/>
      <c r="AO75" s="30"/>
      <c r="AP75" s="30"/>
      <c r="AQ75" s="30"/>
      <c r="AR75" s="30"/>
      <c r="AS75" s="30"/>
      <c r="AT75" s="30"/>
      <c r="AU75" s="30"/>
      <c r="AV75" s="30"/>
      <c r="AW75" s="30"/>
      <c r="AX75" s="30"/>
      <c r="AY75" s="30"/>
      <c r="AZ75" s="30"/>
      <c r="BA75" s="30"/>
      <c r="BB75" s="30"/>
    </row>
    <row r="76" ht="12.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c r="AG76" s="30"/>
      <c r="AH76" s="30"/>
      <c r="AI76" s="30"/>
      <c r="AJ76" s="30"/>
      <c r="AK76" s="30"/>
      <c r="AL76" s="30"/>
      <c r="AM76" s="30"/>
      <c r="AN76" s="30"/>
      <c r="AO76" s="30"/>
      <c r="AP76" s="30"/>
      <c r="AQ76" s="30"/>
      <c r="AR76" s="30"/>
      <c r="AS76" s="30"/>
      <c r="AT76" s="30"/>
      <c r="AU76" s="30"/>
      <c r="AV76" s="30"/>
      <c r="AW76" s="30"/>
      <c r="AX76" s="30"/>
      <c r="AY76" s="30"/>
      <c r="AZ76" s="30"/>
      <c r="BA76" s="30"/>
      <c r="BB76" s="30"/>
    </row>
    <row r="77" ht="12.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0"/>
      <c r="AW77" s="30"/>
      <c r="AX77" s="30"/>
      <c r="AY77" s="30"/>
      <c r="AZ77" s="30"/>
      <c r="BA77" s="30"/>
      <c r="BB77" s="30"/>
    </row>
    <row r="78" ht="12.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c r="AG78" s="30"/>
      <c r="AH78" s="30"/>
      <c r="AI78" s="30"/>
      <c r="AJ78" s="30"/>
      <c r="AK78" s="30"/>
      <c r="AL78" s="30"/>
      <c r="AM78" s="30"/>
      <c r="AN78" s="30"/>
      <c r="AO78" s="30"/>
      <c r="AP78" s="30"/>
      <c r="AQ78" s="30"/>
      <c r="AR78" s="30"/>
      <c r="AS78" s="30"/>
      <c r="AT78" s="30"/>
      <c r="AU78" s="30"/>
      <c r="AV78" s="30"/>
      <c r="AW78" s="30"/>
      <c r="AX78" s="30"/>
      <c r="AY78" s="30"/>
      <c r="AZ78" s="30"/>
      <c r="BA78" s="30"/>
      <c r="BB78" s="30"/>
    </row>
    <row r="79" ht="12.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c r="AG79" s="30"/>
      <c r="AH79" s="30"/>
      <c r="AI79" s="30"/>
      <c r="AJ79" s="30"/>
      <c r="AK79" s="30"/>
      <c r="AL79" s="30"/>
      <c r="AM79" s="30"/>
      <c r="AN79" s="30"/>
      <c r="AO79" s="30"/>
      <c r="AP79" s="30"/>
      <c r="AQ79" s="30"/>
      <c r="AR79" s="30"/>
      <c r="AS79" s="30"/>
      <c r="AT79" s="30"/>
      <c r="AU79" s="30"/>
      <c r="AV79" s="30"/>
      <c r="AW79" s="30"/>
      <c r="AX79" s="30"/>
      <c r="AY79" s="30"/>
      <c r="AZ79" s="30"/>
      <c r="BA79" s="30"/>
      <c r="BB79" s="30"/>
    </row>
    <row r="80" ht="12.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c r="AH80" s="30"/>
      <c r="AI80" s="30"/>
      <c r="AJ80" s="30"/>
      <c r="AK80" s="30"/>
      <c r="AL80" s="30"/>
      <c r="AM80" s="30"/>
      <c r="AN80" s="30"/>
      <c r="AO80" s="30"/>
      <c r="AP80" s="30"/>
      <c r="AQ80" s="30"/>
      <c r="AR80" s="30"/>
      <c r="AS80" s="30"/>
      <c r="AT80" s="30"/>
      <c r="AU80" s="30"/>
      <c r="AV80" s="30"/>
      <c r="AW80" s="30"/>
      <c r="AX80" s="30"/>
      <c r="AY80" s="30"/>
      <c r="AZ80" s="30"/>
      <c r="BA80" s="30"/>
      <c r="BB80" s="30"/>
    </row>
    <row r="81" ht="12.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c r="AG81" s="30"/>
      <c r="AH81" s="30"/>
      <c r="AI81" s="30"/>
      <c r="AJ81" s="30"/>
      <c r="AK81" s="30"/>
      <c r="AL81" s="30"/>
      <c r="AM81" s="30"/>
      <c r="AN81" s="30"/>
      <c r="AO81" s="30"/>
      <c r="AP81" s="30"/>
      <c r="AQ81" s="30"/>
      <c r="AR81" s="30"/>
      <c r="AS81" s="30"/>
      <c r="AT81" s="30"/>
      <c r="AU81" s="30"/>
      <c r="AV81" s="30"/>
      <c r="AW81" s="30"/>
      <c r="AX81" s="30"/>
      <c r="AY81" s="30"/>
      <c r="AZ81" s="30"/>
      <c r="BA81" s="30"/>
      <c r="BB81" s="30"/>
    </row>
    <row r="82" ht="12.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row>
    <row r="83" ht="12.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c r="AW83" s="30"/>
      <c r="AX83" s="30"/>
      <c r="AY83" s="30"/>
      <c r="AZ83" s="30"/>
      <c r="BA83" s="30"/>
      <c r="BB83" s="30"/>
    </row>
    <row r="84" ht="12.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c r="AW84" s="30"/>
      <c r="AX84" s="30"/>
      <c r="AY84" s="30"/>
      <c r="AZ84" s="30"/>
      <c r="BA84" s="30"/>
      <c r="BB84" s="30"/>
    </row>
    <row r="85" ht="12.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c r="AW85" s="30"/>
      <c r="AX85" s="30"/>
      <c r="AY85" s="30"/>
      <c r="AZ85" s="30"/>
      <c r="BA85" s="30"/>
      <c r="BB85" s="30"/>
    </row>
    <row r="86" ht="12.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30"/>
      <c r="AR86" s="30"/>
      <c r="AS86" s="30"/>
      <c r="AT86" s="30"/>
      <c r="AU86" s="30"/>
      <c r="AV86" s="30"/>
      <c r="AW86" s="30"/>
      <c r="AX86" s="30"/>
      <c r="AY86" s="30"/>
      <c r="AZ86" s="30"/>
      <c r="BA86" s="30"/>
      <c r="BB86" s="30"/>
    </row>
    <row r="87" ht="12.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30"/>
      <c r="AR87" s="30"/>
      <c r="AS87" s="30"/>
      <c r="AT87" s="30"/>
      <c r="AU87" s="30"/>
      <c r="AV87" s="30"/>
      <c r="AW87" s="30"/>
      <c r="AX87" s="30"/>
      <c r="AY87" s="30"/>
      <c r="AZ87" s="30"/>
      <c r="BA87" s="30"/>
      <c r="BB87" s="30"/>
    </row>
    <row r="88" ht="12.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row>
    <row r="89" ht="12.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30"/>
      <c r="AR89" s="30"/>
      <c r="AS89" s="30"/>
      <c r="AT89" s="30"/>
      <c r="AU89" s="30"/>
      <c r="AV89" s="30"/>
      <c r="AW89" s="30"/>
      <c r="AX89" s="30"/>
      <c r="AY89" s="30"/>
      <c r="AZ89" s="30"/>
      <c r="BA89" s="30"/>
      <c r="BB89" s="30"/>
    </row>
    <row r="90" ht="12.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30"/>
      <c r="AR90" s="30"/>
      <c r="AS90" s="30"/>
      <c r="AT90" s="30"/>
      <c r="AU90" s="30"/>
      <c r="AV90" s="30"/>
      <c r="AW90" s="30"/>
      <c r="AX90" s="30"/>
      <c r="AY90" s="30"/>
      <c r="AZ90" s="30"/>
      <c r="BA90" s="30"/>
      <c r="BB90" s="30"/>
    </row>
    <row r="91" ht="12.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30"/>
      <c r="AR91" s="30"/>
      <c r="AS91" s="30"/>
      <c r="AT91" s="30"/>
      <c r="AU91" s="30"/>
      <c r="AV91" s="30"/>
      <c r="AW91" s="30"/>
      <c r="AX91" s="30"/>
      <c r="AY91" s="30"/>
      <c r="AZ91" s="30"/>
      <c r="BA91" s="30"/>
      <c r="BB91" s="30"/>
    </row>
    <row r="92" ht="12.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30"/>
      <c r="AR92" s="30"/>
      <c r="AS92" s="30"/>
      <c r="AT92" s="30"/>
      <c r="AU92" s="30"/>
      <c r="AV92" s="30"/>
      <c r="AW92" s="30"/>
      <c r="AX92" s="30"/>
      <c r="AY92" s="30"/>
      <c r="AZ92" s="30"/>
      <c r="BA92" s="30"/>
      <c r="BB92" s="30"/>
    </row>
    <row r="93" ht="12.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30"/>
      <c r="AR93" s="30"/>
      <c r="AS93" s="30"/>
      <c r="AT93" s="30"/>
      <c r="AU93" s="30"/>
      <c r="AV93" s="30"/>
      <c r="AW93" s="30"/>
      <c r="AX93" s="30"/>
      <c r="AY93" s="30"/>
      <c r="AZ93" s="30"/>
      <c r="BA93" s="30"/>
      <c r="BB93" s="30"/>
    </row>
    <row r="94" ht="12.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30"/>
      <c r="AR94" s="30"/>
      <c r="AS94" s="30"/>
      <c r="AT94" s="30"/>
      <c r="AU94" s="30"/>
      <c r="AV94" s="30"/>
      <c r="AW94" s="30"/>
      <c r="AX94" s="30"/>
      <c r="AY94" s="30"/>
      <c r="AZ94" s="30"/>
      <c r="BA94" s="30"/>
      <c r="BB94" s="30"/>
    </row>
    <row r="95" ht="12.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30"/>
      <c r="AR95" s="30"/>
      <c r="AS95" s="30"/>
      <c r="AT95" s="30"/>
      <c r="AU95" s="30"/>
      <c r="AV95" s="30"/>
      <c r="AW95" s="30"/>
      <c r="AX95" s="30"/>
      <c r="AY95" s="30"/>
      <c r="AZ95" s="30"/>
      <c r="BA95" s="30"/>
      <c r="BB95" s="30"/>
    </row>
    <row r="96" ht="12.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30"/>
      <c r="AR96" s="30"/>
      <c r="AS96" s="30"/>
      <c r="AT96" s="30"/>
      <c r="AU96" s="30"/>
      <c r="AV96" s="30"/>
      <c r="AW96" s="30"/>
      <c r="AX96" s="30"/>
      <c r="AY96" s="30"/>
      <c r="AZ96" s="30"/>
      <c r="BA96" s="30"/>
      <c r="BB96" s="30"/>
    </row>
    <row r="97" ht="12.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30"/>
      <c r="AR97" s="30"/>
      <c r="AS97" s="30"/>
      <c r="AT97" s="30"/>
      <c r="AU97" s="30"/>
      <c r="AV97" s="30"/>
      <c r="AW97" s="30"/>
      <c r="AX97" s="30"/>
      <c r="AY97" s="30"/>
      <c r="AZ97" s="30"/>
      <c r="BA97" s="30"/>
      <c r="BB97" s="30"/>
    </row>
    <row r="98" ht="12.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row>
    <row r="99" ht="12.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30"/>
      <c r="AR99" s="30"/>
      <c r="AS99" s="30"/>
      <c r="AT99" s="30"/>
      <c r="AU99" s="30"/>
      <c r="AV99" s="30"/>
      <c r="AW99" s="30"/>
      <c r="AX99" s="30"/>
      <c r="AY99" s="30"/>
      <c r="AZ99" s="30"/>
      <c r="BA99" s="30"/>
      <c r="BB99" s="30"/>
    </row>
    <row r="100" ht="12.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30"/>
      <c r="AR100" s="30"/>
      <c r="AS100" s="30"/>
      <c r="AT100" s="30"/>
      <c r="AU100" s="30"/>
      <c r="AV100" s="30"/>
      <c r="AW100" s="30"/>
      <c r="AX100" s="30"/>
      <c r="AY100" s="30"/>
      <c r="AZ100" s="30"/>
      <c r="BA100" s="30"/>
      <c r="BB100" s="30"/>
    </row>
    <row r="101" ht="12.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30"/>
      <c r="AR101" s="30"/>
      <c r="AS101" s="30"/>
      <c r="AT101" s="30"/>
      <c r="AU101" s="30"/>
      <c r="AV101" s="30"/>
      <c r="AW101" s="30"/>
      <c r="AX101" s="30"/>
      <c r="AY101" s="30"/>
      <c r="AZ101" s="30"/>
      <c r="BA101" s="30"/>
      <c r="BB101" s="30"/>
    </row>
    <row r="102" ht="12.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30"/>
      <c r="AR102" s="30"/>
      <c r="AS102" s="30"/>
      <c r="AT102" s="30"/>
      <c r="AU102" s="30"/>
      <c r="AV102" s="30"/>
      <c r="AW102" s="30"/>
      <c r="AX102" s="30"/>
      <c r="AY102" s="30"/>
      <c r="AZ102" s="30"/>
      <c r="BA102" s="30"/>
      <c r="BB102" s="30"/>
    </row>
    <row r="103" ht="12.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30"/>
      <c r="AR103" s="30"/>
      <c r="AS103" s="30"/>
      <c r="AT103" s="30"/>
      <c r="AU103" s="30"/>
      <c r="AV103" s="30"/>
      <c r="AW103" s="30"/>
      <c r="AX103" s="30"/>
      <c r="AY103" s="30"/>
      <c r="AZ103" s="30"/>
      <c r="BA103" s="30"/>
      <c r="BB103" s="30"/>
    </row>
    <row r="104" ht="12.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30"/>
      <c r="AR104" s="30"/>
      <c r="AS104" s="30"/>
      <c r="AT104" s="30"/>
      <c r="AU104" s="30"/>
      <c r="AV104" s="30"/>
      <c r="AW104" s="30"/>
      <c r="AX104" s="30"/>
      <c r="AY104" s="30"/>
      <c r="AZ104" s="30"/>
      <c r="BA104" s="30"/>
      <c r="BB104" s="30"/>
    </row>
    <row r="105" ht="12.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30"/>
      <c r="AR105" s="30"/>
      <c r="AS105" s="30"/>
      <c r="AT105" s="30"/>
      <c r="AU105" s="30"/>
      <c r="AV105" s="30"/>
      <c r="AW105" s="30"/>
      <c r="AX105" s="30"/>
      <c r="AY105" s="30"/>
      <c r="AZ105" s="30"/>
      <c r="BA105" s="30"/>
      <c r="BB105" s="30"/>
    </row>
    <row r="106" ht="12.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30"/>
      <c r="AR106" s="30"/>
      <c r="AS106" s="30"/>
      <c r="AT106" s="30"/>
      <c r="AU106" s="30"/>
      <c r="AV106" s="30"/>
      <c r="AW106" s="30"/>
      <c r="AX106" s="30"/>
      <c r="AY106" s="30"/>
      <c r="AZ106" s="30"/>
      <c r="BA106" s="30"/>
      <c r="BB106" s="30"/>
    </row>
    <row r="107" ht="12.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30"/>
      <c r="AR107" s="30"/>
      <c r="AS107" s="30"/>
      <c r="AT107" s="30"/>
      <c r="AU107" s="30"/>
      <c r="AV107" s="30"/>
      <c r="AW107" s="30"/>
      <c r="AX107" s="30"/>
      <c r="AY107" s="30"/>
      <c r="AZ107" s="30"/>
      <c r="BA107" s="30"/>
      <c r="BB107" s="30"/>
    </row>
    <row r="108" ht="12.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30"/>
      <c r="AR108" s="30"/>
      <c r="AS108" s="30"/>
      <c r="AT108" s="30"/>
      <c r="AU108" s="30"/>
      <c r="AV108" s="30"/>
      <c r="AW108" s="30"/>
      <c r="AX108" s="30"/>
      <c r="AY108" s="30"/>
      <c r="AZ108" s="30"/>
      <c r="BA108" s="30"/>
      <c r="BB108" s="30"/>
    </row>
    <row r="109" ht="12.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30"/>
      <c r="AR109" s="30"/>
      <c r="AS109" s="30"/>
      <c r="AT109" s="30"/>
      <c r="AU109" s="30"/>
      <c r="AV109" s="30"/>
      <c r="AW109" s="30"/>
      <c r="AX109" s="30"/>
      <c r="AY109" s="30"/>
      <c r="AZ109" s="30"/>
      <c r="BA109" s="30"/>
      <c r="BB109" s="30"/>
    </row>
    <row r="110" ht="12.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30"/>
      <c r="AR110" s="30"/>
      <c r="AS110" s="30"/>
      <c r="AT110" s="30"/>
      <c r="AU110" s="30"/>
      <c r="AV110" s="30"/>
      <c r="AW110" s="30"/>
      <c r="AX110" s="30"/>
      <c r="AY110" s="30"/>
      <c r="AZ110" s="30"/>
      <c r="BA110" s="30"/>
      <c r="BB110" s="30"/>
    </row>
    <row r="111" ht="12.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30"/>
      <c r="AR111" s="30"/>
      <c r="AS111" s="30"/>
      <c r="AT111" s="30"/>
      <c r="AU111" s="30"/>
      <c r="AV111" s="30"/>
      <c r="AW111" s="30"/>
      <c r="AX111" s="30"/>
      <c r="AY111" s="30"/>
      <c r="AZ111" s="30"/>
      <c r="BA111" s="30"/>
      <c r="BB111" s="30"/>
    </row>
    <row r="112" ht="12.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30"/>
      <c r="AR112" s="30"/>
      <c r="AS112" s="30"/>
      <c r="AT112" s="30"/>
      <c r="AU112" s="30"/>
      <c r="AV112" s="30"/>
      <c r="AW112" s="30"/>
      <c r="AX112" s="30"/>
      <c r="AY112" s="30"/>
      <c r="AZ112" s="30"/>
      <c r="BA112" s="30"/>
      <c r="BB112" s="30"/>
    </row>
    <row r="113" ht="12.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30"/>
      <c r="AR113" s="30"/>
      <c r="AS113" s="30"/>
      <c r="AT113" s="30"/>
      <c r="AU113" s="30"/>
      <c r="AV113" s="30"/>
      <c r="AW113" s="30"/>
      <c r="AX113" s="30"/>
      <c r="AY113" s="30"/>
      <c r="AZ113" s="30"/>
      <c r="BA113" s="30"/>
      <c r="BB113" s="30"/>
    </row>
    <row r="114" ht="12.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row>
    <row r="115" ht="12.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30"/>
      <c r="AR115" s="30"/>
      <c r="AS115" s="30"/>
      <c r="AT115" s="30"/>
      <c r="AU115" s="30"/>
      <c r="AV115" s="30"/>
      <c r="AW115" s="30"/>
      <c r="AX115" s="30"/>
      <c r="AY115" s="30"/>
      <c r="AZ115" s="30"/>
      <c r="BA115" s="30"/>
      <c r="BB115" s="30"/>
    </row>
    <row r="116" ht="12.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30"/>
      <c r="AR116" s="30"/>
      <c r="AS116" s="30"/>
      <c r="AT116" s="30"/>
      <c r="AU116" s="30"/>
      <c r="AV116" s="30"/>
      <c r="AW116" s="30"/>
      <c r="AX116" s="30"/>
      <c r="AY116" s="30"/>
      <c r="AZ116" s="30"/>
      <c r="BA116" s="30"/>
      <c r="BB116" s="30"/>
    </row>
    <row r="117" ht="12.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30"/>
      <c r="AR117" s="30"/>
      <c r="AS117" s="30"/>
      <c r="AT117" s="30"/>
      <c r="AU117" s="30"/>
      <c r="AV117" s="30"/>
      <c r="AW117" s="30"/>
      <c r="AX117" s="30"/>
      <c r="AY117" s="30"/>
      <c r="AZ117" s="30"/>
      <c r="BA117" s="30"/>
      <c r="BB117" s="30"/>
    </row>
    <row r="118" ht="12.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30"/>
      <c r="AR118" s="30"/>
      <c r="AS118" s="30"/>
      <c r="AT118" s="30"/>
      <c r="AU118" s="30"/>
      <c r="AV118" s="30"/>
      <c r="AW118" s="30"/>
      <c r="AX118" s="30"/>
      <c r="AY118" s="30"/>
      <c r="AZ118" s="30"/>
      <c r="BA118" s="30"/>
      <c r="BB118" s="30"/>
    </row>
    <row r="119" ht="12.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c r="AW119" s="30"/>
      <c r="AX119" s="30"/>
      <c r="AY119" s="30"/>
      <c r="AZ119" s="30"/>
      <c r="BA119" s="30"/>
      <c r="BB119" s="30"/>
    </row>
    <row r="120" ht="12.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30"/>
      <c r="AR120" s="30"/>
      <c r="AS120" s="30"/>
      <c r="AT120" s="30"/>
      <c r="AU120" s="30"/>
      <c r="AV120" s="30"/>
      <c r="AW120" s="30"/>
      <c r="AX120" s="30"/>
      <c r="AY120" s="30"/>
      <c r="AZ120" s="30"/>
      <c r="BA120" s="30"/>
      <c r="BB120" s="30"/>
    </row>
    <row r="121" ht="12.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30"/>
      <c r="AR121" s="30"/>
      <c r="AS121" s="30"/>
      <c r="AT121" s="30"/>
      <c r="AU121" s="30"/>
      <c r="AV121" s="30"/>
      <c r="AW121" s="30"/>
      <c r="AX121" s="30"/>
      <c r="AY121" s="30"/>
      <c r="AZ121" s="30"/>
      <c r="BA121" s="30"/>
      <c r="BB121" s="30"/>
    </row>
    <row r="122" ht="12.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30"/>
      <c r="AR122" s="30"/>
      <c r="AS122" s="30"/>
      <c r="AT122" s="30"/>
      <c r="AU122" s="30"/>
      <c r="AV122" s="30"/>
      <c r="AW122" s="30"/>
      <c r="AX122" s="30"/>
      <c r="AY122" s="30"/>
      <c r="AZ122" s="30"/>
      <c r="BA122" s="30"/>
      <c r="BB122" s="30"/>
    </row>
    <row r="123" ht="12.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30"/>
      <c r="AR123" s="30"/>
      <c r="AS123" s="30"/>
      <c r="AT123" s="30"/>
      <c r="AU123" s="30"/>
      <c r="AV123" s="30"/>
      <c r="AW123" s="30"/>
      <c r="AX123" s="30"/>
      <c r="AY123" s="30"/>
      <c r="AZ123" s="30"/>
      <c r="BA123" s="30"/>
      <c r="BB123" s="30"/>
    </row>
    <row r="124" ht="12.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row>
    <row r="125" ht="12.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30"/>
      <c r="AR125" s="30"/>
      <c r="AS125" s="30"/>
      <c r="AT125" s="30"/>
      <c r="AU125" s="30"/>
      <c r="AV125" s="30"/>
      <c r="AW125" s="30"/>
      <c r="AX125" s="30"/>
      <c r="AY125" s="30"/>
      <c r="AZ125" s="30"/>
      <c r="BA125" s="30"/>
      <c r="BB125" s="30"/>
    </row>
    <row r="126" ht="12.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30"/>
      <c r="AR126" s="30"/>
      <c r="AS126" s="30"/>
      <c r="AT126" s="30"/>
      <c r="AU126" s="30"/>
      <c r="AV126" s="30"/>
      <c r="AW126" s="30"/>
      <c r="AX126" s="30"/>
      <c r="AY126" s="30"/>
      <c r="AZ126" s="30"/>
      <c r="BA126" s="30"/>
      <c r="BB126" s="30"/>
    </row>
    <row r="127" ht="12.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30"/>
      <c r="AR127" s="30"/>
      <c r="AS127" s="30"/>
      <c r="AT127" s="30"/>
      <c r="AU127" s="30"/>
      <c r="AV127" s="30"/>
      <c r="AW127" s="30"/>
      <c r="AX127" s="30"/>
      <c r="AY127" s="30"/>
      <c r="AZ127" s="30"/>
      <c r="BA127" s="30"/>
      <c r="BB127" s="30"/>
    </row>
    <row r="128" ht="12.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30"/>
      <c r="AR128" s="30"/>
      <c r="AS128" s="30"/>
      <c r="AT128" s="30"/>
      <c r="AU128" s="30"/>
      <c r="AV128" s="30"/>
      <c r="AW128" s="30"/>
      <c r="AX128" s="30"/>
      <c r="AY128" s="30"/>
      <c r="AZ128" s="30"/>
      <c r="BA128" s="30"/>
      <c r="BB128" s="30"/>
    </row>
    <row r="129" ht="12.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30"/>
      <c r="AR129" s="30"/>
      <c r="AS129" s="30"/>
      <c r="AT129" s="30"/>
      <c r="AU129" s="30"/>
      <c r="AV129" s="30"/>
      <c r="AW129" s="30"/>
      <c r="AX129" s="30"/>
      <c r="AY129" s="30"/>
      <c r="AZ129" s="30"/>
      <c r="BA129" s="30"/>
      <c r="BB129" s="30"/>
    </row>
    <row r="130" ht="12.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30"/>
      <c r="AR130" s="30"/>
      <c r="AS130" s="30"/>
      <c r="AT130" s="30"/>
      <c r="AU130" s="30"/>
      <c r="AV130" s="30"/>
      <c r="AW130" s="30"/>
      <c r="AX130" s="30"/>
      <c r="AY130" s="30"/>
      <c r="AZ130" s="30"/>
      <c r="BA130" s="30"/>
      <c r="BB130" s="30"/>
    </row>
    <row r="131" ht="12.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30"/>
      <c r="AR131" s="30"/>
      <c r="AS131" s="30"/>
      <c r="AT131" s="30"/>
      <c r="AU131" s="30"/>
      <c r="AV131" s="30"/>
      <c r="AW131" s="30"/>
      <c r="AX131" s="30"/>
      <c r="AY131" s="30"/>
      <c r="AZ131" s="30"/>
      <c r="BA131" s="30"/>
      <c r="BB131" s="30"/>
    </row>
    <row r="132" ht="12.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30"/>
      <c r="AR132" s="30"/>
      <c r="AS132" s="30"/>
      <c r="AT132" s="30"/>
      <c r="AU132" s="30"/>
      <c r="AV132" s="30"/>
      <c r="AW132" s="30"/>
      <c r="AX132" s="30"/>
      <c r="AY132" s="30"/>
      <c r="AZ132" s="30"/>
      <c r="BA132" s="30"/>
      <c r="BB132" s="30"/>
    </row>
    <row r="133" ht="12.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30"/>
      <c r="AR133" s="30"/>
      <c r="AS133" s="30"/>
      <c r="AT133" s="30"/>
      <c r="AU133" s="30"/>
      <c r="AV133" s="30"/>
      <c r="AW133" s="30"/>
      <c r="AX133" s="30"/>
      <c r="AY133" s="30"/>
      <c r="AZ133" s="30"/>
      <c r="BA133" s="30"/>
      <c r="BB133" s="30"/>
    </row>
    <row r="134" ht="12.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30"/>
      <c r="AR134" s="30"/>
      <c r="AS134" s="30"/>
      <c r="AT134" s="30"/>
      <c r="AU134" s="30"/>
      <c r="AV134" s="30"/>
      <c r="AW134" s="30"/>
      <c r="AX134" s="30"/>
      <c r="AY134" s="30"/>
      <c r="AZ134" s="30"/>
      <c r="BA134" s="30"/>
      <c r="BB134" s="30"/>
    </row>
    <row r="135" ht="12.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30"/>
      <c r="AR135" s="30"/>
      <c r="AS135" s="30"/>
      <c r="AT135" s="30"/>
      <c r="AU135" s="30"/>
      <c r="AV135" s="30"/>
      <c r="AW135" s="30"/>
      <c r="AX135" s="30"/>
      <c r="AY135" s="30"/>
      <c r="AZ135" s="30"/>
      <c r="BA135" s="30"/>
      <c r="BB135" s="30"/>
    </row>
    <row r="136" ht="12.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30"/>
      <c r="AR136" s="30"/>
      <c r="AS136" s="30"/>
      <c r="AT136" s="30"/>
      <c r="AU136" s="30"/>
      <c r="AV136" s="30"/>
      <c r="AW136" s="30"/>
      <c r="AX136" s="30"/>
      <c r="AY136" s="30"/>
      <c r="AZ136" s="30"/>
      <c r="BA136" s="30"/>
      <c r="BB136" s="30"/>
    </row>
    <row r="137" ht="12.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30"/>
      <c r="AR137" s="30"/>
      <c r="AS137" s="30"/>
      <c r="AT137" s="30"/>
      <c r="AU137" s="30"/>
      <c r="AV137" s="30"/>
      <c r="AW137" s="30"/>
      <c r="AX137" s="30"/>
      <c r="AY137" s="30"/>
      <c r="AZ137" s="30"/>
      <c r="BA137" s="30"/>
      <c r="BB137" s="30"/>
    </row>
    <row r="138" ht="12.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30"/>
      <c r="AR138" s="30"/>
      <c r="AS138" s="30"/>
      <c r="AT138" s="30"/>
      <c r="AU138" s="30"/>
      <c r="AV138" s="30"/>
      <c r="AW138" s="30"/>
      <c r="AX138" s="30"/>
      <c r="AY138" s="30"/>
      <c r="AZ138" s="30"/>
      <c r="BA138" s="30"/>
      <c r="BB138" s="30"/>
    </row>
    <row r="139" ht="12.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30"/>
      <c r="AR139" s="30"/>
      <c r="AS139" s="30"/>
      <c r="AT139" s="30"/>
      <c r="AU139" s="30"/>
      <c r="AV139" s="30"/>
      <c r="AW139" s="30"/>
      <c r="AX139" s="30"/>
      <c r="AY139" s="30"/>
      <c r="AZ139" s="30"/>
      <c r="BA139" s="30"/>
      <c r="BB139" s="30"/>
    </row>
    <row r="140" ht="12.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30"/>
      <c r="AR140" s="30"/>
      <c r="AS140" s="30"/>
      <c r="AT140" s="30"/>
      <c r="AU140" s="30"/>
      <c r="AV140" s="30"/>
      <c r="AW140" s="30"/>
      <c r="AX140" s="30"/>
      <c r="AY140" s="30"/>
      <c r="AZ140" s="30"/>
      <c r="BA140" s="30"/>
      <c r="BB140" s="30"/>
    </row>
    <row r="141" ht="12.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30"/>
      <c r="AR141" s="30"/>
      <c r="AS141" s="30"/>
      <c r="AT141" s="30"/>
      <c r="AU141" s="30"/>
      <c r="AV141" s="30"/>
      <c r="AW141" s="30"/>
      <c r="AX141" s="30"/>
      <c r="AY141" s="30"/>
      <c r="AZ141" s="30"/>
      <c r="BA141" s="30"/>
      <c r="BB141" s="30"/>
    </row>
    <row r="142" ht="12.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30"/>
      <c r="AR142" s="30"/>
      <c r="AS142" s="30"/>
      <c r="AT142" s="30"/>
      <c r="AU142" s="30"/>
      <c r="AV142" s="30"/>
      <c r="AW142" s="30"/>
      <c r="AX142" s="30"/>
      <c r="AY142" s="30"/>
      <c r="AZ142" s="30"/>
      <c r="BA142" s="30"/>
      <c r="BB142" s="30"/>
    </row>
    <row r="143" ht="12.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30"/>
      <c r="AR143" s="30"/>
      <c r="AS143" s="30"/>
      <c r="AT143" s="30"/>
      <c r="AU143" s="30"/>
      <c r="AV143" s="30"/>
      <c r="AW143" s="30"/>
      <c r="AX143" s="30"/>
      <c r="AY143" s="30"/>
      <c r="AZ143" s="30"/>
      <c r="BA143" s="30"/>
      <c r="BB143" s="30"/>
    </row>
    <row r="144" ht="12.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30"/>
      <c r="AR144" s="30"/>
      <c r="AS144" s="30"/>
      <c r="AT144" s="30"/>
      <c r="AU144" s="30"/>
      <c r="AV144" s="30"/>
      <c r="AW144" s="30"/>
      <c r="AX144" s="30"/>
      <c r="AY144" s="30"/>
      <c r="AZ144" s="30"/>
      <c r="BA144" s="30"/>
      <c r="BB144" s="30"/>
    </row>
    <row r="145" ht="12.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30"/>
      <c r="AR145" s="30"/>
      <c r="AS145" s="30"/>
      <c r="AT145" s="30"/>
      <c r="AU145" s="30"/>
      <c r="AV145" s="30"/>
      <c r="AW145" s="30"/>
      <c r="AX145" s="30"/>
      <c r="AY145" s="30"/>
      <c r="AZ145" s="30"/>
      <c r="BA145" s="30"/>
      <c r="BB145" s="30"/>
    </row>
    <row r="146" ht="12.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30"/>
      <c r="AR146" s="30"/>
      <c r="AS146" s="30"/>
      <c r="AT146" s="30"/>
      <c r="AU146" s="30"/>
      <c r="AV146" s="30"/>
      <c r="AW146" s="30"/>
      <c r="AX146" s="30"/>
      <c r="AY146" s="30"/>
      <c r="AZ146" s="30"/>
      <c r="BA146" s="30"/>
      <c r="BB146" s="30"/>
    </row>
    <row r="147" ht="12.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30"/>
      <c r="AR147" s="30"/>
      <c r="AS147" s="30"/>
      <c r="AT147" s="30"/>
      <c r="AU147" s="30"/>
      <c r="AV147" s="30"/>
      <c r="AW147" s="30"/>
      <c r="AX147" s="30"/>
      <c r="AY147" s="30"/>
      <c r="AZ147" s="30"/>
      <c r="BA147" s="30"/>
      <c r="BB147" s="30"/>
    </row>
    <row r="148" ht="12.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30"/>
      <c r="AR148" s="30"/>
      <c r="AS148" s="30"/>
      <c r="AT148" s="30"/>
      <c r="AU148" s="30"/>
      <c r="AV148" s="30"/>
      <c r="AW148" s="30"/>
      <c r="AX148" s="30"/>
      <c r="AY148" s="30"/>
      <c r="AZ148" s="30"/>
      <c r="BA148" s="30"/>
      <c r="BB148" s="30"/>
    </row>
    <row r="149" ht="12.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30"/>
      <c r="AR149" s="30"/>
      <c r="AS149" s="30"/>
      <c r="AT149" s="30"/>
      <c r="AU149" s="30"/>
      <c r="AV149" s="30"/>
      <c r="AW149" s="30"/>
      <c r="AX149" s="30"/>
      <c r="AY149" s="30"/>
      <c r="AZ149" s="30"/>
      <c r="BA149" s="30"/>
      <c r="BB149" s="30"/>
    </row>
    <row r="150" ht="12.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30"/>
      <c r="AR150" s="30"/>
      <c r="AS150" s="30"/>
      <c r="AT150" s="30"/>
      <c r="AU150" s="30"/>
      <c r="AV150" s="30"/>
      <c r="AW150" s="30"/>
      <c r="AX150" s="30"/>
      <c r="AY150" s="30"/>
      <c r="AZ150" s="30"/>
      <c r="BA150" s="30"/>
      <c r="BB150" s="30"/>
    </row>
    <row r="151" ht="12.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30"/>
      <c r="AR151" s="30"/>
      <c r="AS151" s="30"/>
      <c r="AT151" s="30"/>
      <c r="AU151" s="30"/>
      <c r="AV151" s="30"/>
      <c r="AW151" s="30"/>
      <c r="AX151" s="30"/>
      <c r="AY151" s="30"/>
      <c r="AZ151" s="30"/>
      <c r="BA151" s="30"/>
      <c r="BB151" s="30"/>
    </row>
    <row r="152" ht="12.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30"/>
      <c r="AR152" s="30"/>
      <c r="AS152" s="30"/>
      <c r="AT152" s="30"/>
      <c r="AU152" s="30"/>
      <c r="AV152" s="30"/>
      <c r="AW152" s="30"/>
      <c r="AX152" s="30"/>
      <c r="AY152" s="30"/>
      <c r="AZ152" s="30"/>
      <c r="BA152" s="30"/>
      <c r="BB152" s="30"/>
    </row>
    <row r="153" ht="12.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30"/>
      <c r="AR153" s="30"/>
      <c r="AS153" s="30"/>
      <c r="AT153" s="30"/>
      <c r="AU153" s="30"/>
      <c r="AV153" s="30"/>
      <c r="AW153" s="30"/>
      <c r="AX153" s="30"/>
      <c r="AY153" s="30"/>
      <c r="AZ153" s="30"/>
      <c r="BA153" s="30"/>
      <c r="BB153" s="30"/>
    </row>
    <row r="154" ht="12.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30"/>
      <c r="AR154" s="30"/>
      <c r="AS154" s="30"/>
      <c r="AT154" s="30"/>
      <c r="AU154" s="30"/>
      <c r="AV154" s="30"/>
      <c r="AW154" s="30"/>
      <c r="AX154" s="30"/>
      <c r="AY154" s="30"/>
      <c r="AZ154" s="30"/>
      <c r="BA154" s="30"/>
      <c r="BB154" s="30"/>
    </row>
    <row r="155" ht="12.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30"/>
      <c r="AR155" s="30"/>
      <c r="AS155" s="30"/>
      <c r="AT155" s="30"/>
      <c r="AU155" s="30"/>
      <c r="AV155" s="30"/>
      <c r="AW155" s="30"/>
      <c r="AX155" s="30"/>
      <c r="AY155" s="30"/>
      <c r="AZ155" s="30"/>
      <c r="BA155" s="30"/>
      <c r="BB155" s="30"/>
    </row>
    <row r="156" ht="12.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30"/>
      <c r="AR156" s="30"/>
      <c r="AS156" s="30"/>
      <c r="AT156" s="30"/>
      <c r="AU156" s="30"/>
      <c r="AV156" s="30"/>
      <c r="AW156" s="30"/>
      <c r="AX156" s="30"/>
      <c r="AY156" s="30"/>
      <c r="AZ156" s="30"/>
      <c r="BA156" s="30"/>
      <c r="BB156" s="30"/>
    </row>
    <row r="157" ht="12.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30"/>
      <c r="AR157" s="30"/>
      <c r="AS157" s="30"/>
      <c r="AT157" s="30"/>
      <c r="AU157" s="30"/>
      <c r="AV157" s="30"/>
      <c r="AW157" s="30"/>
      <c r="AX157" s="30"/>
      <c r="AY157" s="30"/>
      <c r="AZ157" s="30"/>
      <c r="BA157" s="30"/>
      <c r="BB157" s="30"/>
    </row>
    <row r="158" ht="12.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row>
    <row r="159" ht="12.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30"/>
      <c r="AR159" s="30"/>
      <c r="AS159" s="30"/>
      <c r="AT159" s="30"/>
      <c r="AU159" s="30"/>
      <c r="AV159" s="30"/>
      <c r="AW159" s="30"/>
      <c r="AX159" s="30"/>
      <c r="AY159" s="30"/>
      <c r="AZ159" s="30"/>
      <c r="BA159" s="30"/>
      <c r="BB159" s="30"/>
    </row>
    <row r="160" ht="12.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30"/>
      <c r="AR160" s="30"/>
      <c r="AS160" s="30"/>
      <c r="AT160" s="30"/>
      <c r="AU160" s="30"/>
      <c r="AV160" s="30"/>
      <c r="AW160" s="30"/>
      <c r="AX160" s="30"/>
      <c r="AY160" s="30"/>
      <c r="AZ160" s="30"/>
      <c r="BA160" s="30"/>
      <c r="BB160" s="30"/>
    </row>
    <row r="161" ht="12.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30"/>
      <c r="AR161" s="30"/>
      <c r="AS161" s="30"/>
      <c r="AT161" s="30"/>
      <c r="AU161" s="30"/>
      <c r="AV161" s="30"/>
      <c r="AW161" s="30"/>
      <c r="AX161" s="30"/>
      <c r="AY161" s="30"/>
      <c r="AZ161" s="30"/>
      <c r="BA161" s="30"/>
      <c r="BB161" s="30"/>
    </row>
    <row r="162" ht="12.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30"/>
      <c r="AR162" s="30"/>
      <c r="AS162" s="30"/>
      <c r="AT162" s="30"/>
      <c r="AU162" s="30"/>
      <c r="AV162" s="30"/>
      <c r="AW162" s="30"/>
      <c r="AX162" s="30"/>
      <c r="AY162" s="30"/>
      <c r="AZ162" s="30"/>
      <c r="BA162" s="30"/>
      <c r="BB162" s="30"/>
    </row>
    <row r="163" ht="12.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30"/>
      <c r="AR163" s="30"/>
      <c r="AS163" s="30"/>
      <c r="AT163" s="30"/>
      <c r="AU163" s="30"/>
      <c r="AV163" s="30"/>
      <c r="AW163" s="30"/>
      <c r="AX163" s="30"/>
      <c r="AY163" s="30"/>
      <c r="AZ163" s="30"/>
      <c r="BA163" s="30"/>
      <c r="BB163" s="30"/>
    </row>
    <row r="164" ht="12.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30"/>
      <c r="AR164" s="30"/>
      <c r="AS164" s="30"/>
      <c r="AT164" s="30"/>
      <c r="AU164" s="30"/>
      <c r="AV164" s="30"/>
      <c r="AW164" s="30"/>
      <c r="AX164" s="30"/>
      <c r="AY164" s="30"/>
      <c r="AZ164" s="30"/>
      <c r="BA164" s="30"/>
      <c r="BB164" s="30"/>
    </row>
    <row r="165" ht="12.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30"/>
      <c r="AR165" s="30"/>
      <c r="AS165" s="30"/>
      <c r="AT165" s="30"/>
      <c r="AU165" s="30"/>
      <c r="AV165" s="30"/>
      <c r="AW165" s="30"/>
      <c r="AX165" s="30"/>
      <c r="AY165" s="30"/>
      <c r="AZ165" s="30"/>
      <c r="BA165" s="30"/>
      <c r="BB165" s="30"/>
    </row>
    <row r="166" ht="12.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30"/>
      <c r="AR166" s="30"/>
      <c r="AS166" s="30"/>
      <c r="AT166" s="30"/>
      <c r="AU166" s="30"/>
      <c r="AV166" s="30"/>
      <c r="AW166" s="30"/>
      <c r="AX166" s="30"/>
      <c r="AY166" s="30"/>
      <c r="AZ166" s="30"/>
      <c r="BA166" s="30"/>
      <c r="BB166" s="30"/>
    </row>
    <row r="167" ht="12.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30"/>
      <c r="AR167" s="30"/>
      <c r="AS167" s="30"/>
      <c r="AT167" s="30"/>
      <c r="AU167" s="30"/>
      <c r="AV167" s="30"/>
      <c r="AW167" s="30"/>
      <c r="AX167" s="30"/>
      <c r="AY167" s="30"/>
      <c r="AZ167" s="30"/>
      <c r="BA167" s="30"/>
      <c r="BB167" s="30"/>
    </row>
    <row r="168" ht="12.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30"/>
      <c r="AR168" s="30"/>
      <c r="AS168" s="30"/>
      <c r="AT168" s="30"/>
      <c r="AU168" s="30"/>
      <c r="AV168" s="30"/>
      <c r="AW168" s="30"/>
      <c r="AX168" s="30"/>
      <c r="AY168" s="30"/>
      <c r="AZ168" s="30"/>
      <c r="BA168" s="30"/>
      <c r="BB168" s="30"/>
    </row>
    <row r="169" ht="12.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30"/>
      <c r="AR169" s="30"/>
      <c r="AS169" s="30"/>
      <c r="AT169" s="30"/>
      <c r="AU169" s="30"/>
      <c r="AV169" s="30"/>
      <c r="AW169" s="30"/>
      <c r="AX169" s="30"/>
      <c r="AY169" s="30"/>
      <c r="AZ169" s="30"/>
      <c r="BA169" s="30"/>
      <c r="BB169" s="30"/>
    </row>
    <row r="170" ht="12.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30"/>
      <c r="AR170" s="30"/>
      <c r="AS170" s="30"/>
      <c r="AT170" s="30"/>
      <c r="AU170" s="30"/>
      <c r="AV170" s="30"/>
      <c r="AW170" s="30"/>
      <c r="AX170" s="30"/>
      <c r="AY170" s="30"/>
      <c r="AZ170" s="30"/>
      <c r="BA170" s="30"/>
      <c r="BB170" s="30"/>
    </row>
    <row r="171" ht="12.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30"/>
      <c r="AR171" s="30"/>
      <c r="AS171" s="30"/>
      <c r="AT171" s="30"/>
      <c r="AU171" s="30"/>
      <c r="AV171" s="30"/>
      <c r="AW171" s="30"/>
      <c r="AX171" s="30"/>
      <c r="AY171" s="30"/>
      <c r="AZ171" s="30"/>
      <c r="BA171" s="30"/>
      <c r="BB171" s="30"/>
    </row>
    <row r="172" ht="12.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30"/>
      <c r="AR172" s="30"/>
      <c r="AS172" s="30"/>
      <c r="AT172" s="30"/>
      <c r="AU172" s="30"/>
      <c r="AV172" s="30"/>
      <c r="AW172" s="30"/>
      <c r="AX172" s="30"/>
      <c r="AY172" s="30"/>
      <c r="AZ172" s="30"/>
      <c r="BA172" s="30"/>
      <c r="BB172" s="30"/>
    </row>
    <row r="173" ht="12.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row>
    <row r="174" ht="12.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30"/>
      <c r="AR174" s="30"/>
      <c r="AS174" s="30"/>
      <c r="AT174" s="30"/>
      <c r="AU174" s="30"/>
      <c r="AV174" s="30"/>
      <c r="AW174" s="30"/>
      <c r="AX174" s="30"/>
      <c r="AY174" s="30"/>
      <c r="AZ174" s="30"/>
      <c r="BA174" s="30"/>
      <c r="BB174" s="30"/>
    </row>
    <row r="175" ht="12.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30"/>
      <c r="AR175" s="30"/>
      <c r="AS175" s="30"/>
      <c r="AT175" s="30"/>
      <c r="AU175" s="30"/>
      <c r="AV175" s="30"/>
      <c r="AW175" s="30"/>
      <c r="AX175" s="30"/>
      <c r="AY175" s="30"/>
      <c r="AZ175" s="30"/>
      <c r="BA175" s="30"/>
      <c r="BB175" s="30"/>
    </row>
    <row r="176" ht="12.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30"/>
      <c r="AR176" s="30"/>
      <c r="AS176" s="30"/>
      <c r="AT176" s="30"/>
      <c r="AU176" s="30"/>
      <c r="AV176" s="30"/>
      <c r="AW176" s="30"/>
      <c r="AX176" s="30"/>
      <c r="AY176" s="30"/>
      <c r="AZ176" s="30"/>
      <c r="BA176" s="30"/>
      <c r="BB176" s="30"/>
    </row>
    <row r="177" ht="12.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30"/>
      <c r="AR177" s="30"/>
      <c r="AS177" s="30"/>
      <c r="AT177" s="30"/>
      <c r="AU177" s="30"/>
      <c r="AV177" s="30"/>
      <c r="AW177" s="30"/>
      <c r="AX177" s="30"/>
      <c r="AY177" s="30"/>
      <c r="AZ177" s="30"/>
      <c r="BA177" s="30"/>
      <c r="BB177" s="30"/>
    </row>
    <row r="178" ht="12.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30"/>
      <c r="AR178" s="30"/>
      <c r="AS178" s="30"/>
      <c r="AT178" s="30"/>
      <c r="AU178" s="30"/>
      <c r="AV178" s="30"/>
      <c r="AW178" s="30"/>
      <c r="AX178" s="30"/>
      <c r="AY178" s="30"/>
      <c r="AZ178" s="30"/>
      <c r="BA178" s="30"/>
      <c r="BB178" s="30"/>
    </row>
    <row r="179" ht="12.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30"/>
      <c r="AR179" s="30"/>
      <c r="AS179" s="30"/>
      <c r="AT179" s="30"/>
      <c r="AU179" s="30"/>
      <c r="AV179" s="30"/>
      <c r="AW179" s="30"/>
      <c r="AX179" s="30"/>
      <c r="AY179" s="30"/>
      <c r="AZ179" s="30"/>
      <c r="BA179" s="30"/>
      <c r="BB179" s="30"/>
    </row>
    <row r="180" ht="12.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30"/>
      <c r="AR180" s="30"/>
      <c r="AS180" s="30"/>
      <c r="AT180" s="30"/>
      <c r="AU180" s="30"/>
      <c r="AV180" s="30"/>
      <c r="AW180" s="30"/>
      <c r="AX180" s="30"/>
      <c r="AY180" s="30"/>
      <c r="AZ180" s="30"/>
      <c r="BA180" s="30"/>
      <c r="BB180" s="30"/>
    </row>
    <row r="181" ht="12.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30"/>
      <c r="AR181" s="30"/>
      <c r="AS181" s="30"/>
      <c r="AT181" s="30"/>
      <c r="AU181" s="30"/>
      <c r="AV181" s="30"/>
      <c r="AW181" s="30"/>
      <c r="AX181" s="30"/>
      <c r="AY181" s="30"/>
      <c r="AZ181" s="30"/>
      <c r="BA181" s="30"/>
      <c r="BB181" s="30"/>
    </row>
    <row r="182" ht="12.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30"/>
      <c r="AR182" s="30"/>
      <c r="AS182" s="30"/>
      <c r="AT182" s="30"/>
      <c r="AU182" s="30"/>
      <c r="AV182" s="30"/>
      <c r="AW182" s="30"/>
      <c r="AX182" s="30"/>
      <c r="AY182" s="30"/>
      <c r="AZ182" s="30"/>
      <c r="BA182" s="30"/>
      <c r="BB182" s="30"/>
    </row>
    <row r="183" ht="12.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30"/>
      <c r="AR183" s="30"/>
      <c r="AS183" s="30"/>
      <c r="AT183" s="30"/>
      <c r="AU183" s="30"/>
      <c r="AV183" s="30"/>
      <c r="AW183" s="30"/>
      <c r="AX183" s="30"/>
      <c r="AY183" s="30"/>
      <c r="AZ183" s="30"/>
      <c r="BA183" s="30"/>
      <c r="BB183" s="30"/>
    </row>
    <row r="184" ht="12.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30"/>
      <c r="AR184" s="30"/>
      <c r="AS184" s="30"/>
      <c r="AT184" s="30"/>
      <c r="AU184" s="30"/>
      <c r="AV184" s="30"/>
      <c r="AW184" s="30"/>
      <c r="AX184" s="30"/>
      <c r="AY184" s="30"/>
      <c r="AZ184" s="30"/>
      <c r="BA184" s="30"/>
      <c r="BB184" s="30"/>
    </row>
    <row r="185" ht="12.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30"/>
      <c r="AR185" s="30"/>
      <c r="AS185" s="30"/>
      <c r="AT185" s="30"/>
      <c r="AU185" s="30"/>
      <c r="AV185" s="30"/>
      <c r="AW185" s="30"/>
      <c r="AX185" s="30"/>
      <c r="AY185" s="30"/>
      <c r="AZ185" s="30"/>
      <c r="BA185" s="30"/>
      <c r="BB185" s="30"/>
    </row>
    <row r="186" ht="12.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row>
    <row r="187" ht="12.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row>
    <row r="188" ht="12.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row>
    <row r="189" ht="12.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c r="AW189" s="30"/>
      <c r="AX189" s="30"/>
      <c r="AY189" s="30"/>
      <c r="AZ189" s="30"/>
      <c r="BA189" s="30"/>
      <c r="BB189" s="30"/>
    </row>
    <row r="190" ht="12.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row>
    <row r="191" ht="12.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row>
    <row r="192" ht="12.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row>
    <row r="193" ht="12.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row>
    <row r="194" ht="12.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row>
    <row r="195" ht="12.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row>
    <row r="196" ht="12.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row>
    <row r="197" ht="12.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row>
    <row r="198" ht="12.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row>
    <row r="199" ht="12.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c r="AW199" s="30"/>
      <c r="AX199" s="30"/>
      <c r="AY199" s="30"/>
      <c r="AZ199" s="30"/>
      <c r="BA199" s="30"/>
      <c r="BB199" s="30"/>
    </row>
    <row r="200" ht="12.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30"/>
      <c r="AR200" s="30"/>
      <c r="AS200" s="30"/>
      <c r="AT200" s="30"/>
      <c r="AU200" s="30"/>
      <c r="AV200" s="30"/>
      <c r="AW200" s="30"/>
      <c r="AX200" s="30"/>
      <c r="AY200" s="30"/>
      <c r="AZ200" s="30"/>
      <c r="BA200" s="30"/>
      <c r="BB200" s="30"/>
    </row>
    <row r="201" ht="12.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30"/>
      <c r="AR201" s="30"/>
      <c r="AS201" s="30"/>
      <c r="AT201" s="30"/>
      <c r="AU201" s="30"/>
      <c r="AV201" s="30"/>
      <c r="AW201" s="30"/>
      <c r="AX201" s="30"/>
      <c r="AY201" s="30"/>
      <c r="AZ201" s="30"/>
      <c r="BA201" s="30"/>
      <c r="BB201" s="30"/>
    </row>
    <row r="202" ht="12.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30"/>
      <c r="AR202" s="30"/>
      <c r="AS202" s="30"/>
      <c r="AT202" s="30"/>
      <c r="AU202" s="30"/>
      <c r="AV202" s="30"/>
      <c r="AW202" s="30"/>
      <c r="AX202" s="30"/>
      <c r="AY202" s="30"/>
      <c r="AZ202" s="30"/>
      <c r="BA202" s="30"/>
      <c r="BB202" s="30"/>
    </row>
    <row r="203" ht="12.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30"/>
      <c r="AR203" s="30"/>
      <c r="AS203" s="30"/>
      <c r="AT203" s="30"/>
      <c r="AU203" s="30"/>
      <c r="AV203" s="30"/>
      <c r="AW203" s="30"/>
      <c r="AX203" s="30"/>
      <c r="AY203" s="30"/>
      <c r="AZ203" s="30"/>
      <c r="BA203" s="30"/>
      <c r="BB203" s="30"/>
    </row>
    <row r="204" ht="12.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30"/>
      <c r="AR204" s="30"/>
      <c r="AS204" s="30"/>
      <c r="AT204" s="30"/>
      <c r="AU204" s="30"/>
      <c r="AV204" s="30"/>
      <c r="AW204" s="30"/>
      <c r="AX204" s="30"/>
      <c r="AY204" s="30"/>
      <c r="AZ204" s="30"/>
      <c r="BA204" s="30"/>
      <c r="BB204" s="30"/>
    </row>
    <row r="205" ht="12.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30"/>
      <c r="AR205" s="30"/>
      <c r="AS205" s="30"/>
      <c r="AT205" s="30"/>
      <c r="AU205" s="30"/>
      <c r="AV205" s="30"/>
      <c r="AW205" s="30"/>
      <c r="AX205" s="30"/>
      <c r="AY205" s="30"/>
      <c r="AZ205" s="30"/>
      <c r="BA205" s="30"/>
      <c r="BB205" s="30"/>
    </row>
    <row r="206" ht="12.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30"/>
      <c r="AR206" s="30"/>
      <c r="AS206" s="30"/>
      <c r="AT206" s="30"/>
      <c r="AU206" s="30"/>
      <c r="AV206" s="30"/>
      <c r="AW206" s="30"/>
      <c r="AX206" s="30"/>
      <c r="AY206" s="30"/>
      <c r="AZ206" s="30"/>
      <c r="BA206" s="30"/>
      <c r="BB206" s="30"/>
    </row>
    <row r="207" ht="12.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30"/>
      <c r="AR207" s="30"/>
      <c r="AS207" s="30"/>
      <c r="AT207" s="30"/>
      <c r="AU207" s="30"/>
      <c r="AV207" s="30"/>
      <c r="AW207" s="30"/>
      <c r="AX207" s="30"/>
      <c r="AY207" s="30"/>
      <c r="AZ207" s="30"/>
      <c r="BA207" s="30"/>
      <c r="BB207" s="30"/>
    </row>
    <row r="208" ht="12.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30"/>
      <c r="AR208" s="30"/>
      <c r="AS208" s="30"/>
      <c r="AT208" s="30"/>
      <c r="AU208" s="30"/>
      <c r="AV208" s="30"/>
      <c r="AW208" s="30"/>
      <c r="AX208" s="30"/>
      <c r="AY208" s="30"/>
      <c r="AZ208" s="30"/>
      <c r="BA208" s="30"/>
      <c r="BB208" s="30"/>
    </row>
    <row r="209" ht="12.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30"/>
      <c r="AR209" s="30"/>
      <c r="AS209" s="30"/>
      <c r="AT209" s="30"/>
      <c r="AU209" s="30"/>
      <c r="AV209" s="30"/>
      <c r="AW209" s="30"/>
      <c r="AX209" s="30"/>
      <c r="AY209" s="30"/>
      <c r="AZ209" s="30"/>
      <c r="BA209" s="30"/>
      <c r="BB209" s="30"/>
    </row>
    <row r="210" ht="12.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30"/>
      <c r="AR210" s="30"/>
      <c r="AS210" s="30"/>
      <c r="AT210" s="30"/>
      <c r="AU210" s="30"/>
      <c r="AV210" s="30"/>
      <c r="AW210" s="30"/>
      <c r="AX210" s="30"/>
      <c r="AY210" s="30"/>
      <c r="AZ210" s="30"/>
      <c r="BA210" s="30"/>
      <c r="BB210" s="30"/>
    </row>
    <row r="211" ht="12.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30"/>
      <c r="AR211" s="30"/>
      <c r="AS211" s="30"/>
      <c r="AT211" s="30"/>
      <c r="AU211" s="30"/>
      <c r="AV211" s="30"/>
      <c r="AW211" s="30"/>
      <c r="AX211" s="30"/>
      <c r="AY211" s="30"/>
      <c r="AZ211" s="30"/>
      <c r="BA211" s="30"/>
      <c r="BB211" s="30"/>
    </row>
    <row r="212" ht="12.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30"/>
      <c r="AR212" s="30"/>
      <c r="AS212" s="30"/>
      <c r="AT212" s="30"/>
      <c r="AU212" s="30"/>
      <c r="AV212" s="30"/>
      <c r="AW212" s="30"/>
      <c r="AX212" s="30"/>
      <c r="AY212" s="30"/>
      <c r="AZ212" s="30"/>
      <c r="BA212" s="30"/>
      <c r="BB212" s="30"/>
    </row>
    <row r="213" ht="12.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30"/>
      <c r="AR213" s="30"/>
      <c r="AS213" s="30"/>
      <c r="AT213" s="30"/>
      <c r="AU213" s="30"/>
      <c r="AV213" s="30"/>
      <c r="AW213" s="30"/>
      <c r="AX213" s="30"/>
      <c r="AY213" s="30"/>
      <c r="AZ213" s="30"/>
      <c r="BA213" s="30"/>
      <c r="BB213" s="30"/>
    </row>
    <row r="214" ht="12.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30"/>
      <c r="AR214" s="30"/>
      <c r="AS214" s="30"/>
      <c r="AT214" s="30"/>
      <c r="AU214" s="30"/>
      <c r="AV214" s="30"/>
      <c r="AW214" s="30"/>
      <c r="AX214" s="30"/>
      <c r="AY214" s="30"/>
      <c r="AZ214" s="30"/>
      <c r="BA214" s="30"/>
      <c r="BB214" s="30"/>
    </row>
    <row r="215" ht="12.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30"/>
      <c r="AR215" s="30"/>
      <c r="AS215" s="30"/>
      <c r="AT215" s="30"/>
      <c r="AU215" s="30"/>
      <c r="AV215" s="30"/>
      <c r="AW215" s="30"/>
      <c r="AX215" s="30"/>
      <c r="AY215" s="30"/>
      <c r="AZ215" s="30"/>
      <c r="BA215" s="30"/>
      <c r="BB215" s="30"/>
    </row>
    <row r="216" ht="12.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30"/>
      <c r="AR216" s="30"/>
      <c r="AS216" s="30"/>
      <c r="AT216" s="30"/>
      <c r="AU216" s="30"/>
      <c r="AV216" s="30"/>
      <c r="AW216" s="30"/>
      <c r="AX216" s="30"/>
      <c r="AY216" s="30"/>
      <c r="AZ216" s="30"/>
      <c r="BA216" s="30"/>
      <c r="BB216" s="30"/>
    </row>
    <row r="217" ht="12.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30"/>
      <c r="AR217" s="30"/>
      <c r="AS217" s="30"/>
      <c r="AT217" s="30"/>
      <c r="AU217" s="30"/>
      <c r="AV217" s="30"/>
      <c r="AW217" s="30"/>
      <c r="AX217" s="30"/>
      <c r="AY217" s="30"/>
      <c r="AZ217" s="30"/>
      <c r="BA217" s="30"/>
      <c r="BB217" s="30"/>
    </row>
    <row r="218" ht="12.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30"/>
      <c r="AR218" s="30"/>
      <c r="AS218" s="30"/>
      <c r="AT218" s="30"/>
      <c r="AU218" s="30"/>
      <c r="AV218" s="30"/>
      <c r="AW218" s="30"/>
      <c r="AX218" s="30"/>
      <c r="AY218" s="30"/>
      <c r="AZ218" s="30"/>
      <c r="BA218" s="30"/>
      <c r="BB218" s="30"/>
    </row>
    <row r="219" ht="12.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30"/>
      <c r="AR219" s="30"/>
      <c r="AS219" s="30"/>
      <c r="AT219" s="30"/>
      <c r="AU219" s="30"/>
      <c r="AV219" s="30"/>
      <c r="AW219" s="30"/>
      <c r="AX219" s="30"/>
      <c r="AY219" s="30"/>
      <c r="AZ219" s="30"/>
      <c r="BA219" s="30"/>
      <c r="BB219" s="30"/>
    </row>
    <row r="220" ht="12.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30"/>
      <c r="AR220" s="30"/>
      <c r="AS220" s="30"/>
      <c r="AT220" s="30"/>
      <c r="AU220" s="30"/>
      <c r="AV220" s="30"/>
      <c r="AW220" s="30"/>
      <c r="AX220" s="30"/>
      <c r="AY220" s="30"/>
      <c r="AZ220" s="30"/>
      <c r="BA220" s="30"/>
      <c r="BB220" s="30"/>
    </row>
    <row r="221" ht="12.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30"/>
      <c r="AR221" s="30"/>
      <c r="AS221" s="30"/>
      <c r="AT221" s="30"/>
      <c r="AU221" s="30"/>
      <c r="AV221" s="30"/>
      <c r="AW221" s="30"/>
      <c r="AX221" s="30"/>
      <c r="AY221" s="30"/>
      <c r="AZ221" s="30"/>
      <c r="BA221" s="30"/>
      <c r="BB221" s="30"/>
    </row>
    <row r="222" ht="12.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30"/>
      <c r="AR222" s="30"/>
      <c r="AS222" s="30"/>
      <c r="AT222" s="30"/>
      <c r="AU222" s="30"/>
      <c r="AV222" s="30"/>
      <c r="AW222" s="30"/>
      <c r="AX222" s="30"/>
      <c r="AY222" s="30"/>
      <c r="AZ222" s="30"/>
      <c r="BA222" s="30"/>
      <c r="BB222" s="30"/>
    </row>
    <row r="223" ht="12.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30"/>
      <c r="AR223" s="30"/>
      <c r="AS223" s="30"/>
      <c r="AT223" s="30"/>
      <c r="AU223" s="30"/>
      <c r="AV223" s="30"/>
      <c r="AW223" s="30"/>
      <c r="AX223" s="30"/>
      <c r="AY223" s="30"/>
      <c r="AZ223" s="30"/>
      <c r="BA223" s="30"/>
      <c r="BB223" s="30"/>
    </row>
    <row r="224" ht="12.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30"/>
      <c r="AR224" s="30"/>
      <c r="AS224" s="30"/>
      <c r="AT224" s="30"/>
      <c r="AU224" s="30"/>
      <c r="AV224" s="30"/>
      <c r="AW224" s="30"/>
      <c r="AX224" s="30"/>
      <c r="AY224" s="30"/>
      <c r="AZ224" s="30"/>
      <c r="BA224" s="30"/>
      <c r="BB224" s="30"/>
    </row>
    <row r="225" ht="12.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30"/>
      <c r="AR225" s="30"/>
      <c r="AS225" s="30"/>
      <c r="AT225" s="30"/>
      <c r="AU225" s="30"/>
      <c r="AV225" s="30"/>
      <c r="AW225" s="30"/>
      <c r="AX225" s="30"/>
      <c r="AY225" s="30"/>
      <c r="AZ225" s="30"/>
      <c r="BA225" s="30"/>
      <c r="BB225" s="30"/>
    </row>
    <row r="226" ht="12.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30"/>
      <c r="AR226" s="30"/>
      <c r="AS226" s="30"/>
      <c r="AT226" s="30"/>
      <c r="AU226" s="30"/>
      <c r="AV226" s="30"/>
      <c r="AW226" s="30"/>
      <c r="AX226" s="30"/>
      <c r="AY226" s="30"/>
      <c r="AZ226" s="30"/>
      <c r="BA226" s="30"/>
      <c r="BB226" s="30"/>
    </row>
    <row r="227" ht="12.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30"/>
      <c r="AR227" s="30"/>
      <c r="AS227" s="30"/>
      <c r="AT227" s="30"/>
      <c r="AU227" s="30"/>
      <c r="AV227" s="30"/>
      <c r="AW227" s="30"/>
      <c r="AX227" s="30"/>
      <c r="AY227" s="30"/>
      <c r="AZ227" s="30"/>
      <c r="BA227" s="30"/>
      <c r="BB227" s="30"/>
    </row>
    <row r="228" ht="12.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30"/>
      <c r="AR228" s="30"/>
      <c r="AS228" s="30"/>
      <c r="AT228" s="30"/>
      <c r="AU228" s="30"/>
      <c r="AV228" s="30"/>
      <c r="AW228" s="30"/>
      <c r="AX228" s="30"/>
      <c r="AY228" s="30"/>
      <c r="AZ228" s="30"/>
      <c r="BA228" s="30"/>
      <c r="BB228" s="30"/>
    </row>
    <row r="229" ht="12.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30"/>
      <c r="AR229" s="30"/>
      <c r="AS229" s="30"/>
      <c r="AT229" s="30"/>
      <c r="AU229" s="30"/>
      <c r="AV229" s="30"/>
      <c r="AW229" s="30"/>
      <c r="AX229" s="30"/>
      <c r="AY229" s="30"/>
      <c r="AZ229" s="30"/>
      <c r="BA229" s="30"/>
      <c r="BB229" s="30"/>
    </row>
    <row r="230" ht="12.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30"/>
      <c r="AR230" s="30"/>
      <c r="AS230" s="30"/>
      <c r="AT230" s="30"/>
      <c r="AU230" s="30"/>
      <c r="AV230" s="30"/>
      <c r="AW230" s="30"/>
      <c r="AX230" s="30"/>
      <c r="AY230" s="30"/>
      <c r="AZ230" s="30"/>
      <c r="BA230" s="30"/>
      <c r="BB230" s="30"/>
    </row>
    <row r="231" ht="12.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30"/>
      <c r="AR231" s="30"/>
      <c r="AS231" s="30"/>
      <c r="AT231" s="30"/>
      <c r="AU231" s="30"/>
      <c r="AV231" s="30"/>
      <c r="AW231" s="30"/>
      <c r="AX231" s="30"/>
      <c r="AY231" s="30"/>
      <c r="AZ231" s="30"/>
      <c r="BA231" s="30"/>
      <c r="BB231" s="30"/>
    </row>
    <row r="232" ht="12.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30"/>
      <c r="AR232" s="30"/>
      <c r="AS232" s="30"/>
      <c r="AT232" s="30"/>
      <c r="AU232" s="30"/>
      <c r="AV232" s="30"/>
      <c r="AW232" s="30"/>
      <c r="AX232" s="30"/>
      <c r="AY232" s="30"/>
      <c r="AZ232" s="30"/>
      <c r="BA232" s="30"/>
      <c r="BB232" s="30"/>
    </row>
    <row r="233" ht="12.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30"/>
      <c r="AR233" s="30"/>
      <c r="AS233" s="30"/>
      <c r="AT233" s="30"/>
      <c r="AU233" s="30"/>
      <c r="AV233" s="30"/>
      <c r="AW233" s="30"/>
      <c r="AX233" s="30"/>
      <c r="AY233" s="30"/>
      <c r="AZ233" s="30"/>
      <c r="BA233" s="30"/>
      <c r="BB233" s="30"/>
    </row>
    <row r="234" ht="12.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30"/>
      <c r="AR234" s="30"/>
      <c r="AS234" s="30"/>
      <c r="AT234" s="30"/>
      <c r="AU234" s="30"/>
      <c r="AV234" s="30"/>
      <c r="AW234" s="30"/>
      <c r="AX234" s="30"/>
      <c r="AY234" s="30"/>
      <c r="AZ234" s="30"/>
      <c r="BA234" s="30"/>
      <c r="BB234" s="30"/>
    </row>
    <row r="235" ht="12.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30"/>
      <c r="AR235" s="30"/>
      <c r="AS235" s="30"/>
      <c r="AT235" s="30"/>
      <c r="AU235" s="30"/>
      <c r="AV235" s="30"/>
      <c r="AW235" s="30"/>
      <c r="AX235" s="30"/>
      <c r="AY235" s="30"/>
      <c r="AZ235" s="30"/>
      <c r="BA235" s="30"/>
      <c r="BB235" s="30"/>
    </row>
    <row r="236" ht="12.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30"/>
      <c r="AR236" s="30"/>
      <c r="AS236" s="30"/>
      <c r="AT236" s="30"/>
      <c r="AU236" s="30"/>
      <c r="AV236" s="30"/>
      <c r="AW236" s="30"/>
      <c r="AX236" s="30"/>
      <c r="AY236" s="30"/>
      <c r="AZ236" s="30"/>
      <c r="BA236" s="30"/>
      <c r="BB236" s="30"/>
    </row>
    <row r="237" ht="12.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30"/>
      <c r="AR237" s="30"/>
      <c r="AS237" s="30"/>
      <c r="AT237" s="30"/>
      <c r="AU237" s="30"/>
      <c r="AV237" s="30"/>
      <c r="AW237" s="30"/>
      <c r="AX237" s="30"/>
      <c r="AY237" s="30"/>
      <c r="AZ237" s="30"/>
      <c r="BA237" s="30"/>
      <c r="BB237" s="30"/>
    </row>
    <row r="238" ht="12.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30"/>
      <c r="AR238" s="30"/>
      <c r="AS238" s="30"/>
      <c r="AT238" s="30"/>
      <c r="AU238" s="30"/>
      <c r="AV238" s="30"/>
      <c r="AW238" s="30"/>
      <c r="AX238" s="30"/>
      <c r="AY238" s="30"/>
      <c r="AZ238" s="30"/>
      <c r="BA238" s="30"/>
      <c r="BB238" s="30"/>
    </row>
    <row r="239" ht="12.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30"/>
      <c r="AR239" s="30"/>
      <c r="AS239" s="30"/>
      <c r="AT239" s="30"/>
      <c r="AU239" s="30"/>
      <c r="AV239" s="30"/>
      <c r="AW239" s="30"/>
      <c r="AX239" s="30"/>
      <c r="AY239" s="30"/>
      <c r="AZ239" s="30"/>
      <c r="BA239" s="30"/>
      <c r="BB239" s="30"/>
    </row>
    <row r="240" ht="12.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30"/>
      <c r="AR240" s="30"/>
      <c r="AS240" s="30"/>
      <c r="AT240" s="30"/>
      <c r="AU240" s="30"/>
      <c r="AV240" s="30"/>
      <c r="AW240" s="30"/>
      <c r="AX240" s="30"/>
      <c r="AY240" s="30"/>
      <c r="AZ240" s="30"/>
      <c r="BA240" s="30"/>
      <c r="BB240" s="30"/>
    </row>
    <row r="241" ht="12.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30"/>
      <c r="AR241" s="30"/>
      <c r="AS241" s="30"/>
      <c r="AT241" s="30"/>
      <c r="AU241" s="30"/>
      <c r="AV241" s="30"/>
      <c r="AW241" s="30"/>
      <c r="AX241" s="30"/>
      <c r="AY241" s="30"/>
      <c r="AZ241" s="30"/>
      <c r="BA241" s="30"/>
      <c r="BB241" s="30"/>
    </row>
    <row r="242" ht="12.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30"/>
      <c r="AR242" s="30"/>
      <c r="AS242" s="30"/>
      <c r="AT242" s="30"/>
      <c r="AU242" s="30"/>
      <c r="AV242" s="30"/>
      <c r="AW242" s="30"/>
      <c r="AX242" s="30"/>
      <c r="AY242" s="30"/>
      <c r="AZ242" s="30"/>
      <c r="BA242" s="30"/>
      <c r="BB242" s="30"/>
    </row>
    <row r="243" ht="12.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30"/>
      <c r="AR243" s="30"/>
      <c r="AS243" s="30"/>
      <c r="AT243" s="30"/>
      <c r="AU243" s="30"/>
      <c r="AV243" s="30"/>
      <c r="AW243" s="30"/>
      <c r="AX243" s="30"/>
      <c r="AY243" s="30"/>
      <c r="AZ243" s="30"/>
      <c r="BA243" s="30"/>
      <c r="BB243" s="30"/>
    </row>
    <row r="244" ht="12.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30"/>
      <c r="AR244" s="30"/>
      <c r="AS244" s="30"/>
      <c r="AT244" s="30"/>
      <c r="AU244" s="30"/>
      <c r="AV244" s="30"/>
      <c r="AW244" s="30"/>
      <c r="AX244" s="30"/>
      <c r="AY244" s="30"/>
      <c r="AZ244" s="30"/>
      <c r="BA244" s="30"/>
      <c r="BB244" s="30"/>
    </row>
    <row r="245" ht="12.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30"/>
      <c r="AR245" s="30"/>
      <c r="AS245" s="30"/>
      <c r="AT245" s="30"/>
      <c r="AU245" s="30"/>
      <c r="AV245" s="30"/>
      <c r="AW245" s="30"/>
      <c r="AX245" s="30"/>
      <c r="AY245" s="30"/>
      <c r="AZ245" s="30"/>
      <c r="BA245" s="30"/>
      <c r="BB245" s="30"/>
    </row>
    <row r="246" ht="12.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30"/>
      <c r="AR246" s="30"/>
      <c r="AS246" s="30"/>
      <c r="AT246" s="30"/>
      <c r="AU246" s="30"/>
      <c r="AV246" s="30"/>
      <c r="AW246" s="30"/>
      <c r="AX246" s="30"/>
      <c r="AY246" s="30"/>
      <c r="AZ246" s="30"/>
      <c r="BA246" s="30"/>
      <c r="BB246" s="30"/>
    </row>
    <row r="247" ht="12.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30"/>
      <c r="AR247" s="30"/>
      <c r="AS247" s="30"/>
      <c r="AT247" s="30"/>
      <c r="AU247" s="30"/>
      <c r="AV247" s="30"/>
      <c r="AW247" s="30"/>
      <c r="AX247" s="30"/>
      <c r="AY247" s="30"/>
      <c r="AZ247" s="30"/>
      <c r="BA247" s="30"/>
      <c r="BB247" s="30"/>
    </row>
    <row r="248" ht="12.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30"/>
      <c r="AR248" s="30"/>
      <c r="AS248" s="30"/>
      <c r="AT248" s="30"/>
      <c r="AU248" s="30"/>
      <c r="AV248" s="30"/>
      <c r="AW248" s="30"/>
      <c r="AX248" s="30"/>
      <c r="AY248" s="30"/>
      <c r="AZ248" s="30"/>
      <c r="BA248" s="30"/>
      <c r="BB248" s="30"/>
    </row>
    <row r="249" ht="12.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30"/>
      <c r="AR249" s="30"/>
      <c r="AS249" s="30"/>
      <c r="AT249" s="30"/>
      <c r="AU249" s="30"/>
      <c r="AV249" s="30"/>
      <c r="AW249" s="30"/>
      <c r="AX249" s="30"/>
      <c r="AY249" s="30"/>
      <c r="AZ249" s="30"/>
      <c r="BA249" s="30"/>
      <c r="BB249" s="30"/>
    </row>
    <row r="250" ht="12.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30"/>
      <c r="AR250" s="30"/>
      <c r="AS250" s="30"/>
      <c r="AT250" s="30"/>
      <c r="AU250" s="30"/>
      <c r="AV250" s="30"/>
      <c r="AW250" s="30"/>
      <c r="AX250" s="30"/>
      <c r="AY250" s="30"/>
      <c r="AZ250" s="30"/>
      <c r="BA250" s="30"/>
      <c r="BB250" s="30"/>
    </row>
    <row r="251" ht="12.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30"/>
      <c r="AR251" s="30"/>
      <c r="AS251" s="30"/>
      <c r="AT251" s="30"/>
      <c r="AU251" s="30"/>
      <c r="AV251" s="30"/>
      <c r="AW251" s="30"/>
      <c r="AX251" s="30"/>
      <c r="AY251" s="30"/>
      <c r="AZ251" s="30"/>
      <c r="BA251" s="30"/>
      <c r="BB251" s="30"/>
    </row>
    <row r="252" ht="12.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30"/>
      <c r="AR252" s="30"/>
      <c r="AS252" s="30"/>
      <c r="AT252" s="30"/>
      <c r="AU252" s="30"/>
      <c r="AV252" s="30"/>
      <c r="AW252" s="30"/>
      <c r="AX252" s="30"/>
      <c r="AY252" s="30"/>
      <c r="AZ252" s="30"/>
      <c r="BA252" s="30"/>
      <c r="BB252" s="30"/>
    </row>
    <row r="253" ht="12.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30"/>
      <c r="AR253" s="30"/>
      <c r="AS253" s="30"/>
      <c r="AT253" s="30"/>
      <c r="AU253" s="30"/>
      <c r="AV253" s="30"/>
      <c r="AW253" s="30"/>
      <c r="AX253" s="30"/>
      <c r="AY253" s="30"/>
      <c r="AZ253" s="30"/>
      <c r="BA253" s="30"/>
      <c r="BB253" s="30"/>
    </row>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96">
    <mergeCell ref="A1:J4"/>
    <mergeCell ref="K1:AU1"/>
    <mergeCell ref="AV1:BB1"/>
    <mergeCell ref="K2:AU4"/>
    <mergeCell ref="AV2:BB2"/>
    <mergeCell ref="AV3:BB4"/>
    <mergeCell ref="G5:BB5"/>
    <mergeCell ref="AX6:AZ6"/>
    <mergeCell ref="BA6:BB6"/>
    <mergeCell ref="AX7:AZ7"/>
    <mergeCell ref="BA7:BB7"/>
    <mergeCell ref="R7:W7"/>
    <mergeCell ref="X7:AO7"/>
    <mergeCell ref="AU7:AW7"/>
    <mergeCell ref="A8:BB8"/>
    <mergeCell ref="F9:BB9"/>
    <mergeCell ref="F10:BB10"/>
    <mergeCell ref="F11:BB11"/>
    <mergeCell ref="A12:BB12"/>
    <mergeCell ref="A5:F5"/>
    <mergeCell ref="A6:I6"/>
    <mergeCell ref="J6:Q6"/>
    <mergeCell ref="R6:W6"/>
    <mergeCell ref="X6:AO6"/>
    <mergeCell ref="AP6:AT7"/>
    <mergeCell ref="AU6:AW6"/>
    <mergeCell ref="AB13:AD14"/>
    <mergeCell ref="AE13:AH14"/>
    <mergeCell ref="AI13:AL14"/>
    <mergeCell ref="AM13:AP14"/>
    <mergeCell ref="AQ13:AT14"/>
    <mergeCell ref="AU13:AX13"/>
    <mergeCell ref="AY13:BB14"/>
    <mergeCell ref="AW14:AX14"/>
    <mergeCell ref="A7:F7"/>
    <mergeCell ref="G7:Q7"/>
    <mergeCell ref="A9:E11"/>
    <mergeCell ref="A13:I14"/>
    <mergeCell ref="J13:R14"/>
    <mergeCell ref="S13:W14"/>
    <mergeCell ref="X13:AA14"/>
    <mergeCell ref="AM18:AP18"/>
    <mergeCell ref="AQ18:AT18"/>
    <mergeCell ref="AW18:AX18"/>
    <mergeCell ref="AY18:BB18"/>
    <mergeCell ref="A18:I18"/>
    <mergeCell ref="J18:R18"/>
    <mergeCell ref="S18:W18"/>
    <mergeCell ref="X18:AA18"/>
    <mergeCell ref="AB18:AD18"/>
    <mergeCell ref="AE18:AH18"/>
    <mergeCell ref="AI18:AL18"/>
    <mergeCell ref="AM19:AP19"/>
    <mergeCell ref="AQ19:AT19"/>
    <mergeCell ref="AW19:AX19"/>
    <mergeCell ref="AY19:BB19"/>
    <mergeCell ref="A19:I19"/>
    <mergeCell ref="J19:R19"/>
    <mergeCell ref="S19:W19"/>
    <mergeCell ref="X19:AA19"/>
    <mergeCell ref="AB19:AD19"/>
    <mergeCell ref="AE19:AH19"/>
    <mergeCell ref="AI19:AL19"/>
    <mergeCell ref="AM20:AP20"/>
    <mergeCell ref="AQ20:AT20"/>
    <mergeCell ref="AW20:AX20"/>
    <mergeCell ref="AY20:BB20"/>
    <mergeCell ref="A20:I20"/>
    <mergeCell ref="J20:R20"/>
    <mergeCell ref="S20:W20"/>
    <mergeCell ref="X20:AA20"/>
    <mergeCell ref="AB20:AD20"/>
    <mergeCell ref="AE20:AH20"/>
    <mergeCell ref="AI20:AL20"/>
    <mergeCell ref="AM21:AP21"/>
    <mergeCell ref="AQ21:AT21"/>
    <mergeCell ref="AW21:AX21"/>
    <mergeCell ref="AY21:BB21"/>
    <mergeCell ref="A21:I21"/>
    <mergeCell ref="J21:R21"/>
    <mergeCell ref="S21:W21"/>
    <mergeCell ref="X21:AA21"/>
    <mergeCell ref="AB21:AD21"/>
    <mergeCell ref="AE21:AH21"/>
    <mergeCell ref="AI21:AL21"/>
    <mergeCell ref="AM22:AP22"/>
    <mergeCell ref="AQ22:AT22"/>
    <mergeCell ref="AW22:AX22"/>
    <mergeCell ref="AY22:BB22"/>
    <mergeCell ref="A22:I22"/>
    <mergeCell ref="J22:R22"/>
    <mergeCell ref="S22:W22"/>
    <mergeCell ref="X22:AA22"/>
    <mergeCell ref="AB22:AD22"/>
    <mergeCell ref="AE22:AH22"/>
    <mergeCell ref="AI22:AL22"/>
    <mergeCell ref="AM23:AP23"/>
    <mergeCell ref="AQ23:AT23"/>
    <mergeCell ref="AW23:AX23"/>
    <mergeCell ref="AY23:BB23"/>
    <mergeCell ref="A23:I23"/>
    <mergeCell ref="J23:R23"/>
    <mergeCell ref="S23:W23"/>
    <mergeCell ref="X23:AA23"/>
    <mergeCell ref="AB23:AD23"/>
    <mergeCell ref="AE23:AH23"/>
    <mergeCell ref="AI23:AL23"/>
    <mergeCell ref="A41:AP41"/>
    <mergeCell ref="AQ41:AX41"/>
    <mergeCell ref="AY41:BB41"/>
    <mergeCell ref="A42:BB42"/>
    <mergeCell ref="A43:BB43"/>
    <mergeCell ref="A44:BB44"/>
    <mergeCell ref="A45:BB45"/>
    <mergeCell ref="A46:BB46"/>
    <mergeCell ref="U48:AJ48"/>
    <mergeCell ref="AK48:AZ48"/>
    <mergeCell ref="U49:AJ50"/>
    <mergeCell ref="AK49:AZ50"/>
    <mergeCell ref="U51:AJ51"/>
    <mergeCell ref="AK51:AZ51"/>
    <mergeCell ref="AM35:AP35"/>
    <mergeCell ref="AQ35:AT35"/>
    <mergeCell ref="AW35:AX35"/>
    <mergeCell ref="AY35:BB35"/>
    <mergeCell ref="A35:I35"/>
    <mergeCell ref="J35:R35"/>
    <mergeCell ref="S35:W35"/>
    <mergeCell ref="X35:AA35"/>
    <mergeCell ref="AB35:AD35"/>
    <mergeCell ref="AE35:AH35"/>
    <mergeCell ref="AI35:AL35"/>
    <mergeCell ref="AM36:AP36"/>
    <mergeCell ref="AQ36:AT36"/>
    <mergeCell ref="AW36:AX36"/>
    <mergeCell ref="AY36:BB36"/>
    <mergeCell ref="A36:I36"/>
    <mergeCell ref="J36:R36"/>
    <mergeCell ref="S36:W36"/>
    <mergeCell ref="X36:AA36"/>
    <mergeCell ref="AB36:AD36"/>
    <mergeCell ref="AE36:AH36"/>
    <mergeCell ref="AI36:AL36"/>
    <mergeCell ref="AM37:AP37"/>
    <mergeCell ref="AQ37:AT37"/>
    <mergeCell ref="AW37:AX37"/>
    <mergeCell ref="AY37:BB37"/>
    <mergeCell ref="A37:I37"/>
    <mergeCell ref="J37:R37"/>
    <mergeCell ref="S37:W37"/>
    <mergeCell ref="X37:AA37"/>
    <mergeCell ref="AB37:AD37"/>
    <mergeCell ref="AE37:AH37"/>
    <mergeCell ref="AI37:AL37"/>
    <mergeCell ref="U52:AJ52"/>
    <mergeCell ref="AK52:AZ52"/>
    <mergeCell ref="U53:AJ53"/>
    <mergeCell ref="AK53:AZ53"/>
    <mergeCell ref="AM24:AP24"/>
    <mergeCell ref="AQ24:AT24"/>
    <mergeCell ref="AW24:AX24"/>
    <mergeCell ref="AY24:BB24"/>
    <mergeCell ref="J24:R24"/>
    <mergeCell ref="S24:W24"/>
    <mergeCell ref="X24:AA24"/>
    <mergeCell ref="AB24:AD24"/>
    <mergeCell ref="AE24:AH24"/>
    <mergeCell ref="AI24:AL24"/>
    <mergeCell ref="A25:BB25"/>
    <mergeCell ref="S29:W30"/>
    <mergeCell ref="X29:AA30"/>
    <mergeCell ref="AI29:AL30"/>
    <mergeCell ref="AM29:AP30"/>
    <mergeCell ref="AQ29:AT30"/>
    <mergeCell ref="AU29:AX29"/>
    <mergeCell ref="AW30:AX30"/>
    <mergeCell ref="A24:I24"/>
    <mergeCell ref="A26:E28"/>
    <mergeCell ref="F26:BB26"/>
    <mergeCell ref="F27:BB27"/>
    <mergeCell ref="F28:BB28"/>
    <mergeCell ref="A29:I30"/>
    <mergeCell ref="J29:R30"/>
    <mergeCell ref="AY29:BB30"/>
    <mergeCell ref="AM15:AP15"/>
    <mergeCell ref="AQ15:AT15"/>
    <mergeCell ref="AW15:AX15"/>
    <mergeCell ref="AY15:BB15"/>
    <mergeCell ref="A15:I15"/>
    <mergeCell ref="J15:R15"/>
    <mergeCell ref="S15:W15"/>
    <mergeCell ref="X15:AA15"/>
    <mergeCell ref="AB15:AD15"/>
    <mergeCell ref="AE15:AH15"/>
    <mergeCell ref="AI15:AL15"/>
    <mergeCell ref="AM16:AP16"/>
    <mergeCell ref="AQ16:AT16"/>
    <mergeCell ref="AW16:AX16"/>
    <mergeCell ref="AY16:BB16"/>
    <mergeCell ref="A16:I16"/>
    <mergeCell ref="J16:R16"/>
    <mergeCell ref="S16:W16"/>
    <mergeCell ref="X16:AA16"/>
    <mergeCell ref="AB16:AD16"/>
    <mergeCell ref="AE16:AH16"/>
    <mergeCell ref="AI16:AL16"/>
    <mergeCell ref="AM17:AP17"/>
    <mergeCell ref="AQ17:AT17"/>
    <mergeCell ref="AW17:AX17"/>
    <mergeCell ref="AY17:BB17"/>
    <mergeCell ref="A17:I17"/>
    <mergeCell ref="J17:R17"/>
    <mergeCell ref="S17:W17"/>
    <mergeCell ref="X17:AA17"/>
    <mergeCell ref="AB17:AD17"/>
    <mergeCell ref="AE17:AH17"/>
    <mergeCell ref="AI17:AL17"/>
    <mergeCell ref="AE31:AH31"/>
    <mergeCell ref="AI31:AL31"/>
    <mergeCell ref="AM31:AP31"/>
    <mergeCell ref="AQ31:AT31"/>
    <mergeCell ref="AW31:AX31"/>
    <mergeCell ref="AY31:BB31"/>
    <mergeCell ref="AB29:AD30"/>
    <mergeCell ref="AE29:AH30"/>
    <mergeCell ref="A31:I31"/>
    <mergeCell ref="J31:R31"/>
    <mergeCell ref="S31:W31"/>
    <mergeCell ref="X31:AA31"/>
    <mergeCell ref="AB31:AD31"/>
    <mergeCell ref="AM32:AP32"/>
    <mergeCell ref="AQ32:AT32"/>
    <mergeCell ref="AW32:AX32"/>
    <mergeCell ref="AY32:BB32"/>
    <mergeCell ref="A32:I32"/>
    <mergeCell ref="J32:R32"/>
    <mergeCell ref="S32:W32"/>
    <mergeCell ref="X32:AA32"/>
    <mergeCell ref="AB32:AD32"/>
    <mergeCell ref="AE32:AH32"/>
    <mergeCell ref="AI32:AL32"/>
    <mergeCell ref="AM33:AP33"/>
    <mergeCell ref="AQ33:AT33"/>
    <mergeCell ref="AW33:AX33"/>
    <mergeCell ref="AY33:BB33"/>
    <mergeCell ref="A33:I33"/>
    <mergeCell ref="J33:R33"/>
    <mergeCell ref="S33:W33"/>
    <mergeCell ref="X33:AA33"/>
    <mergeCell ref="AB33:AD33"/>
    <mergeCell ref="AE33:AH33"/>
    <mergeCell ref="AI33:AL33"/>
    <mergeCell ref="AM34:AP34"/>
    <mergeCell ref="AQ34:AT34"/>
    <mergeCell ref="AW34:AX34"/>
    <mergeCell ref="AY34:BB34"/>
    <mergeCell ref="A34:I34"/>
    <mergeCell ref="J34:R34"/>
    <mergeCell ref="S34:W34"/>
    <mergeCell ref="X34:AA34"/>
    <mergeCell ref="AB34:AD34"/>
    <mergeCell ref="AE34:AH34"/>
    <mergeCell ref="AI34:AL34"/>
    <mergeCell ref="AM38:AP38"/>
    <mergeCell ref="AQ38:AT38"/>
    <mergeCell ref="AW38:AX38"/>
    <mergeCell ref="AY38:BB38"/>
    <mergeCell ref="A38:I38"/>
    <mergeCell ref="J38:R38"/>
    <mergeCell ref="S38:W38"/>
    <mergeCell ref="X38:AA38"/>
    <mergeCell ref="AB38:AD38"/>
    <mergeCell ref="AE38:AH38"/>
    <mergeCell ref="AI38:AL38"/>
    <mergeCell ref="AM39:AP39"/>
    <mergeCell ref="AQ39:AT39"/>
    <mergeCell ref="AW39:AX39"/>
    <mergeCell ref="AY39:BB39"/>
    <mergeCell ref="A39:I39"/>
    <mergeCell ref="J39:R39"/>
    <mergeCell ref="S39:W39"/>
    <mergeCell ref="X39:AA39"/>
    <mergeCell ref="AB39:AD39"/>
    <mergeCell ref="AE39:AH39"/>
    <mergeCell ref="AI39:AL39"/>
    <mergeCell ref="AM40:AP40"/>
    <mergeCell ref="AQ40:AT40"/>
    <mergeCell ref="AW40:AX40"/>
    <mergeCell ref="AY40:BB40"/>
    <mergeCell ref="A40:I40"/>
    <mergeCell ref="J40:R40"/>
    <mergeCell ref="S40:W40"/>
    <mergeCell ref="X40:AA40"/>
    <mergeCell ref="AB40:AD40"/>
    <mergeCell ref="AE40:AH40"/>
    <mergeCell ref="AI40:AL40"/>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5" width="3.71"/>
    <col customWidth="1" min="16" max="16" width="5.71"/>
    <col customWidth="1" min="17" max="17" width="3.71"/>
    <col customWidth="1" min="18" max="18" width="6.57"/>
    <col customWidth="1" min="19" max="19" width="3.71"/>
    <col customWidth="1" min="20" max="20" width="5.71"/>
    <col customWidth="1" min="21" max="21" width="3.71"/>
    <col customWidth="1" min="22" max="22" width="6.86"/>
    <col customWidth="1" min="23" max="23" width="3.71"/>
    <col customWidth="1" min="24" max="24" width="7.57"/>
    <col customWidth="1" min="25" max="26" width="3.71"/>
    <col customWidth="1" min="27" max="27" width="5.57"/>
    <col customWidth="1" min="28" max="28" width="3.71"/>
    <col customWidth="1" min="29" max="29" width="5.14"/>
    <col customWidth="1" min="30" max="30" width="7.43"/>
    <col customWidth="1" min="31" max="34" width="3.71"/>
    <col customWidth="1" min="35" max="35" width="5.43"/>
    <col customWidth="1" min="36" max="36" width="5.14"/>
    <col customWidth="1" min="37" max="40" width="3.71"/>
    <col customWidth="1" min="41" max="41" width="5.14"/>
    <col customWidth="1" min="42" max="42" width="3.71"/>
    <col customWidth="1" min="43" max="43" width="6.86"/>
    <col customWidth="1" min="44" max="45" width="3.71"/>
    <col customWidth="1" min="46" max="46" width="4.29"/>
    <col customWidth="1" min="47" max="47" width="4.86"/>
    <col customWidth="1" min="48" max="48" width="6.0"/>
    <col customWidth="1" min="49" max="53" width="3.71"/>
    <col customWidth="1" min="54" max="54" width="4.43"/>
    <col customWidth="1" min="55" max="55" width="3.71"/>
  </cols>
  <sheetData>
    <row r="1" ht="12.75" customHeight="1">
      <c r="A1" s="82"/>
      <c r="B1" s="83"/>
      <c r="C1" s="83"/>
      <c r="D1" s="83"/>
      <c r="E1" s="83"/>
      <c r="F1" s="83"/>
      <c r="G1" s="83"/>
      <c r="H1" s="83"/>
      <c r="I1" s="83"/>
      <c r="J1" s="84"/>
      <c r="K1" s="85" t="s">
        <v>0</v>
      </c>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6"/>
      <c r="AV1" s="116" t="s">
        <v>1</v>
      </c>
      <c r="BC1" s="117"/>
    </row>
    <row r="2" ht="12.75" customHeight="1">
      <c r="A2" s="86"/>
      <c r="J2" s="11"/>
      <c r="K2" s="65" t="s">
        <v>103</v>
      </c>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3"/>
      <c r="AV2" s="10"/>
      <c r="BC2" s="117"/>
    </row>
    <row r="3" ht="12.75" customHeight="1">
      <c r="A3" s="86"/>
      <c r="J3" s="11"/>
      <c r="K3" s="10"/>
      <c r="AU3" s="11"/>
      <c r="AV3" s="10"/>
      <c r="BC3" s="117"/>
    </row>
    <row r="4" ht="12.75" customHeight="1">
      <c r="A4" s="88"/>
      <c r="B4" s="15"/>
      <c r="C4" s="15"/>
      <c r="D4" s="15"/>
      <c r="E4" s="15"/>
      <c r="F4" s="15"/>
      <c r="G4" s="15"/>
      <c r="H4" s="15"/>
      <c r="I4" s="15"/>
      <c r="J4" s="16"/>
      <c r="K4" s="14"/>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6"/>
      <c r="AV4" s="10"/>
      <c r="BC4" s="117"/>
    </row>
    <row r="5" ht="12.75" customHeight="1">
      <c r="A5" s="40" t="s">
        <v>3</v>
      </c>
      <c r="B5" s="2"/>
      <c r="C5" s="2"/>
      <c r="D5" s="2"/>
      <c r="E5" s="2"/>
      <c r="F5" s="3"/>
      <c r="G5" s="42"/>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6"/>
    </row>
    <row r="6" ht="24.75" customHeight="1">
      <c r="A6" s="90" t="s">
        <v>5</v>
      </c>
      <c r="B6" s="5"/>
      <c r="C6" s="5"/>
      <c r="D6" s="5"/>
      <c r="E6" s="5"/>
      <c r="F6" s="5"/>
      <c r="G6" s="5"/>
      <c r="H6" s="5"/>
      <c r="I6" s="6"/>
      <c r="J6" s="118" t="s">
        <v>70</v>
      </c>
      <c r="K6" s="119"/>
      <c r="L6" s="119"/>
      <c r="M6" s="119"/>
      <c r="N6" s="119"/>
      <c r="O6" s="119"/>
      <c r="P6" s="119"/>
      <c r="Q6" s="120"/>
      <c r="R6" s="27" t="s">
        <v>6</v>
      </c>
      <c r="S6" s="20"/>
      <c r="T6" s="20"/>
      <c r="U6" s="20"/>
      <c r="V6" s="20"/>
      <c r="W6" s="20"/>
      <c r="X6" s="107"/>
      <c r="Y6" s="15"/>
      <c r="Z6" s="15"/>
      <c r="AA6" s="15"/>
      <c r="AB6" s="15"/>
      <c r="AC6" s="15"/>
      <c r="AD6" s="15"/>
      <c r="AE6" s="15"/>
      <c r="AF6" s="15"/>
      <c r="AG6" s="15"/>
      <c r="AH6" s="15"/>
      <c r="AI6" s="15"/>
      <c r="AJ6" s="15"/>
      <c r="AK6" s="15"/>
      <c r="AL6" s="15"/>
      <c r="AM6" s="15"/>
      <c r="AN6" s="15"/>
      <c r="AO6" s="16"/>
      <c r="AP6" s="121" t="s">
        <v>71</v>
      </c>
      <c r="AQ6" s="24"/>
      <c r="AR6" s="24"/>
      <c r="AS6" s="24"/>
      <c r="AT6" s="98"/>
      <c r="AU6" s="122" t="s">
        <v>72</v>
      </c>
      <c r="AV6" s="119"/>
      <c r="AW6" s="120"/>
      <c r="AX6" s="123" t="s">
        <v>73</v>
      </c>
      <c r="AY6" s="119"/>
      <c r="AZ6" s="120"/>
      <c r="BA6" s="124" t="s">
        <v>74</v>
      </c>
      <c r="BB6" s="119"/>
      <c r="BC6" s="120"/>
    </row>
    <row r="7" ht="33.0" customHeight="1">
      <c r="A7" s="89" t="s">
        <v>8</v>
      </c>
      <c r="B7" s="5"/>
      <c r="C7" s="5"/>
      <c r="D7" s="5"/>
      <c r="E7" s="5"/>
      <c r="F7" s="6"/>
      <c r="G7" s="42"/>
      <c r="H7" s="5"/>
      <c r="I7" s="5"/>
      <c r="J7" s="5"/>
      <c r="K7" s="5"/>
      <c r="L7" s="5"/>
      <c r="M7" s="5"/>
      <c r="N7" s="5"/>
      <c r="O7" s="5"/>
      <c r="P7" s="5"/>
      <c r="Q7" s="6"/>
      <c r="R7" s="96" t="s">
        <v>75</v>
      </c>
      <c r="S7" s="5"/>
      <c r="T7" s="5"/>
      <c r="U7" s="5"/>
      <c r="V7" s="5"/>
      <c r="W7" s="6"/>
      <c r="X7" s="42"/>
      <c r="Y7" s="5"/>
      <c r="Z7" s="5"/>
      <c r="AA7" s="5"/>
      <c r="AB7" s="5"/>
      <c r="AC7" s="5"/>
      <c r="AD7" s="5"/>
      <c r="AE7" s="5"/>
      <c r="AF7" s="5"/>
      <c r="AG7" s="5"/>
      <c r="AH7" s="5"/>
      <c r="AI7" s="5"/>
      <c r="AJ7" s="5"/>
      <c r="AK7" s="5"/>
      <c r="AL7" s="5"/>
      <c r="AM7" s="5"/>
      <c r="AN7" s="5"/>
      <c r="AO7" s="6"/>
      <c r="AP7" s="14"/>
      <c r="AQ7" s="15"/>
      <c r="AR7" s="15"/>
      <c r="AS7" s="15"/>
      <c r="AT7" s="16"/>
      <c r="AU7" s="96"/>
      <c r="AV7" s="5"/>
      <c r="AW7" s="6"/>
      <c r="AX7" s="42"/>
      <c r="AY7" s="5"/>
      <c r="AZ7" s="6"/>
      <c r="BA7" s="107"/>
      <c r="BB7" s="15"/>
      <c r="BC7" s="15"/>
    </row>
    <row r="8" ht="12.75" customHeight="1">
      <c r="A8" s="80" t="s">
        <v>104</v>
      </c>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6"/>
    </row>
    <row r="9" ht="12.75" customHeight="1">
      <c r="A9" s="125" t="s">
        <v>105</v>
      </c>
      <c r="B9" s="2"/>
      <c r="C9" s="2"/>
      <c r="D9" s="2"/>
      <c r="E9" s="2"/>
      <c r="F9" s="2"/>
      <c r="G9" s="2"/>
      <c r="H9" s="2"/>
      <c r="I9" s="2"/>
      <c r="J9" s="2"/>
      <c r="K9" s="2"/>
      <c r="L9" s="2"/>
      <c r="M9" s="2"/>
      <c r="N9" s="2"/>
      <c r="O9" s="3"/>
      <c r="P9" s="66" t="s">
        <v>106</v>
      </c>
      <c r="Q9" s="2"/>
      <c r="R9" s="2"/>
      <c r="S9" s="3"/>
      <c r="T9" s="66" t="s">
        <v>107</v>
      </c>
      <c r="U9" s="2"/>
      <c r="V9" s="2"/>
      <c r="W9" s="3"/>
      <c r="X9" s="66" t="s">
        <v>108</v>
      </c>
      <c r="Y9" s="2"/>
      <c r="Z9" s="2"/>
      <c r="AA9" s="3"/>
      <c r="AB9" s="66" t="s">
        <v>109</v>
      </c>
      <c r="AC9" s="2"/>
      <c r="AD9" s="2"/>
      <c r="AE9" s="3"/>
      <c r="AF9" s="66" t="s">
        <v>110</v>
      </c>
      <c r="AG9" s="2"/>
      <c r="AH9" s="2"/>
      <c r="AI9" s="2"/>
      <c r="AJ9" s="2"/>
      <c r="AK9" s="3"/>
      <c r="AL9" s="66" t="s">
        <v>111</v>
      </c>
      <c r="AM9" s="2"/>
      <c r="AN9" s="2"/>
      <c r="AO9" s="2"/>
      <c r="AP9" s="2"/>
      <c r="AQ9" s="3"/>
      <c r="AR9" s="66" t="s">
        <v>112</v>
      </c>
      <c r="AS9" s="2"/>
      <c r="AT9" s="2"/>
      <c r="AU9" s="2"/>
      <c r="AV9" s="2"/>
      <c r="AW9" s="3"/>
      <c r="AX9" s="66" t="s">
        <v>113</v>
      </c>
      <c r="AY9" s="2"/>
      <c r="AZ9" s="2"/>
      <c r="BA9" s="2"/>
      <c r="BB9" s="2"/>
      <c r="BC9" s="3"/>
    </row>
    <row r="10" ht="12.75" customHeight="1">
      <c r="A10" s="10"/>
      <c r="O10" s="11"/>
      <c r="P10" s="14"/>
      <c r="Q10" s="15"/>
      <c r="R10" s="15"/>
      <c r="S10" s="16"/>
      <c r="T10" s="14"/>
      <c r="U10" s="15"/>
      <c r="V10" s="15"/>
      <c r="W10" s="16"/>
      <c r="X10" s="14"/>
      <c r="Y10" s="15"/>
      <c r="Z10" s="15"/>
      <c r="AA10" s="16"/>
      <c r="AB10" s="14"/>
      <c r="AC10" s="15"/>
      <c r="AD10" s="15"/>
      <c r="AE10" s="16"/>
      <c r="AF10" s="14"/>
      <c r="AG10" s="15"/>
      <c r="AH10" s="15"/>
      <c r="AI10" s="15"/>
      <c r="AJ10" s="15"/>
      <c r="AK10" s="16"/>
      <c r="AL10" s="14"/>
      <c r="AM10" s="15"/>
      <c r="AN10" s="15"/>
      <c r="AO10" s="15"/>
      <c r="AP10" s="15"/>
      <c r="AQ10" s="16"/>
      <c r="AR10" s="14"/>
      <c r="AS10" s="15"/>
      <c r="AT10" s="15"/>
      <c r="AU10" s="15"/>
      <c r="AV10" s="15"/>
      <c r="AW10" s="16"/>
      <c r="AX10" s="14"/>
      <c r="AY10" s="15"/>
      <c r="AZ10" s="15"/>
      <c r="BA10" s="15"/>
      <c r="BB10" s="15"/>
      <c r="BC10" s="16"/>
    </row>
    <row r="11" ht="12.75" customHeight="1">
      <c r="A11" s="10"/>
      <c r="O11" s="11"/>
      <c r="P11" s="66" t="s">
        <v>114</v>
      </c>
      <c r="Q11" s="3"/>
      <c r="R11" s="66" t="s">
        <v>115</v>
      </c>
      <c r="S11" s="3"/>
      <c r="T11" s="66" t="s">
        <v>114</v>
      </c>
      <c r="U11" s="3"/>
      <c r="V11" s="66" t="s">
        <v>115</v>
      </c>
      <c r="W11" s="3"/>
      <c r="X11" s="66" t="s">
        <v>114</v>
      </c>
      <c r="Y11" s="3"/>
      <c r="Z11" s="66" t="s">
        <v>115</v>
      </c>
      <c r="AA11" s="3"/>
      <c r="AB11" s="66" t="s">
        <v>114</v>
      </c>
      <c r="AC11" s="3"/>
      <c r="AD11" s="66" t="s">
        <v>115</v>
      </c>
      <c r="AE11" s="3"/>
      <c r="AF11" s="66" t="s">
        <v>116</v>
      </c>
      <c r="AG11" s="3"/>
      <c r="AH11" s="66" t="s">
        <v>114</v>
      </c>
      <c r="AI11" s="3"/>
      <c r="AJ11" s="66" t="s">
        <v>115</v>
      </c>
      <c r="AK11" s="3"/>
      <c r="AL11" s="66" t="s">
        <v>116</v>
      </c>
      <c r="AM11" s="3"/>
      <c r="AN11" s="66" t="s">
        <v>114</v>
      </c>
      <c r="AO11" s="3"/>
      <c r="AP11" s="66" t="s">
        <v>115</v>
      </c>
      <c r="AQ11" s="3"/>
      <c r="AR11" s="66" t="s">
        <v>116</v>
      </c>
      <c r="AS11" s="3"/>
      <c r="AT11" s="66" t="s">
        <v>114</v>
      </c>
      <c r="AU11" s="3"/>
      <c r="AV11" s="66" t="s">
        <v>115</v>
      </c>
      <c r="AW11" s="3"/>
      <c r="AX11" s="66" t="s">
        <v>114</v>
      </c>
      <c r="AY11" s="2"/>
      <c r="AZ11" s="3"/>
      <c r="BA11" s="66" t="s">
        <v>115</v>
      </c>
      <c r="BB11" s="2"/>
      <c r="BC11" s="3"/>
    </row>
    <row r="12" ht="12.75" customHeight="1">
      <c r="A12" s="14"/>
      <c r="B12" s="15"/>
      <c r="C12" s="15"/>
      <c r="D12" s="15"/>
      <c r="E12" s="15"/>
      <c r="F12" s="15"/>
      <c r="G12" s="15"/>
      <c r="H12" s="15"/>
      <c r="I12" s="15"/>
      <c r="J12" s="15"/>
      <c r="K12" s="15"/>
      <c r="L12" s="15"/>
      <c r="M12" s="15"/>
      <c r="N12" s="15"/>
      <c r="O12" s="16"/>
      <c r="P12" s="14"/>
      <c r="Q12" s="16"/>
      <c r="R12" s="14"/>
      <c r="S12" s="16"/>
      <c r="T12" s="14"/>
      <c r="U12" s="16"/>
      <c r="V12" s="14"/>
      <c r="W12" s="16"/>
      <c r="X12" s="14"/>
      <c r="Y12" s="16"/>
      <c r="Z12" s="14"/>
      <c r="AA12" s="16"/>
      <c r="AB12" s="14"/>
      <c r="AC12" s="16"/>
      <c r="AD12" s="14"/>
      <c r="AE12" s="16"/>
      <c r="AF12" s="14"/>
      <c r="AG12" s="16"/>
      <c r="AH12" s="14"/>
      <c r="AI12" s="16"/>
      <c r="AJ12" s="14"/>
      <c r="AK12" s="16"/>
      <c r="AL12" s="14"/>
      <c r="AM12" s="16"/>
      <c r="AN12" s="14"/>
      <c r="AO12" s="16"/>
      <c r="AP12" s="14"/>
      <c r="AQ12" s="16"/>
      <c r="AR12" s="14"/>
      <c r="AS12" s="16"/>
      <c r="AT12" s="14"/>
      <c r="AU12" s="16"/>
      <c r="AV12" s="14"/>
      <c r="AW12" s="16"/>
      <c r="AX12" s="14"/>
      <c r="AY12" s="15"/>
      <c r="AZ12" s="16"/>
      <c r="BA12" s="14"/>
      <c r="BB12" s="15"/>
      <c r="BC12" s="16"/>
    </row>
    <row r="13" ht="12.75" customHeight="1">
      <c r="A13" s="126"/>
      <c r="B13" s="119"/>
      <c r="C13" s="119"/>
      <c r="D13" s="119"/>
      <c r="E13" s="119"/>
      <c r="F13" s="119"/>
      <c r="G13" s="119"/>
      <c r="H13" s="119"/>
      <c r="I13" s="119"/>
      <c r="J13" s="119"/>
      <c r="K13" s="119"/>
      <c r="L13" s="119"/>
      <c r="M13" s="119"/>
      <c r="N13" s="119"/>
      <c r="O13" s="120"/>
      <c r="P13" s="127"/>
      <c r="Q13" s="128"/>
      <c r="R13" s="129"/>
      <c r="S13" s="128"/>
      <c r="T13" s="129"/>
      <c r="U13" s="128"/>
      <c r="V13" s="129"/>
      <c r="W13" s="128"/>
      <c r="X13" s="129"/>
      <c r="Y13" s="128"/>
      <c r="Z13" s="129"/>
      <c r="AA13" s="128"/>
      <c r="AB13" s="129"/>
      <c r="AC13" s="128"/>
      <c r="AD13" s="129"/>
      <c r="AE13" s="128"/>
      <c r="AF13" s="129"/>
      <c r="AG13" s="128"/>
      <c r="AH13" s="129"/>
      <c r="AI13" s="128"/>
      <c r="AJ13" s="129"/>
      <c r="AK13" s="128"/>
      <c r="AL13" s="129"/>
      <c r="AM13" s="128"/>
      <c r="AN13" s="129"/>
      <c r="AO13" s="128"/>
      <c r="AP13" s="129"/>
      <c r="AQ13" s="128"/>
      <c r="AR13" s="129"/>
      <c r="AS13" s="128"/>
      <c r="AT13" s="129"/>
      <c r="AU13" s="128"/>
      <c r="AV13" s="129"/>
      <c r="AW13" s="128"/>
      <c r="AX13" s="129"/>
      <c r="AY13" s="103"/>
      <c r="AZ13" s="128"/>
      <c r="BA13" s="129"/>
      <c r="BB13" s="103"/>
      <c r="BC13" s="128"/>
    </row>
    <row r="14" ht="12.75" customHeight="1">
      <c r="A14" s="130"/>
      <c r="B14" s="5"/>
      <c r="C14" s="5"/>
      <c r="D14" s="5"/>
      <c r="E14" s="5"/>
      <c r="F14" s="5"/>
      <c r="G14" s="5"/>
      <c r="H14" s="5"/>
      <c r="I14" s="5"/>
      <c r="J14" s="5"/>
      <c r="K14" s="5"/>
      <c r="L14" s="5"/>
      <c r="M14" s="5"/>
      <c r="N14" s="5"/>
      <c r="O14" s="6"/>
      <c r="P14" s="131"/>
      <c r="Q14" s="39"/>
      <c r="R14" s="131"/>
      <c r="S14" s="39"/>
      <c r="T14" s="131"/>
      <c r="U14" s="39"/>
      <c r="V14" s="131"/>
      <c r="W14" s="39"/>
      <c r="X14" s="131"/>
      <c r="Y14" s="39"/>
      <c r="Z14" s="131"/>
      <c r="AA14" s="39"/>
      <c r="AB14" s="131"/>
      <c r="AC14" s="39"/>
      <c r="AD14" s="131"/>
      <c r="AE14" s="39"/>
      <c r="AF14" s="131"/>
      <c r="AG14" s="39"/>
      <c r="AH14" s="131"/>
      <c r="AI14" s="39"/>
      <c r="AJ14" s="131"/>
      <c r="AK14" s="39"/>
      <c r="AL14" s="131"/>
      <c r="AM14" s="39"/>
      <c r="AN14" s="131"/>
      <c r="AO14" s="39"/>
      <c r="AP14" s="131"/>
      <c r="AQ14" s="39"/>
      <c r="AR14" s="131"/>
      <c r="AS14" s="39"/>
      <c r="AT14" s="131"/>
      <c r="AU14" s="39"/>
      <c r="AV14" s="131"/>
      <c r="AW14" s="39"/>
      <c r="AX14" s="131"/>
      <c r="AY14" s="38"/>
      <c r="AZ14" s="39"/>
      <c r="BA14" s="131"/>
      <c r="BB14" s="38"/>
      <c r="BC14" s="39"/>
    </row>
    <row r="15" ht="12.75" customHeight="1">
      <c r="A15" s="130"/>
      <c r="B15" s="5"/>
      <c r="C15" s="5"/>
      <c r="D15" s="5"/>
      <c r="E15" s="5"/>
      <c r="F15" s="5"/>
      <c r="G15" s="5"/>
      <c r="H15" s="5"/>
      <c r="I15" s="5"/>
      <c r="J15" s="5"/>
      <c r="K15" s="5"/>
      <c r="L15" s="5"/>
      <c r="M15" s="5"/>
      <c r="N15" s="5"/>
      <c r="O15" s="6"/>
      <c r="P15" s="131"/>
      <c r="Q15" s="39"/>
      <c r="R15" s="131"/>
      <c r="S15" s="39"/>
      <c r="T15" s="131"/>
      <c r="U15" s="39"/>
      <c r="V15" s="131"/>
      <c r="W15" s="39"/>
      <c r="X15" s="131"/>
      <c r="Y15" s="39"/>
      <c r="Z15" s="131"/>
      <c r="AA15" s="39"/>
      <c r="AB15" s="131"/>
      <c r="AC15" s="39"/>
      <c r="AD15" s="131"/>
      <c r="AE15" s="39"/>
      <c r="AF15" s="131"/>
      <c r="AG15" s="39"/>
      <c r="AH15" s="131"/>
      <c r="AI15" s="39"/>
      <c r="AJ15" s="131"/>
      <c r="AK15" s="39"/>
      <c r="AL15" s="131"/>
      <c r="AM15" s="39"/>
      <c r="AN15" s="131"/>
      <c r="AO15" s="39"/>
      <c r="AP15" s="131"/>
      <c r="AQ15" s="39"/>
      <c r="AR15" s="131"/>
      <c r="AS15" s="39"/>
      <c r="AT15" s="131"/>
      <c r="AU15" s="39"/>
      <c r="AV15" s="131"/>
      <c r="AW15" s="39"/>
      <c r="AX15" s="131"/>
      <c r="AY15" s="38"/>
      <c r="AZ15" s="39"/>
      <c r="BA15" s="131"/>
      <c r="BB15" s="38"/>
      <c r="BC15" s="39"/>
    </row>
    <row r="16" ht="12.75" customHeight="1">
      <c r="A16" s="130"/>
      <c r="B16" s="5"/>
      <c r="C16" s="5"/>
      <c r="D16" s="5"/>
      <c r="E16" s="5"/>
      <c r="F16" s="5"/>
      <c r="G16" s="5"/>
      <c r="H16" s="5"/>
      <c r="I16" s="5"/>
      <c r="J16" s="5"/>
      <c r="K16" s="5"/>
      <c r="L16" s="5"/>
      <c r="M16" s="5"/>
      <c r="N16" s="5"/>
      <c r="O16" s="6"/>
      <c r="P16" s="131"/>
      <c r="Q16" s="39"/>
      <c r="R16" s="131"/>
      <c r="S16" s="39"/>
      <c r="T16" s="131"/>
      <c r="U16" s="39"/>
      <c r="V16" s="131"/>
      <c r="W16" s="39"/>
      <c r="X16" s="131"/>
      <c r="Y16" s="39"/>
      <c r="Z16" s="131"/>
      <c r="AA16" s="39"/>
      <c r="AB16" s="131"/>
      <c r="AC16" s="39"/>
      <c r="AD16" s="131"/>
      <c r="AE16" s="39"/>
      <c r="AF16" s="131"/>
      <c r="AG16" s="39"/>
      <c r="AH16" s="131"/>
      <c r="AI16" s="39"/>
      <c r="AJ16" s="131"/>
      <c r="AK16" s="39"/>
      <c r="AL16" s="131"/>
      <c r="AM16" s="39"/>
      <c r="AN16" s="131"/>
      <c r="AO16" s="39"/>
      <c r="AP16" s="131"/>
      <c r="AQ16" s="39"/>
      <c r="AR16" s="131"/>
      <c r="AS16" s="39"/>
      <c r="AT16" s="131"/>
      <c r="AU16" s="39"/>
      <c r="AV16" s="131"/>
      <c r="AW16" s="39"/>
      <c r="AX16" s="131"/>
      <c r="AY16" s="38"/>
      <c r="AZ16" s="39"/>
      <c r="BA16" s="131"/>
      <c r="BB16" s="38"/>
      <c r="BC16" s="39"/>
    </row>
    <row r="17" ht="12.75" customHeight="1">
      <c r="A17" s="130"/>
      <c r="B17" s="5"/>
      <c r="C17" s="5"/>
      <c r="D17" s="5"/>
      <c r="E17" s="5"/>
      <c r="F17" s="5"/>
      <c r="G17" s="5"/>
      <c r="H17" s="5"/>
      <c r="I17" s="5"/>
      <c r="J17" s="5"/>
      <c r="K17" s="5"/>
      <c r="L17" s="5"/>
      <c r="M17" s="5"/>
      <c r="N17" s="5"/>
      <c r="O17" s="6"/>
      <c r="P17" s="131"/>
      <c r="Q17" s="39"/>
      <c r="R17" s="131"/>
      <c r="S17" s="39"/>
      <c r="T17" s="131"/>
      <c r="U17" s="39"/>
      <c r="V17" s="131"/>
      <c r="W17" s="39"/>
      <c r="X17" s="131"/>
      <c r="Y17" s="39"/>
      <c r="Z17" s="131"/>
      <c r="AA17" s="39"/>
      <c r="AB17" s="131"/>
      <c r="AC17" s="39"/>
      <c r="AD17" s="131"/>
      <c r="AE17" s="39"/>
      <c r="AF17" s="131"/>
      <c r="AG17" s="39"/>
      <c r="AH17" s="131"/>
      <c r="AI17" s="39"/>
      <c r="AJ17" s="131"/>
      <c r="AK17" s="39"/>
      <c r="AL17" s="131"/>
      <c r="AM17" s="39"/>
      <c r="AN17" s="131"/>
      <c r="AO17" s="39"/>
      <c r="AP17" s="131"/>
      <c r="AQ17" s="39"/>
      <c r="AR17" s="131"/>
      <c r="AS17" s="39"/>
      <c r="AT17" s="131"/>
      <c r="AU17" s="39"/>
      <c r="AV17" s="131"/>
      <c r="AW17" s="39"/>
      <c r="AX17" s="131"/>
      <c r="AY17" s="38"/>
      <c r="AZ17" s="39"/>
      <c r="BA17" s="131"/>
      <c r="BB17" s="38"/>
      <c r="BC17" s="39"/>
    </row>
    <row r="18" ht="12.75" customHeight="1">
      <c r="A18" s="130"/>
      <c r="B18" s="5"/>
      <c r="C18" s="5"/>
      <c r="D18" s="5"/>
      <c r="E18" s="5"/>
      <c r="F18" s="5"/>
      <c r="G18" s="5"/>
      <c r="H18" s="5"/>
      <c r="I18" s="5"/>
      <c r="J18" s="5"/>
      <c r="K18" s="5"/>
      <c r="L18" s="5"/>
      <c r="M18" s="5"/>
      <c r="N18" s="5"/>
      <c r="O18" s="6"/>
      <c r="P18" s="131"/>
      <c r="Q18" s="39"/>
      <c r="R18" s="131"/>
      <c r="S18" s="39"/>
      <c r="T18" s="131"/>
      <c r="U18" s="39"/>
      <c r="V18" s="131"/>
      <c r="W18" s="39"/>
      <c r="X18" s="131"/>
      <c r="Y18" s="39"/>
      <c r="Z18" s="131"/>
      <c r="AA18" s="39"/>
      <c r="AB18" s="131"/>
      <c r="AC18" s="39"/>
      <c r="AD18" s="131"/>
      <c r="AE18" s="39"/>
      <c r="AF18" s="131"/>
      <c r="AG18" s="39"/>
      <c r="AH18" s="131"/>
      <c r="AI18" s="39"/>
      <c r="AJ18" s="131"/>
      <c r="AK18" s="39"/>
      <c r="AL18" s="131"/>
      <c r="AM18" s="39"/>
      <c r="AN18" s="131"/>
      <c r="AO18" s="39"/>
      <c r="AP18" s="131"/>
      <c r="AQ18" s="39"/>
      <c r="AR18" s="131"/>
      <c r="AS18" s="39"/>
      <c r="AT18" s="131"/>
      <c r="AU18" s="39"/>
      <c r="AV18" s="131"/>
      <c r="AW18" s="39"/>
      <c r="AX18" s="131"/>
      <c r="AY18" s="38"/>
      <c r="AZ18" s="39"/>
      <c r="BA18" s="131"/>
      <c r="BB18" s="38"/>
      <c r="BC18" s="39"/>
    </row>
    <row r="19" ht="12.75" customHeight="1">
      <c r="A19" s="130"/>
      <c r="B19" s="5"/>
      <c r="C19" s="5"/>
      <c r="D19" s="5"/>
      <c r="E19" s="5"/>
      <c r="F19" s="5"/>
      <c r="G19" s="5"/>
      <c r="H19" s="5"/>
      <c r="I19" s="5"/>
      <c r="J19" s="5"/>
      <c r="K19" s="5"/>
      <c r="L19" s="5"/>
      <c r="M19" s="5"/>
      <c r="N19" s="5"/>
      <c r="O19" s="6"/>
      <c r="P19" s="131"/>
      <c r="Q19" s="39"/>
      <c r="R19" s="131"/>
      <c r="S19" s="39"/>
      <c r="T19" s="131"/>
      <c r="U19" s="39"/>
      <c r="V19" s="131"/>
      <c r="W19" s="39"/>
      <c r="X19" s="131"/>
      <c r="Y19" s="39"/>
      <c r="Z19" s="131"/>
      <c r="AA19" s="39"/>
      <c r="AB19" s="131"/>
      <c r="AC19" s="39"/>
      <c r="AD19" s="131"/>
      <c r="AE19" s="39"/>
      <c r="AF19" s="131"/>
      <c r="AG19" s="39"/>
      <c r="AH19" s="131"/>
      <c r="AI19" s="39"/>
      <c r="AJ19" s="131"/>
      <c r="AK19" s="39"/>
      <c r="AL19" s="131"/>
      <c r="AM19" s="39"/>
      <c r="AN19" s="131"/>
      <c r="AO19" s="39"/>
      <c r="AP19" s="131"/>
      <c r="AQ19" s="39"/>
      <c r="AR19" s="131"/>
      <c r="AS19" s="39"/>
      <c r="AT19" s="131"/>
      <c r="AU19" s="39"/>
      <c r="AV19" s="131"/>
      <c r="AW19" s="39"/>
      <c r="AX19" s="131"/>
      <c r="AY19" s="38"/>
      <c r="AZ19" s="39"/>
      <c r="BA19" s="131"/>
      <c r="BB19" s="38"/>
      <c r="BC19" s="39"/>
    </row>
    <row r="20" ht="12.75" customHeight="1">
      <c r="A20" s="130"/>
      <c r="B20" s="5"/>
      <c r="C20" s="5"/>
      <c r="D20" s="5"/>
      <c r="E20" s="5"/>
      <c r="F20" s="5"/>
      <c r="G20" s="5"/>
      <c r="H20" s="5"/>
      <c r="I20" s="5"/>
      <c r="J20" s="5"/>
      <c r="K20" s="5"/>
      <c r="L20" s="5"/>
      <c r="M20" s="5"/>
      <c r="N20" s="5"/>
      <c r="O20" s="6"/>
      <c r="P20" s="131"/>
      <c r="Q20" s="39"/>
      <c r="R20" s="131"/>
      <c r="S20" s="39"/>
      <c r="T20" s="131"/>
      <c r="U20" s="39"/>
      <c r="V20" s="131"/>
      <c r="W20" s="39"/>
      <c r="X20" s="131"/>
      <c r="Y20" s="39"/>
      <c r="Z20" s="131"/>
      <c r="AA20" s="39"/>
      <c r="AB20" s="131"/>
      <c r="AC20" s="39"/>
      <c r="AD20" s="131"/>
      <c r="AE20" s="39"/>
      <c r="AF20" s="131"/>
      <c r="AG20" s="39"/>
      <c r="AH20" s="131"/>
      <c r="AI20" s="39"/>
      <c r="AJ20" s="131"/>
      <c r="AK20" s="39"/>
      <c r="AL20" s="131"/>
      <c r="AM20" s="39"/>
      <c r="AN20" s="131"/>
      <c r="AO20" s="39"/>
      <c r="AP20" s="131"/>
      <c r="AQ20" s="39"/>
      <c r="AR20" s="131"/>
      <c r="AS20" s="39"/>
      <c r="AT20" s="131"/>
      <c r="AU20" s="39"/>
      <c r="AV20" s="131"/>
      <c r="AW20" s="39"/>
      <c r="AX20" s="131"/>
      <c r="AY20" s="38"/>
      <c r="AZ20" s="39"/>
      <c r="BA20" s="131"/>
      <c r="BB20" s="38"/>
      <c r="BC20" s="39"/>
    </row>
    <row r="21" ht="12.75" customHeight="1">
      <c r="A21" s="132" t="s">
        <v>117</v>
      </c>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3"/>
      <c r="AR21" s="133" t="s">
        <v>97</v>
      </c>
      <c r="AS21" s="2"/>
      <c r="AT21" s="2"/>
      <c r="AU21" s="2"/>
      <c r="AV21" s="2"/>
      <c r="AW21" s="3"/>
      <c r="AX21" s="134" t="s">
        <v>98</v>
      </c>
      <c r="AY21" s="2"/>
      <c r="AZ21" s="2"/>
      <c r="BA21" s="2"/>
      <c r="BB21" s="2"/>
      <c r="BC21" s="3"/>
    </row>
    <row r="22" ht="12.75" customHeight="1">
      <c r="A22" s="14"/>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6"/>
      <c r="AR22" s="14"/>
      <c r="AS22" s="15"/>
      <c r="AT22" s="15"/>
      <c r="AU22" s="15"/>
      <c r="AV22" s="15"/>
      <c r="AW22" s="16"/>
      <c r="AX22" s="14"/>
      <c r="AY22" s="15"/>
      <c r="AZ22" s="15"/>
      <c r="BA22" s="15"/>
      <c r="BB22" s="15"/>
      <c r="BC22" s="16"/>
    </row>
    <row r="23" ht="12.75" customHeight="1">
      <c r="A23" s="135" t="s">
        <v>118</v>
      </c>
      <c r="B23" s="113"/>
      <c r="C23" s="113"/>
      <c r="D23" s="113"/>
      <c r="E23" s="113"/>
      <c r="F23" s="113"/>
      <c r="G23" s="113"/>
      <c r="H23" s="113"/>
      <c r="I23" s="113"/>
      <c r="J23" s="113"/>
      <c r="K23" s="113"/>
      <c r="L23" s="113"/>
      <c r="M23" s="113"/>
      <c r="N23" s="113"/>
      <c r="O23" s="113"/>
      <c r="P23" s="113"/>
      <c r="Q23" s="113"/>
      <c r="R23" s="113"/>
      <c r="S23" s="113"/>
      <c r="T23" s="113"/>
      <c r="U23" s="113"/>
      <c r="V23" s="113"/>
      <c r="W23" s="113"/>
      <c r="X23" s="113"/>
      <c r="Y23" s="113"/>
      <c r="Z23" s="113"/>
      <c r="AA23" s="113"/>
      <c r="AB23" s="113"/>
      <c r="AC23" s="113"/>
      <c r="AD23" s="113"/>
      <c r="AE23" s="113"/>
      <c r="AF23" s="113"/>
      <c r="AG23" s="113"/>
      <c r="AH23" s="113"/>
      <c r="AI23" s="113"/>
      <c r="AJ23" s="113"/>
      <c r="AK23" s="113"/>
      <c r="AL23" s="113"/>
      <c r="AM23" s="113"/>
      <c r="AN23" s="113"/>
      <c r="AO23" s="113"/>
      <c r="AP23" s="113"/>
      <c r="AQ23" s="113"/>
      <c r="AR23" s="113"/>
      <c r="AS23" s="113"/>
      <c r="AT23" s="113"/>
      <c r="AU23" s="113"/>
      <c r="AV23" s="113"/>
      <c r="AW23" s="113"/>
      <c r="AX23" s="113"/>
      <c r="AY23" s="113"/>
      <c r="AZ23" s="113"/>
      <c r="BA23" s="113"/>
      <c r="BB23" s="113"/>
      <c r="BC23" s="136"/>
    </row>
    <row r="24" ht="12.75" customHeight="1">
      <c r="A24" s="137"/>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6"/>
    </row>
    <row r="25" ht="12.75" customHeight="1">
      <c r="A25" s="137"/>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6"/>
    </row>
    <row r="26" ht="12.75" customHeight="1">
      <c r="A26" s="137"/>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6"/>
    </row>
    <row r="27" ht="12.75" customHeight="1">
      <c r="A27" s="138"/>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c r="BA27" s="20"/>
      <c r="BB27" s="20"/>
      <c r="BC27" s="92"/>
    </row>
    <row r="28" ht="12.75" customHeight="1">
      <c r="A28" s="54"/>
      <c r="B28" s="55"/>
      <c r="C28" s="55"/>
      <c r="D28" s="55"/>
      <c r="E28" s="55"/>
      <c r="F28" s="55"/>
      <c r="G28" s="55"/>
      <c r="H28" s="55"/>
      <c r="I28" s="55"/>
      <c r="J28" s="55"/>
      <c r="K28" s="55"/>
      <c r="L28" s="55"/>
      <c r="M28" s="55"/>
      <c r="N28" s="55"/>
      <c r="O28" s="55"/>
      <c r="P28" s="55"/>
      <c r="Q28" s="55"/>
      <c r="R28" s="55"/>
      <c r="S28" s="55"/>
      <c r="T28" s="55"/>
      <c r="U28" s="55"/>
      <c r="V28" s="55"/>
      <c r="W28" s="55"/>
      <c r="X28" s="80" t="s">
        <v>100</v>
      </c>
      <c r="Y28" s="5"/>
      <c r="Z28" s="5"/>
      <c r="AA28" s="5"/>
      <c r="AB28" s="5"/>
      <c r="AC28" s="5"/>
      <c r="AD28" s="5"/>
      <c r="AE28" s="5"/>
      <c r="AF28" s="5"/>
      <c r="AG28" s="5"/>
      <c r="AH28" s="5"/>
      <c r="AI28" s="5"/>
      <c r="AJ28" s="5"/>
      <c r="AK28" s="5"/>
      <c r="AL28" s="5"/>
      <c r="AM28" s="6"/>
      <c r="AN28" s="80" t="s">
        <v>100</v>
      </c>
      <c r="AO28" s="5"/>
      <c r="AP28" s="5"/>
      <c r="AQ28" s="5"/>
      <c r="AR28" s="5"/>
      <c r="AS28" s="5"/>
      <c r="AT28" s="5"/>
      <c r="AU28" s="5"/>
      <c r="AV28" s="5"/>
      <c r="AW28" s="5"/>
      <c r="AX28" s="5"/>
      <c r="AY28" s="5"/>
      <c r="AZ28" s="5"/>
      <c r="BA28" s="5"/>
      <c r="BB28" s="5"/>
      <c r="BC28" s="6"/>
    </row>
    <row r="29" ht="12.75" customHeight="1">
      <c r="A29" s="54"/>
      <c r="B29" s="55"/>
      <c r="C29" s="55"/>
      <c r="D29" s="55"/>
      <c r="E29" s="55"/>
      <c r="F29" s="55"/>
      <c r="G29" s="55"/>
      <c r="H29" s="55"/>
      <c r="I29" s="55"/>
      <c r="J29" s="55"/>
      <c r="K29" s="55"/>
      <c r="L29" s="55"/>
      <c r="M29" s="55"/>
      <c r="N29" s="55"/>
      <c r="O29" s="55"/>
      <c r="P29" s="55"/>
      <c r="Q29" s="55"/>
      <c r="R29" s="55"/>
      <c r="S29" s="55"/>
      <c r="T29" s="55"/>
      <c r="U29" s="55"/>
      <c r="V29" s="55"/>
      <c r="W29" s="55"/>
      <c r="X29" s="94"/>
      <c r="Y29" s="2"/>
      <c r="Z29" s="2"/>
      <c r="AA29" s="2"/>
      <c r="AB29" s="2"/>
      <c r="AC29" s="2"/>
      <c r="AD29" s="2"/>
      <c r="AE29" s="2"/>
      <c r="AF29" s="2"/>
      <c r="AG29" s="2"/>
      <c r="AH29" s="2"/>
      <c r="AI29" s="2"/>
      <c r="AJ29" s="2"/>
      <c r="AK29" s="2"/>
      <c r="AL29" s="2"/>
      <c r="AM29" s="3"/>
      <c r="AN29" s="94"/>
      <c r="AO29" s="2"/>
      <c r="AP29" s="2"/>
      <c r="AQ29" s="2"/>
      <c r="AR29" s="2"/>
      <c r="AS29" s="2"/>
      <c r="AT29" s="2"/>
      <c r="AU29" s="2"/>
      <c r="AV29" s="2"/>
      <c r="AW29" s="2"/>
      <c r="AX29" s="2"/>
      <c r="AY29" s="2"/>
      <c r="AZ29" s="2"/>
      <c r="BA29" s="2"/>
      <c r="BB29" s="2"/>
      <c r="BC29" s="3"/>
    </row>
    <row r="30" ht="12.75" customHeight="1">
      <c r="A30" s="54"/>
      <c r="B30" s="114"/>
      <c r="C30" s="114"/>
      <c r="D30" s="55"/>
      <c r="E30" s="55"/>
      <c r="F30" s="55"/>
      <c r="G30" s="55"/>
      <c r="H30" s="55"/>
      <c r="I30" s="55"/>
      <c r="J30" s="55"/>
      <c r="K30" s="55"/>
      <c r="L30" s="55"/>
      <c r="M30" s="55"/>
      <c r="N30" s="55"/>
      <c r="O30" s="55"/>
      <c r="P30" s="55"/>
      <c r="Q30" s="55"/>
      <c r="R30" s="55"/>
      <c r="S30" s="55"/>
      <c r="T30" s="55"/>
      <c r="U30" s="55"/>
      <c r="V30" s="55"/>
      <c r="W30" s="55"/>
      <c r="X30" s="14"/>
      <c r="Y30" s="15"/>
      <c r="Z30" s="15"/>
      <c r="AA30" s="15"/>
      <c r="AB30" s="15"/>
      <c r="AC30" s="15"/>
      <c r="AD30" s="15"/>
      <c r="AE30" s="15"/>
      <c r="AF30" s="15"/>
      <c r="AG30" s="15"/>
      <c r="AH30" s="15"/>
      <c r="AI30" s="15"/>
      <c r="AJ30" s="15"/>
      <c r="AK30" s="15"/>
      <c r="AL30" s="15"/>
      <c r="AM30" s="16"/>
      <c r="AN30" s="14"/>
      <c r="AO30" s="15"/>
      <c r="AP30" s="15"/>
      <c r="AQ30" s="15"/>
      <c r="AR30" s="15"/>
      <c r="AS30" s="15"/>
      <c r="AT30" s="15"/>
      <c r="AU30" s="15"/>
      <c r="AV30" s="15"/>
      <c r="AW30" s="15"/>
      <c r="AX30" s="15"/>
      <c r="AY30" s="15"/>
      <c r="AZ30" s="15"/>
      <c r="BA30" s="15"/>
      <c r="BB30" s="15"/>
      <c r="BC30" s="16"/>
    </row>
    <row r="31" ht="12.75" customHeight="1">
      <c r="A31" s="54"/>
      <c r="B31" s="114"/>
      <c r="C31" s="114"/>
      <c r="D31" s="55"/>
      <c r="E31" s="55"/>
      <c r="F31" s="55"/>
      <c r="G31" s="55"/>
      <c r="H31" s="55"/>
      <c r="I31" s="55"/>
      <c r="J31" s="55"/>
      <c r="K31" s="55"/>
      <c r="L31" s="55"/>
      <c r="M31" s="55"/>
      <c r="N31" s="55"/>
      <c r="O31" s="55"/>
      <c r="P31" s="55"/>
      <c r="Q31" s="55"/>
      <c r="R31" s="55"/>
      <c r="S31" s="55"/>
      <c r="T31" s="55"/>
      <c r="U31" s="55"/>
      <c r="V31" s="55"/>
      <c r="W31" s="55"/>
      <c r="X31" s="90" t="s">
        <v>101</v>
      </c>
      <c r="Y31" s="5"/>
      <c r="Z31" s="5"/>
      <c r="AA31" s="5"/>
      <c r="AB31" s="5"/>
      <c r="AC31" s="5"/>
      <c r="AD31" s="5"/>
      <c r="AE31" s="5"/>
      <c r="AF31" s="5"/>
      <c r="AG31" s="5"/>
      <c r="AH31" s="5"/>
      <c r="AI31" s="5"/>
      <c r="AJ31" s="5"/>
      <c r="AK31" s="5"/>
      <c r="AL31" s="5"/>
      <c r="AM31" s="6"/>
      <c r="AN31" s="90" t="s">
        <v>101</v>
      </c>
      <c r="AO31" s="5"/>
      <c r="AP31" s="5"/>
      <c r="AQ31" s="5"/>
      <c r="AR31" s="5"/>
      <c r="AS31" s="5"/>
      <c r="AT31" s="5"/>
      <c r="AU31" s="5"/>
      <c r="AV31" s="5"/>
      <c r="AW31" s="5"/>
      <c r="AX31" s="5"/>
      <c r="AY31" s="5"/>
      <c r="AZ31" s="5"/>
      <c r="BA31" s="5"/>
      <c r="BB31" s="5"/>
      <c r="BC31" s="6"/>
    </row>
    <row r="32" ht="12.75" customHeight="1">
      <c r="A32" s="54"/>
      <c r="B32" s="55"/>
      <c r="C32" s="55"/>
      <c r="D32" s="55"/>
      <c r="E32" s="55"/>
      <c r="F32" s="55"/>
      <c r="G32" s="55"/>
      <c r="H32" s="55"/>
      <c r="I32" s="55"/>
      <c r="J32" s="55"/>
      <c r="K32" s="55"/>
      <c r="L32" s="55"/>
      <c r="M32" s="55"/>
      <c r="N32" s="55"/>
      <c r="O32" s="55"/>
      <c r="P32" s="55"/>
      <c r="Q32" s="55"/>
      <c r="R32" s="55"/>
      <c r="S32" s="55"/>
      <c r="T32" s="55"/>
      <c r="U32" s="55"/>
      <c r="V32" s="55"/>
      <c r="W32" s="55"/>
      <c r="X32" s="90" t="s">
        <v>58</v>
      </c>
      <c r="Y32" s="5"/>
      <c r="Z32" s="5"/>
      <c r="AA32" s="5"/>
      <c r="AB32" s="5"/>
      <c r="AC32" s="5"/>
      <c r="AD32" s="5"/>
      <c r="AE32" s="5"/>
      <c r="AF32" s="5"/>
      <c r="AG32" s="5"/>
      <c r="AH32" s="5"/>
      <c r="AI32" s="5"/>
      <c r="AJ32" s="5"/>
      <c r="AK32" s="5"/>
      <c r="AL32" s="5"/>
      <c r="AM32" s="6"/>
      <c r="AN32" s="90" t="s">
        <v>58</v>
      </c>
      <c r="AO32" s="5"/>
      <c r="AP32" s="5"/>
      <c r="AQ32" s="5"/>
      <c r="AR32" s="5"/>
      <c r="AS32" s="5"/>
      <c r="AT32" s="5"/>
      <c r="AU32" s="5"/>
      <c r="AV32" s="5"/>
      <c r="AW32" s="5"/>
      <c r="AX32" s="5"/>
      <c r="AY32" s="5"/>
      <c r="AZ32" s="5"/>
      <c r="BA32" s="5"/>
      <c r="BB32" s="5"/>
      <c r="BC32" s="6"/>
    </row>
    <row r="33" ht="12.75" customHeight="1">
      <c r="A33" s="54"/>
      <c r="B33" s="55"/>
      <c r="C33" s="55"/>
      <c r="D33" s="55"/>
      <c r="E33" s="55"/>
      <c r="F33" s="55"/>
      <c r="G33" s="55"/>
      <c r="H33" s="55"/>
      <c r="I33" s="55"/>
      <c r="J33" s="55"/>
      <c r="K33" s="55"/>
      <c r="L33" s="55"/>
      <c r="M33" s="55"/>
      <c r="N33" s="55"/>
      <c r="O33" s="55"/>
      <c r="P33" s="55"/>
      <c r="Q33" s="55"/>
      <c r="R33" s="55"/>
      <c r="S33" s="55"/>
      <c r="T33" s="55"/>
      <c r="U33" s="55"/>
      <c r="V33" s="55"/>
      <c r="W33" s="55"/>
      <c r="X33" s="90" t="s">
        <v>102</v>
      </c>
      <c r="Y33" s="5"/>
      <c r="Z33" s="5"/>
      <c r="AA33" s="5"/>
      <c r="AB33" s="5"/>
      <c r="AC33" s="5"/>
      <c r="AD33" s="5"/>
      <c r="AE33" s="5"/>
      <c r="AF33" s="5"/>
      <c r="AG33" s="5"/>
      <c r="AH33" s="5"/>
      <c r="AI33" s="5"/>
      <c r="AJ33" s="5"/>
      <c r="AK33" s="5"/>
      <c r="AL33" s="5"/>
      <c r="AM33" s="6"/>
      <c r="AN33" s="90" t="s">
        <v>102</v>
      </c>
      <c r="AO33" s="5"/>
      <c r="AP33" s="5"/>
      <c r="AQ33" s="5"/>
      <c r="AR33" s="5"/>
      <c r="AS33" s="5"/>
      <c r="AT33" s="5"/>
      <c r="AU33" s="5"/>
      <c r="AV33" s="5"/>
      <c r="AW33" s="5"/>
      <c r="AX33" s="5"/>
      <c r="AY33" s="5"/>
      <c r="AZ33" s="5"/>
      <c r="BA33" s="5"/>
      <c r="BB33" s="5"/>
      <c r="BC33" s="6"/>
    </row>
    <row r="34" ht="12.75" customHeight="1">
      <c r="A34" s="61"/>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2"/>
      <c r="AY34" s="62"/>
      <c r="AZ34" s="62"/>
      <c r="BA34" s="62"/>
      <c r="BB34" s="62"/>
      <c r="BC34" s="63"/>
    </row>
    <row r="35" ht="12.75" customHeight="1">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row>
    <row r="36" ht="12.75" customHeight="1">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row>
    <row r="37" ht="12.75" customHeight="1">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row>
    <row r="38" ht="12.75" customHeight="1">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row>
    <row r="39" ht="12.75" customHeight="1">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row>
    <row r="40" ht="12.75" customHeight="1">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row>
    <row r="41" ht="12.75" customHeight="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30"/>
      <c r="BA41" s="30"/>
      <c r="BB41" s="30"/>
      <c r="BC41" s="30"/>
    </row>
    <row r="42" ht="12.75" customHeight="1">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row>
    <row r="43" ht="12.75" customHeight="1">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row>
    <row r="44" ht="12.75" customHeight="1">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row>
    <row r="45" ht="12.75" customHeight="1">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c r="AM45" s="30"/>
      <c r="AN45" s="30"/>
      <c r="AO45" s="30"/>
      <c r="AP45" s="30"/>
      <c r="AQ45" s="30"/>
      <c r="AR45" s="30"/>
      <c r="AS45" s="30"/>
      <c r="AT45" s="30"/>
      <c r="AU45" s="30"/>
      <c r="AV45" s="30"/>
      <c r="AW45" s="30"/>
      <c r="AX45" s="30"/>
      <c r="AY45" s="30"/>
      <c r="AZ45" s="30"/>
      <c r="BA45" s="30"/>
      <c r="BB45" s="30"/>
      <c r="BC45" s="30"/>
    </row>
    <row r="46" ht="12.75" customHeight="1">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AZ46" s="30"/>
      <c r="BA46" s="30"/>
      <c r="BB46" s="30"/>
      <c r="BC46" s="30"/>
    </row>
    <row r="47" ht="12.75" customHeight="1">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row>
    <row r="48" ht="12.75" customHeight="1">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row>
    <row r="49" ht="12.75" customHeight="1">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c r="AM49" s="30"/>
      <c r="AN49" s="30"/>
      <c r="AO49" s="30"/>
      <c r="AP49" s="30"/>
      <c r="AQ49" s="30"/>
      <c r="AR49" s="30"/>
      <c r="AS49" s="30"/>
      <c r="AT49" s="30"/>
      <c r="AU49" s="30"/>
      <c r="AV49" s="30"/>
      <c r="AW49" s="30"/>
      <c r="AX49" s="30"/>
      <c r="AY49" s="30"/>
      <c r="AZ49" s="30"/>
      <c r="BA49" s="30"/>
      <c r="BB49" s="30"/>
      <c r="BC49" s="30"/>
    </row>
    <row r="50" ht="12.75" customHeight="1">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row>
    <row r="51" ht="12.75" customHeight="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c r="AM51" s="30"/>
      <c r="AN51" s="30"/>
      <c r="AO51" s="30"/>
      <c r="AP51" s="30"/>
      <c r="AQ51" s="30"/>
      <c r="AR51" s="30"/>
      <c r="AS51" s="30"/>
      <c r="AT51" s="30"/>
      <c r="AU51" s="30"/>
      <c r="AV51" s="30"/>
      <c r="AW51" s="30"/>
      <c r="AX51" s="30"/>
      <c r="AY51" s="30"/>
      <c r="AZ51" s="30"/>
      <c r="BA51" s="30"/>
      <c r="BB51" s="30"/>
      <c r="BC51" s="30"/>
    </row>
    <row r="52" ht="12.75" customHeight="1">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c r="AM52" s="30"/>
      <c r="AN52" s="30"/>
      <c r="AO52" s="30"/>
      <c r="AP52" s="30"/>
      <c r="AQ52" s="30"/>
      <c r="AR52" s="30"/>
      <c r="AS52" s="30"/>
      <c r="AT52" s="30"/>
      <c r="AU52" s="30"/>
      <c r="AV52" s="30"/>
      <c r="AW52" s="30"/>
      <c r="AX52" s="30"/>
      <c r="AY52" s="30"/>
      <c r="AZ52" s="30"/>
      <c r="BA52" s="30"/>
      <c r="BB52" s="30"/>
      <c r="BC52" s="30"/>
    </row>
    <row r="53" ht="12.75" customHeight="1">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c r="AM53" s="30"/>
      <c r="AN53" s="30"/>
      <c r="AO53" s="30"/>
      <c r="AP53" s="30"/>
      <c r="AQ53" s="30"/>
      <c r="AR53" s="30"/>
      <c r="AS53" s="30"/>
      <c r="AT53" s="30"/>
      <c r="AU53" s="30"/>
      <c r="AV53" s="30"/>
      <c r="AW53" s="30"/>
      <c r="AX53" s="30"/>
      <c r="AY53" s="30"/>
      <c r="AZ53" s="30"/>
      <c r="BA53" s="30"/>
      <c r="BB53" s="30"/>
      <c r="BC53" s="30"/>
    </row>
    <row r="54" ht="12.75" customHeight="1">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c r="AM54" s="30"/>
      <c r="AN54" s="30"/>
      <c r="AO54" s="30"/>
      <c r="AP54" s="30"/>
      <c r="AQ54" s="30"/>
      <c r="AR54" s="30"/>
      <c r="AS54" s="30"/>
      <c r="AT54" s="30"/>
      <c r="AU54" s="30"/>
      <c r="AV54" s="30"/>
      <c r="AW54" s="30"/>
      <c r="AX54" s="30"/>
      <c r="AY54" s="30"/>
      <c r="AZ54" s="30"/>
      <c r="BA54" s="30"/>
      <c r="BB54" s="30"/>
      <c r="BC54" s="30"/>
    </row>
    <row r="55" ht="12.75" customHeight="1">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c r="AW55" s="30"/>
      <c r="AX55" s="30"/>
      <c r="AY55" s="30"/>
      <c r="AZ55" s="30"/>
      <c r="BA55" s="30"/>
      <c r="BB55" s="30"/>
      <c r="BC55" s="30"/>
    </row>
    <row r="56" ht="12.75" customHeight="1">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c r="BC56" s="30"/>
    </row>
    <row r="57" ht="12.7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c r="AE57" s="30"/>
      <c r="AF57" s="30"/>
      <c r="AG57" s="30"/>
      <c r="AH57" s="30"/>
      <c r="AI57" s="30"/>
      <c r="AJ57" s="30"/>
      <c r="AK57" s="30"/>
      <c r="AL57" s="30"/>
      <c r="AM57" s="30"/>
      <c r="AN57" s="30"/>
      <c r="AO57" s="30"/>
      <c r="AP57" s="30"/>
      <c r="AQ57" s="30"/>
      <c r="AR57" s="30"/>
      <c r="AS57" s="30"/>
      <c r="AT57" s="30"/>
      <c r="AU57" s="30"/>
      <c r="AV57" s="30"/>
      <c r="AW57" s="30"/>
      <c r="AX57" s="30"/>
      <c r="AY57" s="30"/>
      <c r="AZ57" s="30"/>
      <c r="BA57" s="30"/>
      <c r="BB57" s="30"/>
      <c r="BC57" s="30"/>
    </row>
    <row r="58" ht="12.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c r="AW58" s="30"/>
      <c r="AX58" s="30"/>
      <c r="AY58" s="30"/>
      <c r="AZ58" s="30"/>
      <c r="BA58" s="30"/>
      <c r="BB58" s="30"/>
      <c r="BC58" s="30"/>
    </row>
    <row r="59" ht="12.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c r="AE59" s="30"/>
      <c r="AF59" s="30"/>
      <c r="AG59" s="30"/>
      <c r="AH59" s="30"/>
      <c r="AI59" s="30"/>
      <c r="AJ59" s="30"/>
      <c r="AK59" s="30"/>
      <c r="AL59" s="30"/>
      <c r="AM59" s="30"/>
      <c r="AN59" s="30"/>
      <c r="AO59" s="30"/>
      <c r="AP59" s="30"/>
      <c r="AQ59" s="30"/>
      <c r="AR59" s="30"/>
      <c r="AS59" s="30"/>
      <c r="AT59" s="30"/>
      <c r="AU59" s="30"/>
      <c r="AV59" s="30"/>
      <c r="AW59" s="30"/>
      <c r="AX59" s="30"/>
      <c r="AY59" s="30"/>
      <c r="AZ59" s="30"/>
      <c r="BA59" s="30"/>
      <c r="BB59" s="30"/>
      <c r="BC59" s="30"/>
    </row>
    <row r="60" ht="12.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row>
    <row r="61" ht="12.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c r="AE61" s="30"/>
      <c r="AF61" s="30"/>
      <c r="AG61" s="30"/>
      <c r="AH61" s="30"/>
      <c r="AI61" s="30"/>
      <c r="AJ61" s="30"/>
      <c r="AK61" s="30"/>
      <c r="AL61" s="30"/>
      <c r="AM61" s="30"/>
      <c r="AN61" s="30"/>
      <c r="AO61" s="30"/>
      <c r="AP61" s="30"/>
      <c r="AQ61" s="30"/>
      <c r="AR61" s="30"/>
      <c r="AS61" s="30"/>
      <c r="AT61" s="30"/>
      <c r="AU61" s="30"/>
      <c r="AV61" s="30"/>
      <c r="AW61" s="30"/>
      <c r="AX61" s="30"/>
      <c r="AY61" s="30"/>
      <c r="AZ61" s="30"/>
      <c r="BA61" s="30"/>
      <c r="BB61" s="30"/>
      <c r="BC61" s="30"/>
    </row>
    <row r="62" ht="12.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c r="AW62" s="30"/>
      <c r="AX62" s="30"/>
      <c r="AY62" s="30"/>
      <c r="AZ62" s="30"/>
      <c r="BA62" s="30"/>
      <c r="BB62" s="30"/>
      <c r="BC62" s="30"/>
    </row>
    <row r="63" ht="12.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c r="AE63" s="30"/>
      <c r="AF63" s="30"/>
      <c r="AG63" s="30"/>
      <c r="AH63" s="30"/>
      <c r="AI63" s="30"/>
      <c r="AJ63" s="30"/>
      <c r="AK63" s="30"/>
      <c r="AL63" s="30"/>
      <c r="AM63" s="30"/>
      <c r="AN63" s="30"/>
      <c r="AO63" s="30"/>
      <c r="AP63" s="30"/>
      <c r="AQ63" s="30"/>
      <c r="AR63" s="30"/>
      <c r="AS63" s="30"/>
      <c r="AT63" s="30"/>
      <c r="AU63" s="30"/>
      <c r="AV63" s="30"/>
      <c r="AW63" s="30"/>
      <c r="AX63" s="30"/>
      <c r="AY63" s="30"/>
      <c r="AZ63" s="30"/>
      <c r="BA63" s="30"/>
      <c r="BB63" s="30"/>
      <c r="BC63" s="30"/>
    </row>
    <row r="64" ht="12.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0"/>
      <c r="AV64" s="30"/>
      <c r="AW64" s="30"/>
      <c r="AX64" s="30"/>
      <c r="AY64" s="30"/>
      <c r="AZ64" s="30"/>
      <c r="BA64" s="30"/>
      <c r="BB64" s="30"/>
      <c r="BC64" s="30"/>
    </row>
    <row r="65" ht="12.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c r="AE65" s="30"/>
      <c r="AF65" s="30"/>
      <c r="AG65" s="30"/>
      <c r="AH65" s="30"/>
      <c r="AI65" s="30"/>
      <c r="AJ65" s="30"/>
      <c r="AK65" s="30"/>
      <c r="AL65" s="30"/>
      <c r="AM65" s="30"/>
      <c r="AN65" s="30"/>
      <c r="AO65" s="30"/>
      <c r="AP65" s="30"/>
      <c r="AQ65" s="30"/>
      <c r="AR65" s="30"/>
      <c r="AS65" s="30"/>
      <c r="AT65" s="30"/>
      <c r="AU65" s="30"/>
      <c r="AV65" s="30"/>
      <c r="AW65" s="30"/>
      <c r="AX65" s="30"/>
      <c r="AY65" s="30"/>
      <c r="AZ65" s="30"/>
      <c r="BA65" s="30"/>
      <c r="BB65" s="30"/>
      <c r="BC65" s="30"/>
    </row>
    <row r="66" ht="12.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c r="AE66" s="30"/>
      <c r="AF66" s="30"/>
      <c r="AG66" s="30"/>
      <c r="AH66" s="30"/>
      <c r="AI66" s="30"/>
      <c r="AJ66" s="30"/>
      <c r="AK66" s="30"/>
      <c r="AL66" s="30"/>
      <c r="AM66" s="30"/>
      <c r="AN66" s="30"/>
      <c r="AO66" s="30"/>
      <c r="AP66" s="30"/>
      <c r="AQ66" s="30"/>
      <c r="AR66" s="30"/>
      <c r="AS66" s="30"/>
      <c r="AT66" s="30"/>
      <c r="AU66" s="30"/>
      <c r="AV66" s="30"/>
      <c r="AW66" s="30"/>
      <c r="AX66" s="30"/>
      <c r="AY66" s="30"/>
      <c r="AZ66" s="30"/>
      <c r="BA66" s="30"/>
      <c r="BB66" s="30"/>
      <c r="BC66" s="30"/>
    </row>
    <row r="67" ht="12.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c r="AE67" s="30"/>
      <c r="AF67" s="30"/>
      <c r="AG67" s="30"/>
      <c r="AH67" s="30"/>
      <c r="AI67" s="30"/>
      <c r="AJ67" s="30"/>
      <c r="AK67" s="30"/>
      <c r="AL67" s="30"/>
      <c r="AM67" s="30"/>
      <c r="AN67" s="30"/>
      <c r="AO67" s="30"/>
      <c r="AP67" s="30"/>
      <c r="AQ67" s="30"/>
      <c r="AR67" s="30"/>
      <c r="AS67" s="30"/>
      <c r="AT67" s="30"/>
      <c r="AU67" s="30"/>
      <c r="AV67" s="30"/>
      <c r="AW67" s="30"/>
      <c r="AX67" s="30"/>
      <c r="AY67" s="30"/>
      <c r="AZ67" s="30"/>
      <c r="BA67" s="30"/>
      <c r="BB67" s="30"/>
      <c r="BC67" s="30"/>
    </row>
    <row r="68" ht="12.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c r="AE68" s="30"/>
      <c r="AF68" s="30"/>
      <c r="AG68" s="30"/>
      <c r="AH68" s="30"/>
      <c r="AI68" s="30"/>
      <c r="AJ68" s="30"/>
      <c r="AK68" s="30"/>
      <c r="AL68" s="30"/>
      <c r="AM68" s="30"/>
      <c r="AN68" s="30"/>
      <c r="AO68" s="30"/>
      <c r="AP68" s="30"/>
      <c r="AQ68" s="30"/>
      <c r="AR68" s="30"/>
      <c r="AS68" s="30"/>
      <c r="AT68" s="30"/>
      <c r="AU68" s="30"/>
      <c r="AV68" s="30"/>
      <c r="AW68" s="30"/>
      <c r="AX68" s="30"/>
      <c r="AY68" s="30"/>
      <c r="AZ68" s="30"/>
      <c r="BA68" s="30"/>
      <c r="BB68" s="30"/>
      <c r="BC68" s="30"/>
    </row>
    <row r="69" ht="12.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c r="AE69" s="30"/>
      <c r="AF69" s="30"/>
      <c r="AG69" s="30"/>
      <c r="AH69" s="30"/>
      <c r="AI69" s="30"/>
      <c r="AJ69" s="30"/>
      <c r="AK69" s="30"/>
      <c r="AL69" s="30"/>
      <c r="AM69" s="30"/>
      <c r="AN69" s="30"/>
      <c r="AO69" s="30"/>
      <c r="AP69" s="30"/>
      <c r="AQ69" s="30"/>
      <c r="AR69" s="30"/>
      <c r="AS69" s="30"/>
      <c r="AT69" s="30"/>
      <c r="AU69" s="30"/>
      <c r="AV69" s="30"/>
      <c r="AW69" s="30"/>
      <c r="AX69" s="30"/>
      <c r="AY69" s="30"/>
      <c r="AZ69" s="30"/>
      <c r="BA69" s="30"/>
      <c r="BB69" s="30"/>
      <c r="BC69" s="30"/>
    </row>
    <row r="70" ht="12.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c r="AE70" s="30"/>
      <c r="AF70" s="30"/>
      <c r="AG70" s="30"/>
      <c r="AH70" s="30"/>
      <c r="AI70" s="30"/>
      <c r="AJ70" s="30"/>
      <c r="AK70" s="30"/>
      <c r="AL70" s="30"/>
      <c r="AM70" s="30"/>
      <c r="AN70" s="30"/>
      <c r="AO70" s="30"/>
      <c r="AP70" s="30"/>
      <c r="AQ70" s="30"/>
      <c r="AR70" s="30"/>
      <c r="AS70" s="30"/>
      <c r="AT70" s="30"/>
      <c r="AU70" s="30"/>
      <c r="AV70" s="30"/>
      <c r="AW70" s="30"/>
      <c r="AX70" s="30"/>
      <c r="AY70" s="30"/>
      <c r="AZ70" s="30"/>
      <c r="BA70" s="30"/>
      <c r="BB70" s="30"/>
      <c r="BC70" s="30"/>
    </row>
    <row r="71" ht="12.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c r="AV71" s="30"/>
      <c r="AW71" s="30"/>
      <c r="AX71" s="30"/>
      <c r="AY71" s="30"/>
      <c r="AZ71" s="30"/>
      <c r="BA71" s="30"/>
      <c r="BB71" s="30"/>
      <c r="BC71" s="30"/>
    </row>
    <row r="72" ht="12.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c r="AE72" s="30"/>
      <c r="AF72" s="30"/>
      <c r="AG72" s="30"/>
      <c r="AH72" s="30"/>
      <c r="AI72" s="30"/>
      <c r="AJ72" s="30"/>
      <c r="AK72" s="30"/>
      <c r="AL72" s="30"/>
      <c r="AM72" s="30"/>
      <c r="AN72" s="30"/>
      <c r="AO72" s="30"/>
      <c r="AP72" s="30"/>
      <c r="AQ72" s="30"/>
      <c r="AR72" s="30"/>
      <c r="AS72" s="30"/>
      <c r="AT72" s="30"/>
      <c r="AU72" s="30"/>
      <c r="AV72" s="30"/>
      <c r="AW72" s="30"/>
      <c r="AX72" s="30"/>
      <c r="AY72" s="30"/>
      <c r="AZ72" s="30"/>
      <c r="BA72" s="30"/>
      <c r="BB72" s="30"/>
      <c r="BC72" s="30"/>
    </row>
    <row r="73" ht="12.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c r="AE73" s="30"/>
      <c r="AF73" s="30"/>
      <c r="AG73" s="30"/>
      <c r="AH73" s="30"/>
      <c r="AI73" s="30"/>
      <c r="AJ73" s="30"/>
      <c r="AK73" s="30"/>
      <c r="AL73" s="30"/>
      <c r="AM73" s="30"/>
      <c r="AN73" s="30"/>
      <c r="AO73" s="30"/>
      <c r="AP73" s="30"/>
      <c r="AQ73" s="30"/>
      <c r="AR73" s="30"/>
      <c r="AS73" s="30"/>
      <c r="AT73" s="30"/>
      <c r="AU73" s="30"/>
      <c r="AV73" s="30"/>
      <c r="AW73" s="30"/>
      <c r="AX73" s="30"/>
      <c r="AY73" s="30"/>
      <c r="AZ73" s="30"/>
      <c r="BA73" s="30"/>
      <c r="BB73" s="30"/>
      <c r="BC73" s="30"/>
    </row>
    <row r="74" ht="12.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c r="AE74" s="30"/>
      <c r="AF74" s="30"/>
      <c r="AG74" s="30"/>
      <c r="AH74" s="30"/>
      <c r="AI74" s="30"/>
      <c r="AJ74" s="30"/>
      <c r="AK74" s="30"/>
      <c r="AL74" s="30"/>
      <c r="AM74" s="30"/>
      <c r="AN74" s="30"/>
      <c r="AO74" s="30"/>
      <c r="AP74" s="30"/>
      <c r="AQ74" s="30"/>
      <c r="AR74" s="30"/>
      <c r="AS74" s="30"/>
      <c r="AT74" s="30"/>
      <c r="AU74" s="30"/>
      <c r="AV74" s="30"/>
      <c r="AW74" s="30"/>
      <c r="AX74" s="30"/>
      <c r="AY74" s="30"/>
      <c r="AZ74" s="30"/>
      <c r="BA74" s="30"/>
      <c r="BB74" s="30"/>
      <c r="BC74" s="30"/>
    </row>
    <row r="75" ht="12.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c r="AE75" s="30"/>
      <c r="AF75" s="30"/>
      <c r="AG75" s="30"/>
      <c r="AH75" s="30"/>
      <c r="AI75" s="30"/>
      <c r="AJ75" s="30"/>
      <c r="AK75" s="30"/>
      <c r="AL75" s="30"/>
      <c r="AM75" s="30"/>
      <c r="AN75" s="30"/>
      <c r="AO75" s="30"/>
      <c r="AP75" s="30"/>
      <c r="AQ75" s="30"/>
      <c r="AR75" s="30"/>
      <c r="AS75" s="30"/>
      <c r="AT75" s="30"/>
      <c r="AU75" s="30"/>
      <c r="AV75" s="30"/>
      <c r="AW75" s="30"/>
      <c r="AX75" s="30"/>
      <c r="AY75" s="30"/>
      <c r="AZ75" s="30"/>
      <c r="BA75" s="30"/>
      <c r="BB75" s="30"/>
      <c r="BC75" s="30"/>
    </row>
    <row r="76" ht="12.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c r="AG76" s="30"/>
      <c r="AH76" s="30"/>
      <c r="AI76" s="30"/>
      <c r="AJ76" s="30"/>
      <c r="AK76" s="30"/>
      <c r="AL76" s="30"/>
      <c r="AM76" s="30"/>
      <c r="AN76" s="30"/>
      <c r="AO76" s="30"/>
      <c r="AP76" s="30"/>
      <c r="AQ76" s="30"/>
      <c r="AR76" s="30"/>
      <c r="AS76" s="30"/>
      <c r="AT76" s="30"/>
      <c r="AU76" s="30"/>
      <c r="AV76" s="30"/>
      <c r="AW76" s="30"/>
      <c r="AX76" s="30"/>
      <c r="AY76" s="30"/>
      <c r="AZ76" s="30"/>
      <c r="BA76" s="30"/>
      <c r="BB76" s="30"/>
      <c r="BC76" s="30"/>
    </row>
    <row r="77" ht="12.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0"/>
      <c r="AW77" s="30"/>
      <c r="AX77" s="30"/>
      <c r="AY77" s="30"/>
      <c r="AZ77" s="30"/>
      <c r="BA77" s="30"/>
      <c r="BB77" s="30"/>
      <c r="BC77" s="30"/>
    </row>
    <row r="78" ht="12.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c r="AG78" s="30"/>
      <c r="AH78" s="30"/>
      <c r="AI78" s="30"/>
      <c r="AJ78" s="30"/>
      <c r="AK78" s="30"/>
      <c r="AL78" s="30"/>
      <c r="AM78" s="30"/>
      <c r="AN78" s="30"/>
      <c r="AO78" s="30"/>
      <c r="AP78" s="30"/>
      <c r="AQ78" s="30"/>
      <c r="AR78" s="30"/>
      <c r="AS78" s="30"/>
      <c r="AT78" s="30"/>
      <c r="AU78" s="30"/>
      <c r="AV78" s="30"/>
      <c r="AW78" s="30"/>
      <c r="AX78" s="30"/>
      <c r="AY78" s="30"/>
      <c r="AZ78" s="30"/>
      <c r="BA78" s="30"/>
      <c r="BB78" s="30"/>
      <c r="BC78" s="30"/>
    </row>
    <row r="79" ht="12.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c r="AG79" s="30"/>
      <c r="AH79" s="30"/>
      <c r="AI79" s="30"/>
      <c r="AJ79" s="30"/>
      <c r="AK79" s="30"/>
      <c r="AL79" s="30"/>
      <c r="AM79" s="30"/>
      <c r="AN79" s="30"/>
      <c r="AO79" s="30"/>
      <c r="AP79" s="30"/>
      <c r="AQ79" s="30"/>
      <c r="AR79" s="30"/>
      <c r="AS79" s="30"/>
      <c r="AT79" s="30"/>
      <c r="AU79" s="30"/>
      <c r="AV79" s="30"/>
      <c r="AW79" s="30"/>
      <c r="AX79" s="30"/>
      <c r="AY79" s="30"/>
      <c r="AZ79" s="30"/>
      <c r="BA79" s="30"/>
      <c r="BB79" s="30"/>
      <c r="BC79" s="30"/>
    </row>
    <row r="80" ht="12.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c r="AH80" s="30"/>
      <c r="AI80" s="30"/>
      <c r="AJ80" s="30"/>
      <c r="AK80" s="30"/>
      <c r="AL80" s="30"/>
      <c r="AM80" s="30"/>
      <c r="AN80" s="30"/>
      <c r="AO80" s="30"/>
      <c r="AP80" s="30"/>
      <c r="AQ80" s="30"/>
      <c r="AR80" s="30"/>
      <c r="AS80" s="30"/>
      <c r="AT80" s="30"/>
      <c r="AU80" s="30"/>
      <c r="AV80" s="30"/>
      <c r="AW80" s="30"/>
      <c r="AX80" s="30"/>
      <c r="AY80" s="30"/>
      <c r="AZ80" s="30"/>
      <c r="BA80" s="30"/>
      <c r="BB80" s="30"/>
      <c r="BC80" s="30"/>
    </row>
    <row r="81" ht="12.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c r="AG81" s="30"/>
      <c r="AH81" s="30"/>
      <c r="AI81" s="30"/>
      <c r="AJ81" s="30"/>
      <c r="AK81" s="30"/>
      <c r="AL81" s="30"/>
      <c r="AM81" s="30"/>
      <c r="AN81" s="30"/>
      <c r="AO81" s="30"/>
      <c r="AP81" s="30"/>
      <c r="AQ81" s="30"/>
      <c r="AR81" s="30"/>
      <c r="AS81" s="30"/>
      <c r="AT81" s="30"/>
      <c r="AU81" s="30"/>
      <c r="AV81" s="30"/>
      <c r="AW81" s="30"/>
      <c r="AX81" s="30"/>
      <c r="AY81" s="30"/>
      <c r="AZ81" s="30"/>
      <c r="BA81" s="30"/>
      <c r="BB81" s="30"/>
      <c r="BC81" s="30"/>
    </row>
    <row r="82" ht="12.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row>
    <row r="83" ht="12.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c r="AW83" s="30"/>
      <c r="AX83" s="30"/>
      <c r="AY83" s="30"/>
      <c r="AZ83" s="30"/>
      <c r="BA83" s="30"/>
      <c r="BB83" s="30"/>
      <c r="BC83" s="30"/>
    </row>
    <row r="84" ht="12.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c r="AW84" s="30"/>
      <c r="AX84" s="30"/>
      <c r="AY84" s="30"/>
      <c r="AZ84" s="30"/>
      <c r="BA84" s="30"/>
      <c r="BB84" s="30"/>
      <c r="BC84" s="30"/>
    </row>
    <row r="85" ht="12.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c r="AW85" s="30"/>
      <c r="AX85" s="30"/>
      <c r="AY85" s="30"/>
      <c r="AZ85" s="30"/>
      <c r="BA85" s="30"/>
      <c r="BB85" s="30"/>
      <c r="BC85" s="30"/>
    </row>
    <row r="86" ht="12.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30"/>
      <c r="AR86" s="30"/>
      <c r="AS86" s="30"/>
      <c r="AT86" s="30"/>
      <c r="AU86" s="30"/>
      <c r="AV86" s="30"/>
      <c r="AW86" s="30"/>
      <c r="AX86" s="30"/>
      <c r="AY86" s="30"/>
      <c r="AZ86" s="30"/>
      <c r="BA86" s="30"/>
      <c r="BB86" s="30"/>
      <c r="BC86" s="30"/>
    </row>
    <row r="87" ht="12.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30"/>
      <c r="AR87" s="30"/>
      <c r="AS87" s="30"/>
      <c r="AT87" s="30"/>
      <c r="AU87" s="30"/>
      <c r="AV87" s="30"/>
      <c r="AW87" s="30"/>
      <c r="AX87" s="30"/>
      <c r="AY87" s="30"/>
      <c r="AZ87" s="30"/>
      <c r="BA87" s="30"/>
      <c r="BB87" s="30"/>
      <c r="BC87" s="30"/>
    </row>
    <row r="88" ht="12.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row>
    <row r="89" ht="12.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30"/>
      <c r="AR89" s="30"/>
      <c r="AS89" s="30"/>
      <c r="AT89" s="30"/>
      <c r="AU89" s="30"/>
      <c r="AV89" s="30"/>
      <c r="AW89" s="30"/>
      <c r="AX89" s="30"/>
      <c r="AY89" s="30"/>
      <c r="AZ89" s="30"/>
      <c r="BA89" s="30"/>
      <c r="BB89" s="30"/>
      <c r="BC89" s="30"/>
    </row>
    <row r="90" ht="12.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30"/>
      <c r="AR90" s="30"/>
      <c r="AS90" s="30"/>
      <c r="AT90" s="30"/>
      <c r="AU90" s="30"/>
      <c r="AV90" s="30"/>
      <c r="AW90" s="30"/>
      <c r="AX90" s="30"/>
      <c r="AY90" s="30"/>
      <c r="AZ90" s="30"/>
      <c r="BA90" s="30"/>
      <c r="BB90" s="30"/>
      <c r="BC90" s="30"/>
    </row>
    <row r="91" ht="12.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30"/>
      <c r="AR91" s="30"/>
      <c r="AS91" s="30"/>
      <c r="AT91" s="30"/>
      <c r="AU91" s="30"/>
      <c r="AV91" s="30"/>
      <c r="AW91" s="30"/>
      <c r="AX91" s="30"/>
      <c r="AY91" s="30"/>
      <c r="AZ91" s="30"/>
      <c r="BA91" s="30"/>
      <c r="BB91" s="30"/>
      <c r="BC91" s="30"/>
    </row>
    <row r="92" ht="12.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30"/>
      <c r="AR92" s="30"/>
      <c r="AS92" s="30"/>
      <c r="AT92" s="30"/>
      <c r="AU92" s="30"/>
      <c r="AV92" s="30"/>
      <c r="AW92" s="30"/>
      <c r="AX92" s="30"/>
      <c r="AY92" s="30"/>
      <c r="AZ92" s="30"/>
      <c r="BA92" s="30"/>
      <c r="BB92" s="30"/>
      <c r="BC92" s="30"/>
    </row>
    <row r="93" ht="12.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30"/>
      <c r="AR93" s="30"/>
      <c r="AS93" s="30"/>
      <c r="AT93" s="30"/>
      <c r="AU93" s="30"/>
      <c r="AV93" s="30"/>
      <c r="AW93" s="30"/>
      <c r="AX93" s="30"/>
      <c r="AY93" s="30"/>
      <c r="AZ93" s="30"/>
      <c r="BA93" s="30"/>
      <c r="BB93" s="30"/>
      <c r="BC93" s="30"/>
    </row>
    <row r="94" ht="12.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30"/>
      <c r="AR94" s="30"/>
      <c r="AS94" s="30"/>
      <c r="AT94" s="30"/>
      <c r="AU94" s="30"/>
      <c r="AV94" s="30"/>
      <c r="AW94" s="30"/>
      <c r="AX94" s="30"/>
      <c r="AY94" s="30"/>
      <c r="AZ94" s="30"/>
      <c r="BA94" s="30"/>
      <c r="BB94" s="30"/>
      <c r="BC94" s="30"/>
    </row>
    <row r="95" ht="12.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30"/>
      <c r="AR95" s="30"/>
      <c r="AS95" s="30"/>
      <c r="AT95" s="30"/>
      <c r="AU95" s="30"/>
      <c r="AV95" s="30"/>
      <c r="AW95" s="30"/>
      <c r="AX95" s="30"/>
      <c r="AY95" s="30"/>
      <c r="AZ95" s="30"/>
      <c r="BA95" s="30"/>
      <c r="BB95" s="30"/>
      <c r="BC95" s="30"/>
    </row>
    <row r="96" ht="12.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30"/>
      <c r="AR96" s="30"/>
      <c r="AS96" s="30"/>
      <c r="AT96" s="30"/>
      <c r="AU96" s="30"/>
      <c r="AV96" s="30"/>
      <c r="AW96" s="30"/>
      <c r="AX96" s="30"/>
      <c r="AY96" s="30"/>
      <c r="AZ96" s="30"/>
      <c r="BA96" s="30"/>
      <c r="BB96" s="30"/>
      <c r="BC96" s="30"/>
    </row>
    <row r="97" ht="12.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30"/>
      <c r="AR97" s="30"/>
      <c r="AS97" s="30"/>
      <c r="AT97" s="30"/>
      <c r="AU97" s="30"/>
      <c r="AV97" s="30"/>
      <c r="AW97" s="30"/>
      <c r="AX97" s="30"/>
      <c r="AY97" s="30"/>
      <c r="AZ97" s="30"/>
      <c r="BA97" s="30"/>
      <c r="BB97" s="30"/>
      <c r="BC97" s="30"/>
    </row>
    <row r="98" ht="12.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c r="BC98" s="30"/>
    </row>
    <row r="99" ht="12.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30"/>
      <c r="AR99" s="30"/>
      <c r="AS99" s="30"/>
      <c r="AT99" s="30"/>
      <c r="AU99" s="30"/>
      <c r="AV99" s="30"/>
      <c r="AW99" s="30"/>
      <c r="AX99" s="30"/>
      <c r="AY99" s="30"/>
      <c r="AZ99" s="30"/>
      <c r="BA99" s="30"/>
      <c r="BB99" s="30"/>
      <c r="BC99" s="30"/>
    </row>
    <row r="100" ht="12.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30"/>
      <c r="AR100" s="30"/>
      <c r="AS100" s="30"/>
      <c r="AT100" s="30"/>
      <c r="AU100" s="30"/>
      <c r="AV100" s="30"/>
      <c r="AW100" s="30"/>
      <c r="AX100" s="30"/>
      <c r="AY100" s="30"/>
      <c r="AZ100" s="30"/>
      <c r="BA100" s="30"/>
      <c r="BB100" s="30"/>
      <c r="BC100" s="30"/>
    </row>
    <row r="101" ht="12.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30"/>
      <c r="AR101" s="30"/>
      <c r="AS101" s="30"/>
      <c r="AT101" s="30"/>
      <c r="AU101" s="30"/>
      <c r="AV101" s="30"/>
      <c r="AW101" s="30"/>
      <c r="AX101" s="30"/>
      <c r="AY101" s="30"/>
      <c r="AZ101" s="30"/>
      <c r="BA101" s="30"/>
      <c r="BB101" s="30"/>
      <c r="BC101" s="30"/>
    </row>
    <row r="102" ht="12.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30"/>
      <c r="AR102" s="30"/>
      <c r="AS102" s="30"/>
      <c r="AT102" s="30"/>
      <c r="AU102" s="30"/>
      <c r="AV102" s="30"/>
      <c r="AW102" s="30"/>
      <c r="AX102" s="30"/>
      <c r="AY102" s="30"/>
      <c r="AZ102" s="30"/>
      <c r="BA102" s="30"/>
      <c r="BB102" s="30"/>
      <c r="BC102" s="30"/>
    </row>
    <row r="103" ht="12.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30"/>
      <c r="AR103" s="30"/>
      <c r="AS103" s="30"/>
      <c r="AT103" s="30"/>
      <c r="AU103" s="30"/>
      <c r="AV103" s="30"/>
      <c r="AW103" s="30"/>
      <c r="AX103" s="30"/>
      <c r="AY103" s="30"/>
      <c r="AZ103" s="30"/>
      <c r="BA103" s="30"/>
      <c r="BB103" s="30"/>
      <c r="BC103" s="30"/>
    </row>
    <row r="104" ht="12.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30"/>
      <c r="AR104" s="30"/>
      <c r="AS104" s="30"/>
      <c r="AT104" s="30"/>
      <c r="AU104" s="30"/>
      <c r="AV104" s="30"/>
      <c r="AW104" s="30"/>
      <c r="AX104" s="30"/>
      <c r="AY104" s="30"/>
      <c r="AZ104" s="30"/>
      <c r="BA104" s="30"/>
      <c r="BB104" s="30"/>
      <c r="BC104" s="30"/>
    </row>
    <row r="105" ht="12.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30"/>
      <c r="AR105" s="30"/>
      <c r="AS105" s="30"/>
      <c r="AT105" s="30"/>
      <c r="AU105" s="30"/>
      <c r="AV105" s="30"/>
      <c r="AW105" s="30"/>
      <c r="AX105" s="30"/>
      <c r="AY105" s="30"/>
      <c r="AZ105" s="30"/>
      <c r="BA105" s="30"/>
      <c r="BB105" s="30"/>
      <c r="BC105" s="30"/>
    </row>
    <row r="106" ht="12.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30"/>
      <c r="AR106" s="30"/>
      <c r="AS106" s="30"/>
      <c r="AT106" s="30"/>
      <c r="AU106" s="30"/>
      <c r="AV106" s="30"/>
      <c r="AW106" s="30"/>
      <c r="AX106" s="30"/>
      <c r="AY106" s="30"/>
      <c r="AZ106" s="30"/>
      <c r="BA106" s="30"/>
      <c r="BB106" s="30"/>
      <c r="BC106" s="30"/>
    </row>
    <row r="107" ht="12.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30"/>
      <c r="AR107" s="30"/>
      <c r="AS107" s="30"/>
      <c r="AT107" s="30"/>
      <c r="AU107" s="30"/>
      <c r="AV107" s="30"/>
      <c r="AW107" s="30"/>
      <c r="AX107" s="30"/>
      <c r="AY107" s="30"/>
      <c r="AZ107" s="30"/>
      <c r="BA107" s="30"/>
      <c r="BB107" s="30"/>
      <c r="BC107" s="30"/>
    </row>
    <row r="108" ht="12.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30"/>
      <c r="AR108" s="30"/>
      <c r="AS108" s="30"/>
      <c r="AT108" s="30"/>
      <c r="AU108" s="30"/>
      <c r="AV108" s="30"/>
      <c r="AW108" s="30"/>
      <c r="AX108" s="30"/>
      <c r="AY108" s="30"/>
      <c r="AZ108" s="30"/>
      <c r="BA108" s="30"/>
      <c r="BB108" s="30"/>
      <c r="BC108" s="30"/>
    </row>
    <row r="109" ht="12.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30"/>
      <c r="AR109" s="30"/>
      <c r="AS109" s="30"/>
      <c r="AT109" s="30"/>
      <c r="AU109" s="30"/>
      <c r="AV109" s="30"/>
      <c r="AW109" s="30"/>
      <c r="AX109" s="30"/>
      <c r="AY109" s="30"/>
      <c r="AZ109" s="30"/>
      <c r="BA109" s="30"/>
      <c r="BB109" s="30"/>
      <c r="BC109" s="30"/>
    </row>
    <row r="110" ht="12.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30"/>
      <c r="AR110" s="30"/>
      <c r="AS110" s="30"/>
      <c r="AT110" s="30"/>
      <c r="AU110" s="30"/>
      <c r="AV110" s="30"/>
      <c r="AW110" s="30"/>
      <c r="AX110" s="30"/>
      <c r="AY110" s="30"/>
      <c r="AZ110" s="30"/>
      <c r="BA110" s="30"/>
      <c r="BB110" s="30"/>
      <c r="BC110" s="30"/>
    </row>
    <row r="111" ht="12.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30"/>
      <c r="AR111" s="30"/>
      <c r="AS111" s="30"/>
      <c r="AT111" s="30"/>
      <c r="AU111" s="30"/>
      <c r="AV111" s="30"/>
      <c r="AW111" s="30"/>
      <c r="AX111" s="30"/>
      <c r="AY111" s="30"/>
      <c r="AZ111" s="30"/>
      <c r="BA111" s="30"/>
      <c r="BB111" s="30"/>
      <c r="BC111" s="30"/>
    </row>
    <row r="112" ht="12.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30"/>
      <c r="AR112" s="30"/>
      <c r="AS112" s="30"/>
      <c r="AT112" s="30"/>
      <c r="AU112" s="30"/>
      <c r="AV112" s="30"/>
      <c r="AW112" s="30"/>
      <c r="AX112" s="30"/>
      <c r="AY112" s="30"/>
      <c r="AZ112" s="30"/>
      <c r="BA112" s="30"/>
      <c r="BB112" s="30"/>
      <c r="BC112" s="30"/>
    </row>
    <row r="113" ht="12.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30"/>
      <c r="AR113" s="30"/>
      <c r="AS113" s="30"/>
      <c r="AT113" s="30"/>
      <c r="AU113" s="30"/>
      <c r="AV113" s="30"/>
      <c r="AW113" s="30"/>
      <c r="AX113" s="30"/>
      <c r="AY113" s="30"/>
      <c r="AZ113" s="30"/>
      <c r="BA113" s="30"/>
      <c r="BB113" s="30"/>
      <c r="BC113" s="30"/>
    </row>
    <row r="114" ht="12.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row>
    <row r="115" ht="12.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30"/>
      <c r="AR115" s="30"/>
      <c r="AS115" s="30"/>
      <c r="AT115" s="30"/>
      <c r="AU115" s="30"/>
      <c r="AV115" s="30"/>
      <c r="AW115" s="30"/>
      <c r="AX115" s="30"/>
      <c r="AY115" s="30"/>
      <c r="AZ115" s="30"/>
      <c r="BA115" s="30"/>
      <c r="BB115" s="30"/>
      <c r="BC115" s="30"/>
    </row>
    <row r="116" ht="12.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30"/>
      <c r="AR116" s="30"/>
      <c r="AS116" s="30"/>
      <c r="AT116" s="30"/>
      <c r="AU116" s="30"/>
      <c r="AV116" s="30"/>
      <c r="AW116" s="30"/>
      <c r="AX116" s="30"/>
      <c r="AY116" s="30"/>
      <c r="AZ116" s="30"/>
      <c r="BA116" s="30"/>
      <c r="BB116" s="30"/>
      <c r="BC116" s="30"/>
    </row>
    <row r="117" ht="12.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30"/>
      <c r="AR117" s="30"/>
      <c r="AS117" s="30"/>
      <c r="AT117" s="30"/>
      <c r="AU117" s="30"/>
      <c r="AV117" s="30"/>
      <c r="AW117" s="30"/>
      <c r="AX117" s="30"/>
      <c r="AY117" s="30"/>
      <c r="AZ117" s="30"/>
      <c r="BA117" s="30"/>
      <c r="BB117" s="30"/>
      <c r="BC117" s="30"/>
    </row>
    <row r="118" ht="12.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30"/>
      <c r="AR118" s="30"/>
      <c r="AS118" s="30"/>
      <c r="AT118" s="30"/>
      <c r="AU118" s="30"/>
      <c r="AV118" s="30"/>
      <c r="AW118" s="30"/>
      <c r="AX118" s="30"/>
      <c r="AY118" s="30"/>
      <c r="AZ118" s="30"/>
      <c r="BA118" s="30"/>
      <c r="BB118" s="30"/>
      <c r="BC118" s="30"/>
    </row>
    <row r="119" ht="12.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c r="AW119" s="30"/>
      <c r="AX119" s="30"/>
      <c r="AY119" s="30"/>
      <c r="AZ119" s="30"/>
      <c r="BA119" s="30"/>
      <c r="BB119" s="30"/>
      <c r="BC119" s="30"/>
    </row>
    <row r="120" ht="12.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30"/>
      <c r="AR120" s="30"/>
      <c r="AS120" s="30"/>
      <c r="AT120" s="30"/>
      <c r="AU120" s="30"/>
      <c r="AV120" s="30"/>
      <c r="AW120" s="30"/>
      <c r="AX120" s="30"/>
      <c r="AY120" s="30"/>
      <c r="AZ120" s="30"/>
      <c r="BA120" s="30"/>
      <c r="BB120" s="30"/>
      <c r="BC120" s="30"/>
    </row>
    <row r="121" ht="12.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30"/>
      <c r="AR121" s="30"/>
      <c r="AS121" s="30"/>
      <c r="AT121" s="30"/>
      <c r="AU121" s="30"/>
      <c r="AV121" s="30"/>
      <c r="AW121" s="30"/>
      <c r="AX121" s="30"/>
      <c r="AY121" s="30"/>
      <c r="AZ121" s="30"/>
      <c r="BA121" s="30"/>
      <c r="BB121" s="30"/>
      <c r="BC121" s="30"/>
    </row>
    <row r="122" ht="12.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30"/>
      <c r="AR122" s="30"/>
      <c r="AS122" s="30"/>
      <c r="AT122" s="30"/>
      <c r="AU122" s="30"/>
      <c r="AV122" s="30"/>
      <c r="AW122" s="30"/>
      <c r="AX122" s="30"/>
      <c r="AY122" s="30"/>
      <c r="AZ122" s="30"/>
      <c r="BA122" s="30"/>
      <c r="BB122" s="30"/>
      <c r="BC122" s="30"/>
    </row>
    <row r="123" ht="12.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30"/>
      <c r="AR123" s="30"/>
      <c r="AS123" s="30"/>
      <c r="AT123" s="30"/>
      <c r="AU123" s="30"/>
      <c r="AV123" s="30"/>
      <c r="AW123" s="30"/>
      <c r="AX123" s="30"/>
      <c r="AY123" s="30"/>
      <c r="AZ123" s="30"/>
      <c r="BA123" s="30"/>
      <c r="BB123" s="30"/>
      <c r="BC123" s="30"/>
    </row>
    <row r="124" ht="12.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row>
    <row r="125" ht="12.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30"/>
      <c r="AR125" s="30"/>
      <c r="AS125" s="30"/>
      <c r="AT125" s="30"/>
      <c r="AU125" s="30"/>
      <c r="AV125" s="30"/>
      <c r="AW125" s="30"/>
      <c r="AX125" s="30"/>
      <c r="AY125" s="30"/>
      <c r="AZ125" s="30"/>
      <c r="BA125" s="30"/>
      <c r="BB125" s="30"/>
      <c r="BC125" s="30"/>
    </row>
    <row r="126" ht="12.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30"/>
      <c r="AR126" s="30"/>
      <c r="AS126" s="30"/>
      <c r="AT126" s="30"/>
      <c r="AU126" s="30"/>
      <c r="AV126" s="30"/>
      <c r="AW126" s="30"/>
      <c r="AX126" s="30"/>
      <c r="AY126" s="30"/>
      <c r="AZ126" s="30"/>
      <c r="BA126" s="30"/>
      <c r="BB126" s="30"/>
      <c r="BC126" s="30"/>
    </row>
    <row r="127" ht="12.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30"/>
      <c r="AR127" s="30"/>
      <c r="AS127" s="30"/>
      <c r="AT127" s="30"/>
      <c r="AU127" s="30"/>
      <c r="AV127" s="30"/>
      <c r="AW127" s="30"/>
      <c r="AX127" s="30"/>
      <c r="AY127" s="30"/>
      <c r="AZ127" s="30"/>
      <c r="BA127" s="30"/>
      <c r="BB127" s="30"/>
      <c r="BC127" s="30"/>
    </row>
    <row r="128" ht="12.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30"/>
      <c r="AR128" s="30"/>
      <c r="AS128" s="30"/>
      <c r="AT128" s="30"/>
      <c r="AU128" s="30"/>
      <c r="AV128" s="30"/>
      <c r="AW128" s="30"/>
      <c r="AX128" s="30"/>
      <c r="AY128" s="30"/>
      <c r="AZ128" s="30"/>
      <c r="BA128" s="30"/>
      <c r="BB128" s="30"/>
      <c r="BC128" s="30"/>
    </row>
    <row r="129" ht="12.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30"/>
      <c r="AR129" s="30"/>
      <c r="AS129" s="30"/>
      <c r="AT129" s="30"/>
      <c r="AU129" s="30"/>
      <c r="AV129" s="30"/>
      <c r="AW129" s="30"/>
      <c r="AX129" s="30"/>
      <c r="AY129" s="30"/>
      <c r="AZ129" s="30"/>
      <c r="BA129" s="30"/>
      <c r="BB129" s="30"/>
      <c r="BC129" s="30"/>
    </row>
    <row r="130" ht="12.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30"/>
      <c r="AR130" s="30"/>
      <c r="AS130" s="30"/>
      <c r="AT130" s="30"/>
      <c r="AU130" s="30"/>
      <c r="AV130" s="30"/>
      <c r="AW130" s="30"/>
      <c r="AX130" s="30"/>
      <c r="AY130" s="30"/>
      <c r="AZ130" s="30"/>
      <c r="BA130" s="30"/>
      <c r="BB130" s="30"/>
      <c r="BC130" s="30"/>
    </row>
    <row r="131" ht="12.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30"/>
      <c r="AR131" s="30"/>
      <c r="AS131" s="30"/>
      <c r="AT131" s="30"/>
      <c r="AU131" s="30"/>
      <c r="AV131" s="30"/>
      <c r="AW131" s="30"/>
      <c r="AX131" s="30"/>
      <c r="AY131" s="30"/>
      <c r="AZ131" s="30"/>
      <c r="BA131" s="30"/>
      <c r="BB131" s="30"/>
      <c r="BC131" s="30"/>
    </row>
    <row r="132" ht="12.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30"/>
      <c r="AR132" s="30"/>
      <c r="AS132" s="30"/>
      <c r="AT132" s="30"/>
      <c r="AU132" s="30"/>
      <c r="AV132" s="30"/>
      <c r="AW132" s="30"/>
      <c r="AX132" s="30"/>
      <c r="AY132" s="30"/>
      <c r="AZ132" s="30"/>
      <c r="BA132" s="30"/>
      <c r="BB132" s="30"/>
      <c r="BC132" s="30"/>
    </row>
    <row r="133" ht="12.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30"/>
      <c r="AR133" s="30"/>
      <c r="AS133" s="30"/>
      <c r="AT133" s="30"/>
      <c r="AU133" s="30"/>
      <c r="AV133" s="30"/>
      <c r="AW133" s="30"/>
      <c r="AX133" s="30"/>
      <c r="AY133" s="30"/>
      <c r="AZ133" s="30"/>
      <c r="BA133" s="30"/>
      <c r="BB133" s="30"/>
      <c r="BC133" s="30"/>
    </row>
    <row r="134" ht="12.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30"/>
      <c r="AR134" s="30"/>
      <c r="AS134" s="30"/>
      <c r="AT134" s="30"/>
      <c r="AU134" s="30"/>
      <c r="AV134" s="30"/>
      <c r="AW134" s="30"/>
      <c r="AX134" s="30"/>
      <c r="AY134" s="30"/>
      <c r="AZ134" s="30"/>
      <c r="BA134" s="30"/>
      <c r="BB134" s="30"/>
      <c r="BC134" s="30"/>
    </row>
    <row r="135" ht="12.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30"/>
      <c r="AR135" s="30"/>
      <c r="AS135" s="30"/>
      <c r="AT135" s="30"/>
      <c r="AU135" s="30"/>
      <c r="AV135" s="30"/>
      <c r="AW135" s="30"/>
      <c r="AX135" s="30"/>
      <c r="AY135" s="30"/>
      <c r="AZ135" s="30"/>
      <c r="BA135" s="30"/>
      <c r="BB135" s="30"/>
      <c r="BC135" s="30"/>
    </row>
    <row r="136" ht="12.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30"/>
      <c r="AR136" s="30"/>
      <c r="AS136" s="30"/>
      <c r="AT136" s="30"/>
      <c r="AU136" s="30"/>
      <c r="AV136" s="30"/>
      <c r="AW136" s="30"/>
      <c r="AX136" s="30"/>
      <c r="AY136" s="30"/>
      <c r="AZ136" s="30"/>
      <c r="BA136" s="30"/>
      <c r="BB136" s="30"/>
      <c r="BC136" s="30"/>
    </row>
    <row r="137" ht="12.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30"/>
      <c r="AR137" s="30"/>
      <c r="AS137" s="30"/>
      <c r="AT137" s="30"/>
      <c r="AU137" s="30"/>
      <c r="AV137" s="30"/>
      <c r="AW137" s="30"/>
      <c r="AX137" s="30"/>
      <c r="AY137" s="30"/>
      <c r="AZ137" s="30"/>
      <c r="BA137" s="30"/>
      <c r="BB137" s="30"/>
      <c r="BC137" s="30"/>
    </row>
    <row r="138" ht="12.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30"/>
      <c r="AR138" s="30"/>
      <c r="AS138" s="30"/>
      <c r="AT138" s="30"/>
      <c r="AU138" s="30"/>
      <c r="AV138" s="30"/>
      <c r="AW138" s="30"/>
      <c r="AX138" s="30"/>
      <c r="AY138" s="30"/>
      <c r="AZ138" s="30"/>
      <c r="BA138" s="30"/>
      <c r="BB138" s="30"/>
      <c r="BC138" s="30"/>
    </row>
    <row r="139" ht="12.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30"/>
      <c r="AR139" s="30"/>
      <c r="AS139" s="30"/>
      <c r="AT139" s="30"/>
      <c r="AU139" s="30"/>
      <c r="AV139" s="30"/>
      <c r="AW139" s="30"/>
      <c r="AX139" s="30"/>
      <c r="AY139" s="30"/>
      <c r="AZ139" s="30"/>
      <c r="BA139" s="30"/>
      <c r="BB139" s="30"/>
      <c r="BC139" s="30"/>
    </row>
    <row r="140" ht="12.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30"/>
      <c r="AR140" s="30"/>
      <c r="AS140" s="30"/>
      <c r="AT140" s="30"/>
      <c r="AU140" s="30"/>
      <c r="AV140" s="30"/>
      <c r="AW140" s="30"/>
      <c r="AX140" s="30"/>
      <c r="AY140" s="30"/>
      <c r="AZ140" s="30"/>
      <c r="BA140" s="30"/>
      <c r="BB140" s="30"/>
      <c r="BC140" s="30"/>
    </row>
    <row r="141" ht="12.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30"/>
      <c r="AR141" s="30"/>
      <c r="AS141" s="30"/>
      <c r="AT141" s="30"/>
      <c r="AU141" s="30"/>
      <c r="AV141" s="30"/>
      <c r="AW141" s="30"/>
      <c r="AX141" s="30"/>
      <c r="AY141" s="30"/>
      <c r="AZ141" s="30"/>
      <c r="BA141" s="30"/>
      <c r="BB141" s="30"/>
      <c r="BC141" s="30"/>
    </row>
    <row r="142" ht="12.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30"/>
      <c r="AR142" s="30"/>
      <c r="AS142" s="30"/>
      <c r="AT142" s="30"/>
      <c r="AU142" s="30"/>
      <c r="AV142" s="30"/>
      <c r="AW142" s="30"/>
      <c r="AX142" s="30"/>
      <c r="AY142" s="30"/>
      <c r="AZ142" s="30"/>
      <c r="BA142" s="30"/>
      <c r="BB142" s="30"/>
      <c r="BC142" s="30"/>
    </row>
    <row r="143" ht="12.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30"/>
      <c r="AR143" s="30"/>
      <c r="AS143" s="30"/>
      <c r="AT143" s="30"/>
      <c r="AU143" s="30"/>
      <c r="AV143" s="30"/>
      <c r="AW143" s="30"/>
      <c r="AX143" s="30"/>
      <c r="AY143" s="30"/>
      <c r="AZ143" s="30"/>
      <c r="BA143" s="30"/>
      <c r="BB143" s="30"/>
      <c r="BC143" s="30"/>
    </row>
    <row r="144" ht="12.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30"/>
      <c r="AR144" s="30"/>
      <c r="AS144" s="30"/>
      <c r="AT144" s="30"/>
      <c r="AU144" s="30"/>
      <c r="AV144" s="30"/>
      <c r="AW144" s="30"/>
      <c r="AX144" s="30"/>
      <c r="AY144" s="30"/>
      <c r="AZ144" s="30"/>
      <c r="BA144" s="30"/>
      <c r="BB144" s="30"/>
      <c r="BC144" s="30"/>
    </row>
    <row r="145" ht="12.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30"/>
      <c r="AR145" s="30"/>
      <c r="AS145" s="30"/>
      <c r="AT145" s="30"/>
      <c r="AU145" s="30"/>
      <c r="AV145" s="30"/>
      <c r="AW145" s="30"/>
      <c r="AX145" s="30"/>
      <c r="AY145" s="30"/>
      <c r="AZ145" s="30"/>
      <c r="BA145" s="30"/>
      <c r="BB145" s="30"/>
      <c r="BC145" s="30"/>
    </row>
    <row r="146" ht="12.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30"/>
      <c r="AR146" s="30"/>
      <c r="AS146" s="30"/>
      <c r="AT146" s="30"/>
      <c r="AU146" s="30"/>
      <c r="AV146" s="30"/>
      <c r="AW146" s="30"/>
      <c r="AX146" s="30"/>
      <c r="AY146" s="30"/>
      <c r="AZ146" s="30"/>
      <c r="BA146" s="30"/>
      <c r="BB146" s="30"/>
      <c r="BC146" s="30"/>
    </row>
    <row r="147" ht="12.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30"/>
      <c r="AR147" s="30"/>
      <c r="AS147" s="30"/>
      <c r="AT147" s="30"/>
      <c r="AU147" s="30"/>
      <c r="AV147" s="30"/>
      <c r="AW147" s="30"/>
      <c r="AX147" s="30"/>
      <c r="AY147" s="30"/>
      <c r="AZ147" s="30"/>
      <c r="BA147" s="30"/>
      <c r="BB147" s="30"/>
      <c r="BC147" s="30"/>
    </row>
    <row r="148" ht="12.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30"/>
      <c r="AR148" s="30"/>
      <c r="AS148" s="30"/>
      <c r="AT148" s="30"/>
      <c r="AU148" s="30"/>
      <c r="AV148" s="30"/>
      <c r="AW148" s="30"/>
      <c r="AX148" s="30"/>
      <c r="AY148" s="30"/>
      <c r="AZ148" s="30"/>
      <c r="BA148" s="30"/>
      <c r="BB148" s="30"/>
      <c r="BC148" s="30"/>
    </row>
    <row r="149" ht="12.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30"/>
      <c r="AR149" s="30"/>
      <c r="AS149" s="30"/>
      <c r="AT149" s="30"/>
      <c r="AU149" s="30"/>
      <c r="AV149" s="30"/>
      <c r="AW149" s="30"/>
      <c r="AX149" s="30"/>
      <c r="AY149" s="30"/>
      <c r="AZ149" s="30"/>
      <c r="BA149" s="30"/>
      <c r="BB149" s="30"/>
      <c r="BC149" s="30"/>
    </row>
    <row r="150" ht="12.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30"/>
      <c r="AR150" s="30"/>
      <c r="AS150" s="30"/>
      <c r="AT150" s="30"/>
      <c r="AU150" s="30"/>
      <c r="AV150" s="30"/>
      <c r="AW150" s="30"/>
      <c r="AX150" s="30"/>
      <c r="AY150" s="30"/>
      <c r="AZ150" s="30"/>
      <c r="BA150" s="30"/>
      <c r="BB150" s="30"/>
      <c r="BC150" s="30"/>
    </row>
    <row r="151" ht="12.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30"/>
      <c r="AR151" s="30"/>
      <c r="AS151" s="30"/>
      <c r="AT151" s="30"/>
      <c r="AU151" s="30"/>
      <c r="AV151" s="30"/>
      <c r="AW151" s="30"/>
      <c r="AX151" s="30"/>
      <c r="AY151" s="30"/>
      <c r="AZ151" s="30"/>
      <c r="BA151" s="30"/>
      <c r="BB151" s="30"/>
      <c r="BC151" s="30"/>
    </row>
    <row r="152" ht="12.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30"/>
      <c r="AR152" s="30"/>
      <c r="AS152" s="30"/>
      <c r="AT152" s="30"/>
      <c r="AU152" s="30"/>
      <c r="AV152" s="30"/>
      <c r="AW152" s="30"/>
      <c r="AX152" s="30"/>
      <c r="AY152" s="30"/>
      <c r="AZ152" s="30"/>
      <c r="BA152" s="30"/>
      <c r="BB152" s="30"/>
      <c r="BC152" s="30"/>
    </row>
    <row r="153" ht="12.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30"/>
      <c r="AR153" s="30"/>
      <c r="AS153" s="30"/>
      <c r="AT153" s="30"/>
      <c r="AU153" s="30"/>
      <c r="AV153" s="30"/>
      <c r="AW153" s="30"/>
      <c r="AX153" s="30"/>
      <c r="AY153" s="30"/>
      <c r="AZ153" s="30"/>
      <c r="BA153" s="30"/>
      <c r="BB153" s="30"/>
      <c r="BC153" s="30"/>
    </row>
    <row r="154" ht="12.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30"/>
      <c r="AR154" s="30"/>
      <c r="AS154" s="30"/>
      <c r="AT154" s="30"/>
      <c r="AU154" s="30"/>
      <c r="AV154" s="30"/>
      <c r="AW154" s="30"/>
      <c r="AX154" s="30"/>
      <c r="AY154" s="30"/>
      <c r="AZ154" s="30"/>
      <c r="BA154" s="30"/>
      <c r="BB154" s="30"/>
      <c r="BC154" s="30"/>
    </row>
    <row r="155" ht="12.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30"/>
      <c r="AR155" s="30"/>
      <c r="AS155" s="30"/>
      <c r="AT155" s="30"/>
      <c r="AU155" s="30"/>
      <c r="AV155" s="30"/>
      <c r="AW155" s="30"/>
      <c r="AX155" s="30"/>
      <c r="AY155" s="30"/>
      <c r="AZ155" s="30"/>
      <c r="BA155" s="30"/>
      <c r="BB155" s="30"/>
      <c r="BC155" s="30"/>
    </row>
    <row r="156" ht="12.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30"/>
      <c r="AR156" s="30"/>
      <c r="AS156" s="30"/>
      <c r="AT156" s="30"/>
      <c r="AU156" s="30"/>
      <c r="AV156" s="30"/>
      <c r="AW156" s="30"/>
      <c r="AX156" s="30"/>
      <c r="AY156" s="30"/>
      <c r="AZ156" s="30"/>
      <c r="BA156" s="30"/>
      <c r="BB156" s="30"/>
      <c r="BC156" s="30"/>
    </row>
    <row r="157" ht="12.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30"/>
      <c r="AR157" s="30"/>
      <c r="AS157" s="30"/>
      <c r="AT157" s="30"/>
      <c r="AU157" s="30"/>
      <c r="AV157" s="30"/>
      <c r="AW157" s="30"/>
      <c r="AX157" s="30"/>
      <c r="AY157" s="30"/>
      <c r="AZ157" s="30"/>
      <c r="BA157" s="30"/>
      <c r="BB157" s="30"/>
      <c r="BC157" s="30"/>
    </row>
    <row r="158" ht="12.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c r="BC158" s="30"/>
    </row>
    <row r="159" ht="12.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30"/>
      <c r="AR159" s="30"/>
      <c r="AS159" s="30"/>
      <c r="AT159" s="30"/>
      <c r="AU159" s="30"/>
      <c r="AV159" s="30"/>
      <c r="AW159" s="30"/>
      <c r="AX159" s="30"/>
      <c r="AY159" s="30"/>
      <c r="AZ159" s="30"/>
      <c r="BA159" s="30"/>
      <c r="BB159" s="30"/>
      <c r="BC159" s="30"/>
    </row>
    <row r="160" ht="12.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30"/>
      <c r="AR160" s="30"/>
      <c r="AS160" s="30"/>
      <c r="AT160" s="30"/>
      <c r="AU160" s="30"/>
      <c r="AV160" s="30"/>
      <c r="AW160" s="30"/>
      <c r="AX160" s="30"/>
      <c r="AY160" s="30"/>
      <c r="AZ160" s="30"/>
      <c r="BA160" s="30"/>
      <c r="BB160" s="30"/>
      <c r="BC160" s="30"/>
    </row>
    <row r="161" ht="12.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30"/>
      <c r="AR161" s="30"/>
      <c r="AS161" s="30"/>
      <c r="AT161" s="30"/>
      <c r="AU161" s="30"/>
      <c r="AV161" s="30"/>
      <c r="AW161" s="30"/>
      <c r="AX161" s="30"/>
      <c r="AY161" s="30"/>
      <c r="AZ161" s="30"/>
      <c r="BA161" s="30"/>
      <c r="BB161" s="30"/>
      <c r="BC161" s="30"/>
    </row>
    <row r="162" ht="12.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30"/>
      <c r="AR162" s="30"/>
      <c r="AS162" s="30"/>
      <c r="AT162" s="30"/>
      <c r="AU162" s="30"/>
      <c r="AV162" s="30"/>
      <c r="AW162" s="30"/>
      <c r="AX162" s="30"/>
      <c r="AY162" s="30"/>
      <c r="AZ162" s="30"/>
      <c r="BA162" s="30"/>
      <c r="BB162" s="30"/>
      <c r="BC162" s="30"/>
    </row>
    <row r="163" ht="12.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30"/>
      <c r="AR163" s="30"/>
      <c r="AS163" s="30"/>
      <c r="AT163" s="30"/>
      <c r="AU163" s="30"/>
      <c r="AV163" s="30"/>
      <c r="AW163" s="30"/>
      <c r="AX163" s="30"/>
      <c r="AY163" s="30"/>
      <c r="AZ163" s="30"/>
      <c r="BA163" s="30"/>
      <c r="BB163" s="30"/>
      <c r="BC163" s="30"/>
    </row>
    <row r="164" ht="12.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30"/>
      <c r="AR164" s="30"/>
      <c r="AS164" s="30"/>
      <c r="AT164" s="30"/>
      <c r="AU164" s="30"/>
      <c r="AV164" s="30"/>
      <c r="AW164" s="30"/>
      <c r="AX164" s="30"/>
      <c r="AY164" s="30"/>
      <c r="AZ164" s="30"/>
      <c r="BA164" s="30"/>
      <c r="BB164" s="30"/>
      <c r="BC164" s="30"/>
    </row>
    <row r="165" ht="12.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30"/>
      <c r="AR165" s="30"/>
      <c r="AS165" s="30"/>
      <c r="AT165" s="30"/>
      <c r="AU165" s="30"/>
      <c r="AV165" s="30"/>
      <c r="AW165" s="30"/>
      <c r="AX165" s="30"/>
      <c r="AY165" s="30"/>
      <c r="AZ165" s="30"/>
      <c r="BA165" s="30"/>
      <c r="BB165" s="30"/>
      <c r="BC165" s="30"/>
    </row>
    <row r="166" ht="12.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row>
    <row r="167" ht="12.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30"/>
      <c r="AR167" s="30"/>
      <c r="AS167" s="30"/>
      <c r="AT167" s="30"/>
      <c r="AU167" s="30"/>
      <c r="AV167" s="30"/>
      <c r="AW167" s="30"/>
      <c r="AX167" s="30"/>
      <c r="AY167" s="30"/>
      <c r="AZ167" s="30"/>
      <c r="BA167" s="30"/>
      <c r="BB167" s="30"/>
      <c r="BC167" s="30"/>
    </row>
    <row r="168" ht="12.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30"/>
      <c r="AR168" s="30"/>
      <c r="AS168" s="30"/>
      <c r="AT168" s="30"/>
      <c r="AU168" s="30"/>
      <c r="AV168" s="30"/>
      <c r="AW168" s="30"/>
      <c r="AX168" s="30"/>
      <c r="AY168" s="30"/>
      <c r="AZ168" s="30"/>
      <c r="BA168" s="30"/>
      <c r="BB168" s="30"/>
      <c r="BC168" s="30"/>
    </row>
    <row r="169" ht="12.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30"/>
      <c r="AR169" s="30"/>
      <c r="AS169" s="30"/>
      <c r="AT169" s="30"/>
      <c r="AU169" s="30"/>
      <c r="AV169" s="30"/>
      <c r="AW169" s="30"/>
      <c r="AX169" s="30"/>
      <c r="AY169" s="30"/>
      <c r="AZ169" s="30"/>
      <c r="BA169" s="30"/>
      <c r="BB169" s="30"/>
      <c r="BC169" s="30"/>
    </row>
    <row r="170" ht="12.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30"/>
      <c r="AR170" s="30"/>
      <c r="AS170" s="30"/>
      <c r="AT170" s="30"/>
      <c r="AU170" s="30"/>
      <c r="AV170" s="30"/>
      <c r="AW170" s="30"/>
      <c r="AX170" s="30"/>
      <c r="AY170" s="30"/>
      <c r="AZ170" s="30"/>
      <c r="BA170" s="30"/>
      <c r="BB170" s="30"/>
      <c r="BC170" s="30"/>
    </row>
    <row r="171" ht="12.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30"/>
      <c r="AR171" s="30"/>
      <c r="AS171" s="30"/>
      <c r="AT171" s="30"/>
      <c r="AU171" s="30"/>
      <c r="AV171" s="30"/>
      <c r="AW171" s="30"/>
      <c r="AX171" s="30"/>
      <c r="AY171" s="30"/>
      <c r="AZ171" s="30"/>
      <c r="BA171" s="30"/>
      <c r="BB171" s="30"/>
      <c r="BC171" s="30"/>
    </row>
    <row r="172" ht="12.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30"/>
      <c r="AR172" s="30"/>
      <c r="AS172" s="30"/>
      <c r="AT172" s="30"/>
      <c r="AU172" s="30"/>
      <c r="AV172" s="30"/>
      <c r="AW172" s="30"/>
      <c r="AX172" s="30"/>
      <c r="AY172" s="30"/>
      <c r="AZ172" s="30"/>
      <c r="BA172" s="30"/>
      <c r="BB172" s="30"/>
      <c r="BC172" s="30"/>
    </row>
    <row r="173" ht="12.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c r="BC173" s="30"/>
    </row>
    <row r="174" ht="12.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30"/>
      <c r="AR174" s="30"/>
      <c r="AS174" s="30"/>
      <c r="AT174" s="30"/>
      <c r="AU174" s="30"/>
      <c r="AV174" s="30"/>
      <c r="AW174" s="30"/>
      <c r="AX174" s="30"/>
      <c r="AY174" s="30"/>
      <c r="AZ174" s="30"/>
      <c r="BA174" s="30"/>
      <c r="BB174" s="30"/>
      <c r="BC174" s="30"/>
    </row>
    <row r="175" ht="12.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30"/>
      <c r="AR175" s="30"/>
      <c r="AS175" s="30"/>
      <c r="AT175" s="30"/>
      <c r="AU175" s="30"/>
      <c r="AV175" s="30"/>
      <c r="AW175" s="30"/>
      <c r="AX175" s="30"/>
      <c r="AY175" s="30"/>
      <c r="AZ175" s="30"/>
      <c r="BA175" s="30"/>
      <c r="BB175" s="30"/>
      <c r="BC175" s="30"/>
    </row>
    <row r="176" ht="12.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30"/>
      <c r="AR176" s="30"/>
      <c r="AS176" s="30"/>
      <c r="AT176" s="30"/>
      <c r="AU176" s="30"/>
      <c r="AV176" s="30"/>
      <c r="AW176" s="30"/>
      <c r="AX176" s="30"/>
      <c r="AY176" s="30"/>
      <c r="AZ176" s="30"/>
      <c r="BA176" s="30"/>
      <c r="BB176" s="30"/>
      <c r="BC176" s="30"/>
    </row>
    <row r="177" ht="12.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30"/>
      <c r="AR177" s="30"/>
      <c r="AS177" s="30"/>
      <c r="AT177" s="30"/>
      <c r="AU177" s="30"/>
      <c r="AV177" s="30"/>
      <c r="AW177" s="30"/>
      <c r="AX177" s="30"/>
      <c r="AY177" s="30"/>
      <c r="AZ177" s="30"/>
      <c r="BA177" s="30"/>
      <c r="BB177" s="30"/>
      <c r="BC177" s="30"/>
    </row>
    <row r="178" ht="12.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30"/>
      <c r="AR178" s="30"/>
      <c r="AS178" s="30"/>
      <c r="AT178" s="30"/>
      <c r="AU178" s="30"/>
      <c r="AV178" s="30"/>
      <c r="AW178" s="30"/>
      <c r="AX178" s="30"/>
      <c r="AY178" s="30"/>
      <c r="AZ178" s="30"/>
      <c r="BA178" s="30"/>
      <c r="BB178" s="30"/>
      <c r="BC178" s="30"/>
    </row>
    <row r="179" ht="12.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30"/>
      <c r="AR179" s="30"/>
      <c r="AS179" s="30"/>
      <c r="AT179" s="30"/>
      <c r="AU179" s="30"/>
      <c r="AV179" s="30"/>
      <c r="AW179" s="30"/>
      <c r="AX179" s="30"/>
      <c r="AY179" s="30"/>
      <c r="AZ179" s="30"/>
      <c r="BA179" s="30"/>
      <c r="BB179" s="30"/>
      <c r="BC179" s="30"/>
    </row>
    <row r="180" ht="12.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30"/>
      <c r="AR180" s="30"/>
      <c r="AS180" s="30"/>
      <c r="AT180" s="30"/>
      <c r="AU180" s="30"/>
      <c r="AV180" s="30"/>
      <c r="AW180" s="30"/>
      <c r="AX180" s="30"/>
      <c r="AY180" s="30"/>
      <c r="AZ180" s="30"/>
      <c r="BA180" s="30"/>
      <c r="BB180" s="30"/>
      <c r="BC180" s="30"/>
    </row>
    <row r="181" ht="12.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30"/>
      <c r="AR181" s="30"/>
      <c r="AS181" s="30"/>
      <c r="AT181" s="30"/>
      <c r="AU181" s="30"/>
      <c r="AV181" s="30"/>
      <c r="AW181" s="30"/>
      <c r="AX181" s="30"/>
      <c r="AY181" s="30"/>
      <c r="AZ181" s="30"/>
      <c r="BA181" s="30"/>
      <c r="BB181" s="30"/>
      <c r="BC181" s="30"/>
    </row>
    <row r="182" ht="12.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30"/>
      <c r="AR182" s="30"/>
      <c r="AS182" s="30"/>
      <c r="AT182" s="30"/>
      <c r="AU182" s="30"/>
      <c r="AV182" s="30"/>
      <c r="AW182" s="30"/>
      <c r="AX182" s="30"/>
      <c r="AY182" s="30"/>
      <c r="AZ182" s="30"/>
      <c r="BA182" s="30"/>
      <c r="BB182" s="30"/>
      <c r="BC182" s="30"/>
    </row>
    <row r="183" ht="12.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30"/>
      <c r="AR183" s="30"/>
      <c r="AS183" s="30"/>
      <c r="AT183" s="30"/>
      <c r="AU183" s="30"/>
      <c r="AV183" s="30"/>
      <c r="AW183" s="30"/>
      <c r="AX183" s="30"/>
      <c r="AY183" s="30"/>
      <c r="AZ183" s="30"/>
      <c r="BA183" s="30"/>
      <c r="BB183" s="30"/>
      <c r="BC183" s="30"/>
    </row>
    <row r="184" ht="12.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30"/>
      <c r="AR184" s="30"/>
      <c r="AS184" s="30"/>
      <c r="AT184" s="30"/>
      <c r="AU184" s="30"/>
      <c r="AV184" s="30"/>
      <c r="AW184" s="30"/>
      <c r="AX184" s="30"/>
      <c r="AY184" s="30"/>
      <c r="AZ184" s="30"/>
      <c r="BA184" s="30"/>
      <c r="BB184" s="30"/>
      <c r="BC184" s="30"/>
    </row>
    <row r="185" ht="12.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30"/>
      <c r="AR185" s="30"/>
      <c r="AS185" s="30"/>
      <c r="AT185" s="30"/>
      <c r="AU185" s="30"/>
      <c r="AV185" s="30"/>
      <c r="AW185" s="30"/>
      <c r="AX185" s="30"/>
      <c r="AY185" s="30"/>
      <c r="AZ185" s="30"/>
      <c r="BA185" s="30"/>
      <c r="BB185" s="30"/>
      <c r="BC185" s="30"/>
    </row>
    <row r="186" ht="12.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c r="BC186" s="30"/>
    </row>
    <row r="187" ht="12.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row>
    <row r="188" ht="12.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c r="BC188" s="30"/>
    </row>
    <row r="189" ht="12.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c r="AW189" s="30"/>
      <c r="AX189" s="30"/>
      <c r="AY189" s="30"/>
      <c r="AZ189" s="30"/>
      <c r="BA189" s="30"/>
      <c r="BB189" s="30"/>
      <c r="BC189" s="30"/>
    </row>
    <row r="190" ht="12.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row>
    <row r="191" ht="12.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c r="BC191" s="30"/>
    </row>
    <row r="192" ht="12.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row>
    <row r="193" ht="12.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c r="BC193" s="30"/>
    </row>
    <row r="194" ht="12.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c r="BC194" s="30"/>
    </row>
    <row r="195" ht="12.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c r="BC195" s="30"/>
    </row>
    <row r="196" ht="12.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c r="BC196" s="30"/>
    </row>
    <row r="197" ht="12.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c r="BC197" s="30"/>
    </row>
    <row r="198" ht="12.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row>
    <row r="199" ht="12.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c r="AW199" s="30"/>
      <c r="AX199" s="30"/>
      <c r="AY199" s="30"/>
      <c r="AZ199" s="30"/>
      <c r="BA199" s="30"/>
      <c r="BB199" s="30"/>
      <c r="BC199" s="30"/>
    </row>
    <row r="200" ht="12.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30"/>
      <c r="AR200" s="30"/>
      <c r="AS200" s="30"/>
      <c r="AT200" s="30"/>
      <c r="AU200" s="30"/>
      <c r="AV200" s="30"/>
      <c r="AW200" s="30"/>
      <c r="AX200" s="30"/>
      <c r="AY200" s="30"/>
      <c r="AZ200" s="30"/>
      <c r="BA200" s="30"/>
      <c r="BB200" s="30"/>
      <c r="BC200" s="30"/>
    </row>
    <row r="201" ht="12.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30"/>
      <c r="AR201" s="30"/>
      <c r="AS201" s="30"/>
      <c r="AT201" s="30"/>
      <c r="AU201" s="30"/>
      <c r="AV201" s="30"/>
      <c r="AW201" s="30"/>
      <c r="AX201" s="30"/>
      <c r="AY201" s="30"/>
      <c r="AZ201" s="30"/>
      <c r="BA201" s="30"/>
      <c r="BB201" s="30"/>
      <c r="BC201" s="30"/>
    </row>
    <row r="202" ht="12.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30"/>
      <c r="AR202" s="30"/>
      <c r="AS202" s="30"/>
      <c r="AT202" s="30"/>
      <c r="AU202" s="30"/>
      <c r="AV202" s="30"/>
      <c r="AW202" s="30"/>
      <c r="AX202" s="30"/>
      <c r="AY202" s="30"/>
      <c r="AZ202" s="30"/>
      <c r="BA202" s="30"/>
      <c r="BB202" s="30"/>
      <c r="BC202" s="30"/>
    </row>
    <row r="203" ht="12.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30"/>
      <c r="AR203" s="30"/>
      <c r="AS203" s="30"/>
      <c r="AT203" s="30"/>
      <c r="AU203" s="30"/>
      <c r="AV203" s="30"/>
      <c r="AW203" s="30"/>
      <c r="AX203" s="30"/>
      <c r="AY203" s="30"/>
      <c r="AZ203" s="30"/>
      <c r="BA203" s="30"/>
      <c r="BB203" s="30"/>
      <c r="BC203" s="30"/>
    </row>
    <row r="204" ht="12.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30"/>
      <c r="AR204" s="30"/>
      <c r="AS204" s="30"/>
      <c r="AT204" s="30"/>
      <c r="AU204" s="30"/>
      <c r="AV204" s="30"/>
      <c r="AW204" s="30"/>
      <c r="AX204" s="30"/>
      <c r="AY204" s="30"/>
      <c r="AZ204" s="30"/>
      <c r="BA204" s="30"/>
      <c r="BB204" s="30"/>
      <c r="BC204" s="30"/>
    </row>
    <row r="205" ht="12.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30"/>
      <c r="AR205" s="30"/>
      <c r="AS205" s="30"/>
      <c r="AT205" s="30"/>
      <c r="AU205" s="30"/>
      <c r="AV205" s="30"/>
      <c r="AW205" s="30"/>
      <c r="AX205" s="30"/>
      <c r="AY205" s="30"/>
      <c r="AZ205" s="30"/>
      <c r="BA205" s="30"/>
      <c r="BB205" s="30"/>
      <c r="BC205" s="30"/>
    </row>
    <row r="206" ht="12.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30"/>
      <c r="AR206" s="30"/>
      <c r="AS206" s="30"/>
      <c r="AT206" s="30"/>
      <c r="AU206" s="30"/>
      <c r="AV206" s="30"/>
      <c r="AW206" s="30"/>
      <c r="AX206" s="30"/>
      <c r="AY206" s="30"/>
      <c r="AZ206" s="30"/>
      <c r="BA206" s="30"/>
      <c r="BB206" s="30"/>
      <c r="BC206" s="30"/>
    </row>
    <row r="207" ht="12.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30"/>
      <c r="AR207" s="30"/>
      <c r="AS207" s="30"/>
      <c r="AT207" s="30"/>
      <c r="AU207" s="30"/>
      <c r="AV207" s="30"/>
      <c r="AW207" s="30"/>
      <c r="AX207" s="30"/>
      <c r="AY207" s="30"/>
      <c r="AZ207" s="30"/>
      <c r="BA207" s="30"/>
      <c r="BB207" s="30"/>
      <c r="BC207" s="30"/>
    </row>
    <row r="208" ht="12.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30"/>
      <c r="AR208" s="30"/>
      <c r="AS208" s="30"/>
      <c r="AT208" s="30"/>
      <c r="AU208" s="30"/>
      <c r="AV208" s="30"/>
      <c r="AW208" s="30"/>
      <c r="AX208" s="30"/>
      <c r="AY208" s="30"/>
      <c r="AZ208" s="30"/>
      <c r="BA208" s="30"/>
      <c r="BB208" s="30"/>
      <c r="BC208" s="30"/>
    </row>
    <row r="209" ht="12.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30"/>
      <c r="AR209" s="30"/>
      <c r="AS209" s="30"/>
      <c r="AT209" s="30"/>
      <c r="AU209" s="30"/>
      <c r="AV209" s="30"/>
      <c r="AW209" s="30"/>
      <c r="AX209" s="30"/>
      <c r="AY209" s="30"/>
      <c r="AZ209" s="30"/>
      <c r="BA209" s="30"/>
      <c r="BB209" s="30"/>
      <c r="BC209" s="30"/>
    </row>
    <row r="210" ht="12.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30"/>
      <c r="AR210" s="30"/>
      <c r="AS210" s="30"/>
      <c r="AT210" s="30"/>
      <c r="AU210" s="30"/>
      <c r="AV210" s="30"/>
      <c r="AW210" s="30"/>
      <c r="AX210" s="30"/>
      <c r="AY210" s="30"/>
      <c r="AZ210" s="30"/>
      <c r="BA210" s="30"/>
      <c r="BB210" s="30"/>
      <c r="BC210" s="30"/>
    </row>
    <row r="211" ht="12.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30"/>
      <c r="AR211" s="30"/>
      <c r="AS211" s="30"/>
      <c r="AT211" s="30"/>
      <c r="AU211" s="30"/>
      <c r="AV211" s="30"/>
      <c r="AW211" s="30"/>
      <c r="AX211" s="30"/>
      <c r="AY211" s="30"/>
      <c r="AZ211" s="30"/>
      <c r="BA211" s="30"/>
      <c r="BB211" s="30"/>
      <c r="BC211" s="30"/>
    </row>
    <row r="212" ht="12.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30"/>
      <c r="AR212" s="30"/>
      <c r="AS212" s="30"/>
      <c r="AT212" s="30"/>
      <c r="AU212" s="30"/>
      <c r="AV212" s="30"/>
      <c r="AW212" s="30"/>
      <c r="AX212" s="30"/>
      <c r="AY212" s="30"/>
      <c r="AZ212" s="30"/>
      <c r="BA212" s="30"/>
      <c r="BB212" s="30"/>
      <c r="BC212" s="30"/>
    </row>
    <row r="213" ht="12.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30"/>
      <c r="AR213" s="30"/>
      <c r="AS213" s="30"/>
      <c r="AT213" s="30"/>
      <c r="AU213" s="30"/>
      <c r="AV213" s="30"/>
      <c r="AW213" s="30"/>
      <c r="AX213" s="30"/>
      <c r="AY213" s="30"/>
      <c r="AZ213" s="30"/>
      <c r="BA213" s="30"/>
      <c r="BB213" s="30"/>
      <c r="BC213" s="30"/>
    </row>
    <row r="214" ht="12.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30"/>
      <c r="AR214" s="30"/>
      <c r="AS214" s="30"/>
      <c r="AT214" s="30"/>
      <c r="AU214" s="30"/>
      <c r="AV214" s="30"/>
      <c r="AW214" s="30"/>
      <c r="AX214" s="30"/>
      <c r="AY214" s="30"/>
      <c r="AZ214" s="30"/>
      <c r="BA214" s="30"/>
      <c r="BB214" s="30"/>
      <c r="BC214" s="30"/>
    </row>
    <row r="215" ht="12.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30"/>
      <c r="AR215" s="30"/>
      <c r="AS215" s="30"/>
      <c r="AT215" s="30"/>
      <c r="AU215" s="30"/>
      <c r="AV215" s="30"/>
      <c r="AW215" s="30"/>
      <c r="AX215" s="30"/>
      <c r="AY215" s="30"/>
      <c r="AZ215" s="30"/>
      <c r="BA215" s="30"/>
      <c r="BB215" s="30"/>
      <c r="BC215" s="30"/>
    </row>
    <row r="216" ht="12.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30"/>
      <c r="AR216" s="30"/>
      <c r="AS216" s="30"/>
      <c r="AT216" s="30"/>
      <c r="AU216" s="30"/>
      <c r="AV216" s="30"/>
      <c r="AW216" s="30"/>
      <c r="AX216" s="30"/>
      <c r="AY216" s="30"/>
      <c r="AZ216" s="30"/>
      <c r="BA216" s="30"/>
      <c r="BB216" s="30"/>
      <c r="BC216" s="30"/>
    </row>
    <row r="217" ht="12.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30"/>
      <c r="AR217" s="30"/>
      <c r="AS217" s="30"/>
      <c r="AT217" s="30"/>
      <c r="AU217" s="30"/>
      <c r="AV217" s="30"/>
      <c r="AW217" s="30"/>
      <c r="AX217" s="30"/>
      <c r="AY217" s="30"/>
      <c r="AZ217" s="30"/>
      <c r="BA217" s="30"/>
      <c r="BB217" s="30"/>
      <c r="BC217" s="30"/>
    </row>
    <row r="218" ht="12.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30"/>
      <c r="AR218" s="30"/>
      <c r="AS218" s="30"/>
      <c r="AT218" s="30"/>
      <c r="AU218" s="30"/>
      <c r="AV218" s="30"/>
      <c r="AW218" s="30"/>
      <c r="AX218" s="30"/>
      <c r="AY218" s="30"/>
      <c r="AZ218" s="30"/>
      <c r="BA218" s="30"/>
      <c r="BB218" s="30"/>
      <c r="BC218" s="30"/>
    </row>
    <row r="219" ht="12.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30"/>
      <c r="AR219" s="30"/>
      <c r="AS219" s="30"/>
      <c r="AT219" s="30"/>
      <c r="AU219" s="30"/>
      <c r="AV219" s="30"/>
      <c r="AW219" s="30"/>
      <c r="AX219" s="30"/>
      <c r="AY219" s="30"/>
      <c r="AZ219" s="30"/>
      <c r="BA219" s="30"/>
      <c r="BB219" s="30"/>
      <c r="BC219" s="30"/>
    </row>
    <row r="220" ht="12.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30"/>
      <c r="AR220" s="30"/>
      <c r="AS220" s="30"/>
      <c r="AT220" s="30"/>
      <c r="AU220" s="30"/>
      <c r="AV220" s="30"/>
      <c r="AW220" s="30"/>
      <c r="AX220" s="30"/>
      <c r="AY220" s="30"/>
      <c r="AZ220" s="30"/>
      <c r="BA220" s="30"/>
      <c r="BB220" s="30"/>
      <c r="BC220" s="30"/>
    </row>
    <row r="221" ht="12.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30"/>
      <c r="AR221" s="30"/>
      <c r="AS221" s="30"/>
      <c r="AT221" s="30"/>
      <c r="AU221" s="30"/>
      <c r="AV221" s="30"/>
      <c r="AW221" s="30"/>
      <c r="AX221" s="30"/>
      <c r="AY221" s="30"/>
      <c r="AZ221" s="30"/>
      <c r="BA221" s="30"/>
      <c r="BB221" s="30"/>
      <c r="BC221" s="30"/>
    </row>
    <row r="222" ht="12.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30"/>
      <c r="AR222" s="30"/>
      <c r="AS222" s="30"/>
      <c r="AT222" s="30"/>
      <c r="AU222" s="30"/>
      <c r="AV222" s="30"/>
      <c r="AW222" s="30"/>
      <c r="AX222" s="30"/>
      <c r="AY222" s="30"/>
      <c r="AZ222" s="30"/>
      <c r="BA222" s="30"/>
      <c r="BB222" s="30"/>
      <c r="BC222" s="30"/>
    </row>
    <row r="223" ht="12.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30"/>
      <c r="AR223" s="30"/>
      <c r="AS223" s="30"/>
      <c r="AT223" s="30"/>
      <c r="AU223" s="30"/>
      <c r="AV223" s="30"/>
      <c r="AW223" s="30"/>
      <c r="AX223" s="30"/>
      <c r="AY223" s="30"/>
      <c r="AZ223" s="30"/>
      <c r="BA223" s="30"/>
      <c r="BB223" s="30"/>
      <c r="BC223" s="30"/>
    </row>
    <row r="224" ht="12.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30"/>
      <c r="AR224" s="30"/>
      <c r="AS224" s="30"/>
      <c r="AT224" s="30"/>
      <c r="AU224" s="30"/>
      <c r="AV224" s="30"/>
      <c r="AW224" s="30"/>
      <c r="AX224" s="30"/>
      <c r="AY224" s="30"/>
      <c r="AZ224" s="30"/>
      <c r="BA224" s="30"/>
      <c r="BB224" s="30"/>
      <c r="BC224" s="30"/>
    </row>
    <row r="225" ht="12.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30"/>
      <c r="AR225" s="30"/>
      <c r="AS225" s="30"/>
      <c r="AT225" s="30"/>
      <c r="AU225" s="30"/>
      <c r="AV225" s="30"/>
      <c r="AW225" s="30"/>
      <c r="AX225" s="30"/>
      <c r="AY225" s="30"/>
      <c r="AZ225" s="30"/>
      <c r="BA225" s="30"/>
      <c r="BB225" s="30"/>
      <c r="BC225" s="30"/>
    </row>
    <row r="226" ht="12.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30"/>
      <c r="AR226" s="30"/>
      <c r="AS226" s="30"/>
      <c r="AT226" s="30"/>
      <c r="AU226" s="30"/>
      <c r="AV226" s="30"/>
      <c r="AW226" s="30"/>
      <c r="AX226" s="30"/>
      <c r="AY226" s="30"/>
      <c r="AZ226" s="30"/>
      <c r="BA226" s="30"/>
      <c r="BB226" s="30"/>
      <c r="BC226" s="30"/>
    </row>
    <row r="227" ht="12.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30"/>
      <c r="AR227" s="30"/>
      <c r="AS227" s="30"/>
      <c r="AT227" s="30"/>
      <c r="AU227" s="30"/>
      <c r="AV227" s="30"/>
      <c r="AW227" s="30"/>
      <c r="AX227" s="30"/>
      <c r="AY227" s="30"/>
      <c r="AZ227" s="30"/>
      <c r="BA227" s="30"/>
      <c r="BB227" s="30"/>
      <c r="BC227" s="30"/>
    </row>
    <row r="228" ht="12.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30"/>
      <c r="AR228" s="30"/>
      <c r="AS228" s="30"/>
      <c r="AT228" s="30"/>
      <c r="AU228" s="30"/>
      <c r="AV228" s="30"/>
      <c r="AW228" s="30"/>
      <c r="AX228" s="30"/>
      <c r="AY228" s="30"/>
      <c r="AZ228" s="30"/>
      <c r="BA228" s="30"/>
      <c r="BB228" s="30"/>
      <c r="BC228" s="30"/>
    </row>
    <row r="229" ht="12.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30"/>
      <c r="AR229" s="30"/>
      <c r="AS229" s="30"/>
      <c r="AT229" s="30"/>
      <c r="AU229" s="30"/>
      <c r="AV229" s="30"/>
      <c r="AW229" s="30"/>
      <c r="AX229" s="30"/>
      <c r="AY229" s="30"/>
      <c r="AZ229" s="30"/>
      <c r="BA229" s="30"/>
      <c r="BB229" s="30"/>
      <c r="BC229" s="30"/>
    </row>
    <row r="230" ht="12.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30"/>
      <c r="AR230" s="30"/>
      <c r="AS230" s="30"/>
      <c r="AT230" s="30"/>
      <c r="AU230" s="30"/>
      <c r="AV230" s="30"/>
      <c r="AW230" s="30"/>
      <c r="AX230" s="30"/>
      <c r="AY230" s="30"/>
      <c r="AZ230" s="30"/>
      <c r="BA230" s="30"/>
      <c r="BB230" s="30"/>
      <c r="BC230" s="30"/>
    </row>
    <row r="231" ht="12.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30"/>
      <c r="AR231" s="30"/>
      <c r="AS231" s="30"/>
      <c r="AT231" s="30"/>
      <c r="AU231" s="30"/>
      <c r="AV231" s="30"/>
      <c r="AW231" s="30"/>
      <c r="AX231" s="30"/>
      <c r="AY231" s="30"/>
      <c r="AZ231" s="30"/>
      <c r="BA231" s="30"/>
      <c r="BB231" s="30"/>
      <c r="BC231" s="30"/>
    </row>
    <row r="232" ht="12.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30"/>
      <c r="AR232" s="30"/>
      <c r="AS232" s="30"/>
      <c r="AT232" s="30"/>
      <c r="AU232" s="30"/>
      <c r="AV232" s="30"/>
      <c r="AW232" s="30"/>
      <c r="AX232" s="30"/>
      <c r="AY232" s="30"/>
      <c r="AZ232" s="30"/>
      <c r="BA232" s="30"/>
      <c r="BB232" s="30"/>
      <c r="BC232" s="30"/>
    </row>
    <row r="233" ht="12.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30"/>
      <c r="AR233" s="30"/>
      <c r="AS233" s="30"/>
      <c r="AT233" s="30"/>
      <c r="AU233" s="30"/>
      <c r="AV233" s="30"/>
      <c r="AW233" s="30"/>
      <c r="AX233" s="30"/>
      <c r="AY233" s="30"/>
      <c r="AZ233" s="30"/>
      <c r="BA233" s="30"/>
      <c r="BB233" s="30"/>
      <c r="BC233" s="30"/>
    </row>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28">
    <mergeCell ref="A21:AQ22"/>
    <mergeCell ref="AR21:AW22"/>
    <mergeCell ref="AX21:BC22"/>
    <mergeCell ref="A23:BC23"/>
    <mergeCell ref="A24:BC24"/>
    <mergeCell ref="A25:BC25"/>
    <mergeCell ref="A26:BC26"/>
    <mergeCell ref="A27:BC27"/>
    <mergeCell ref="X28:AM28"/>
    <mergeCell ref="AN28:BC28"/>
    <mergeCell ref="X29:AM30"/>
    <mergeCell ref="AN29:BC30"/>
    <mergeCell ref="X31:AM31"/>
    <mergeCell ref="AN31:BC31"/>
    <mergeCell ref="A16:O16"/>
    <mergeCell ref="P16:Q16"/>
    <mergeCell ref="R16:S16"/>
    <mergeCell ref="T16:U16"/>
    <mergeCell ref="V16:W16"/>
    <mergeCell ref="X16:Y16"/>
    <mergeCell ref="Z16:AA16"/>
    <mergeCell ref="A17:O17"/>
    <mergeCell ref="P17:Q17"/>
    <mergeCell ref="R17:S17"/>
    <mergeCell ref="T17:U17"/>
    <mergeCell ref="V17:W17"/>
    <mergeCell ref="X17:Y17"/>
    <mergeCell ref="Z17:AA17"/>
    <mergeCell ref="AP19:AQ19"/>
    <mergeCell ref="AR19:AS19"/>
    <mergeCell ref="AT19:AU19"/>
    <mergeCell ref="AV19:AW19"/>
    <mergeCell ref="AX19:AZ19"/>
    <mergeCell ref="BA19:BC19"/>
    <mergeCell ref="AB19:AC19"/>
    <mergeCell ref="AD19:AE19"/>
    <mergeCell ref="AF19:AG19"/>
    <mergeCell ref="AH19:AI19"/>
    <mergeCell ref="AJ19:AK19"/>
    <mergeCell ref="AL19:AM19"/>
    <mergeCell ref="AN19:AO19"/>
    <mergeCell ref="A19:O19"/>
    <mergeCell ref="P19:Q19"/>
    <mergeCell ref="R19:S19"/>
    <mergeCell ref="T19:U19"/>
    <mergeCell ref="V19:W19"/>
    <mergeCell ref="X19:Y19"/>
    <mergeCell ref="Z19:AA19"/>
    <mergeCell ref="AP20:AQ20"/>
    <mergeCell ref="AR20:AS20"/>
    <mergeCell ref="AT20:AU20"/>
    <mergeCell ref="AV20:AW20"/>
    <mergeCell ref="AX20:AZ20"/>
    <mergeCell ref="BA20:BC20"/>
    <mergeCell ref="X32:AM32"/>
    <mergeCell ref="AN32:BC32"/>
    <mergeCell ref="X33:AM33"/>
    <mergeCell ref="AN33:BC33"/>
    <mergeCell ref="AH11:AI12"/>
    <mergeCell ref="AJ11:AK12"/>
    <mergeCell ref="T11:U12"/>
    <mergeCell ref="V11:W12"/>
    <mergeCell ref="X11:Y12"/>
    <mergeCell ref="Z11:AA12"/>
    <mergeCell ref="AB11:AC12"/>
    <mergeCell ref="AD11:AE12"/>
    <mergeCell ref="AF11:AG12"/>
    <mergeCell ref="X6:AO6"/>
    <mergeCell ref="AP6:AT7"/>
    <mergeCell ref="X7:AO7"/>
    <mergeCell ref="AU6:AW6"/>
    <mergeCell ref="AX6:AZ6"/>
    <mergeCell ref="AU7:AW7"/>
    <mergeCell ref="AX7:AZ7"/>
    <mergeCell ref="BA7:BC7"/>
    <mergeCell ref="A6:I6"/>
    <mergeCell ref="A8:BC8"/>
    <mergeCell ref="A1:J4"/>
    <mergeCell ref="K1:AU1"/>
    <mergeCell ref="AV1:BC4"/>
    <mergeCell ref="K2:AU4"/>
    <mergeCell ref="A5:F5"/>
    <mergeCell ref="G5:BC5"/>
    <mergeCell ref="BA6:BC6"/>
    <mergeCell ref="T9:W10"/>
    <mergeCell ref="X9:AA10"/>
    <mergeCell ref="AB9:AE10"/>
    <mergeCell ref="AF9:AK10"/>
    <mergeCell ref="AL9:AQ10"/>
    <mergeCell ref="AR9:AW10"/>
    <mergeCell ref="AX9:BC10"/>
    <mergeCell ref="AV11:AW12"/>
    <mergeCell ref="AX11:AZ12"/>
    <mergeCell ref="BA11:BC12"/>
    <mergeCell ref="P11:Q12"/>
    <mergeCell ref="R11:S12"/>
    <mergeCell ref="AL11:AM12"/>
    <mergeCell ref="AN11:AO12"/>
    <mergeCell ref="AP11:AQ12"/>
    <mergeCell ref="AR11:AS12"/>
    <mergeCell ref="AT11:AU12"/>
    <mergeCell ref="J6:Q6"/>
    <mergeCell ref="R6:W6"/>
    <mergeCell ref="A7:F7"/>
    <mergeCell ref="G7:Q7"/>
    <mergeCell ref="R7:W7"/>
    <mergeCell ref="A9:O12"/>
    <mergeCell ref="P9:S10"/>
    <mergeCell ref="AP13:AQ13"/>
    <mergeCell ref="AR13:AS13"/>
    <mergeCell ref="AT13:AU13"/>
    <mergeCell ref="AV13:AW13"/>
    <mergeCell ref="AX13:AZ13"/>
    <mergeCell ref="BA13:BC13"/>
    <mergeCell ref="AB13:AC13"/>
    <mergeCell ref="AD13:AE13"/>
    <mergeCell ref="AF13:AG13"/>
    <mergeCell ref="AH13:AI13"/>
    <mergeCell ref="AJ13:AK13"/>
    <mergeCell ref="AL13:AM13"/>
    <mergeCell ref="AN13:AO13"/>
    <mergeCell ref="A13:O13"/>
    <mergeCell ref="P13:Q13"/>
    <mergeCell ref="R13:S13"/>
    <mergeCell ref="T13:U13"/>
    <mergeCell ref="V13:W13"/>
    <mergeCell ref="X13:Y13"/>
    <mergeCell ref="Z13:AA13"/>
    <mergeCell ref="AP14:AQ14"/>
    <mergeCell ref="AR14:AS14"/>
    <mergeCell ref="AT14:AU14"/>
    <mergeCell ref="AV14:AW14"/>
    <mergeCell ref="AX14:AZ14"/>
    <mergeCell ref="BA14:BC14"/>
    <mergeCell ref="AB14:AC14"/>
    <mergeCell ref="AD14:AE14"/>
    <mergeCell ref="AF14:AG14"/>
    <mergeCell ref="AH14:AI14"/>
    <mergeCell ref="AJ14:AK14"/>
    <mergeCell ref="AL14:AM14"/>
    <mergeCell ref="AN14:AO14"/>
    <mergeCell ref="A14:O14"/>
    <mergeCell ref="P14:Q14"/>
    <mergeCell ref="R14:S14"/>
    <mergeCell ref="T14:U14"/>
    <mergeCell ref="V14:W14"/>
    <mergeCell ref="X14:Y14"/>
    <mergeCell ref="Z14:AA14"/>
    <mergeCell ref="AP17:AQ17"/>
    <mergeCell ref="AR17:AS17"/>
    <mergeCell ref="AB17:AC17"/>
    <mergeCell ref="AD17:AE17"/>
    <mergeCell ref="AF17:AG17"/>
    <mergeCell ref="AH17:AI17"/>
    <mergeCell ref="AJ17:AK17"/>
    <mergeCell ref="AL17:AM17"/>
    <mergeCell ref="AN17:AO17"/>
    <mergeCell ref="AP18:AQ18"/>
    <mergeCell ref="AR18:AS18"/>
    <mergeCell ref="AB18:AC18"/>
    <mergeCell ref="AD18:AE18"/>
    <mergeCell ref="AF18:AG18"/>
    <mergeCell ref="AH18:AI18"/>
    <mergeCell ref="AJ18:AK18"/>
    <mergeCell ref="AL18:AM18"/>
    <mergeCell ref="AN18:AO18"/>
    <mergeCell ref="AP15:AQ15"/>
    <mergeCell ref="AR15:AS15"/>
    <mergeCell ref="AT15:AU15"/>
    <mergeCell ref="AV15:AW15"/>
    <mergeCell ref="AX15:AZ15"/>
    <mergeCell ref="BA15:BC15"/>
    <mergeCell ref="AB15:AC15"/>
    <mergeCell ref="AD15:AE15"/>
    <mergeCell ref="AF15:AG15"/>
    <mergeCell ref="AH15:AI15"/>
    <mergeCell ref="AJ15:AK15"/>
    <mergeCell ref="AL15:AM15"/>
    <mergeCell ref="AN15:AO15"/>
    <mergeCell ref="A15:O15"/>
    <mergeCell ref="P15:Q15"/>
    <mergeCell ref="R15:S15"/>
    <mergeCell ref="T15:U15"/>
    <mergeCell ref="V15:W15"/>
    <mergeCell ref="X15:Y15"/>
    <mergeCell ref="Z15:AA15"/>
    <mergeCell ref="AB16:AC16"/>
    <mergeCell ref="AD16:AE16"/>
    <mergeCell ref="AF16:AG16"/>
    <mergeCell ref="AH16:AI16"/>
    <mergeCell ref="AJ16:AK16"/>
    <mergeCell ref="AL16:AM16"/>
    <mergeCell ref="AN16:AO16"/>
    <mergeCell ref="AV17:AW17"/>
    <mergeCell ref="AX17:AZ17"/>
    <mergeCell ref="AT18:AU18"/>
    <mergeCell ref="AV18:AW18"/>
    <mergeCell ref="AX18:AZ18"/>
    <mergeCell ref="BA18:BC18"/>
    <mergeCell ref="AP16:AQ16"/>
    <mergeCell ref="AR16:AS16"/>
    <mergeCell ref="AT16:AU16"/>
    <mergeCell ref="AV16:AW16"/>
    <mergeCell ref="AX16:AZ16"/>
    <mergeCell ref="BA16:BC16"/>
    <mergeCell ref="AT17:AU17"/>
    <mergeCell ref="BA17:BC17"/>
    <mergeCell ref="A18:O18"/>
    <mergeCell ref="P18:Q18"/>
    <mergeCell ref="R18:S18"/>
    <mergeCell ref="T18:U18"/>
    <mergeCell ref="V18:W18"/>
    <mergeCell ref="X18:Y18"/>
    <mergeCell ref="Z18:AA18"/>
    <mergeCell ref="AB20:AC20"/>
    <mergeCell ref="AD20:AE20"/>
    <mergeCell ref="AF20:AG20"/>
    <mergeCell ref="AH20:AI20"/>
    <mergeCell ref="AJ20:AK20"/>
    <mergeCell ref="AL20:AM20"/>
    <mergeCell ref="AN20:AO20"/>
    <mergeCell ref="A20:O20"/>
    <mergeCell ref="P20:Q20"/>
    <mergeCell ref="R20:S20"/>
    <mergeCell ref="T20:U20"/>
    <mergeCell ref="V20:W20"/>
    <mergeCell ref="X20:Y20"/>
    <mergeCell ref="Z20:AA2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0" width="3.71"/>
    <col customWidth="1" min="11" max="11" width="6.43"/>
    <col customWidth="1" min="12" max="13" width="3.71"/>
    <col customWidth="1" min="14" max="14" width="8.29"/>
    <col customWidth="1" min="15" max="16" width="3.71"/>
    <col customWidth="1" min="17" max="17" width="6.57"/>
    <col customWidth="1" min="18" max="20" width="3.71"/>
    <col customWidth="1" min="21" max="21" width="6.57"/>
    <col customWidth="1" min="22" max="30" width="3.71"/>
    <col customWidth="1" min="31" max="31" width="11.86"/>
    <col customWidth="1" min="32" max="32" width="7.14"/>
    <col customWidth="1" min="33" max="33" width="3.71"/>
    <col customWidth="1" min="34" max="34" width="2.86"/>
    <col customWidth="1" min="35" max="35" width="3.71"/>
    <col customWidth="1" min="36" max="36" width="7.86"/>
    <col customWidth="1" min="37" max="37" width="3.71"/>
    <col customWidth="1" min="38" max="38" width="5.71"/>
    <col customWidth="1" min="39" max="39" width="3.71"/>
    <col customWidth="1" min="40" max="40" width="5.14"/>
    <col customWidth="1" min="41" max="62" width="11.43"/>
  </cols>
  <sheetData>
    <row r="1" ht="19.5" customHeight="1">
      <c r="A1" s="139"/>
      <c r="B1" s="140"/>
      <c r="C1" s="140"/>
      <c r="D1" s="140"/>
      <c r="E1" s="140"/>
      <c r="F1" s="140"/>
      <c r="G1" s="140"/>
      <c r="H1" s="140"/>
      <c r="I1" s="140"/>
      <c r="J1" s="140"/>
      <c r="K1" s="66" t="s">
        <v>0</v>
      </c>
      <c r="L1" s="2"/>
      <c r="M1" s="2"/>
      <c r="N1" s="2"/>
      <c r="O1" s="2"/>
      <c r="P1" s="2"/>
      <c r="Q1" s="2"/>
      <c r="R1" s="2"/>
      <c r="S1" s="2"/>
      <c r="T1" s="2"/>
      <c r="U1" s="2"/>
      <c r="V1" s="2"/>
      <c r="W1" s="2"/>
      <c r="X1" s="2"/>
      <c r="Y1" s="2"/>
      <c r="Z1" s="2"/>
      <c r="AA1" s="2"/>
      <c r="AB1" s="2"/>
      <c r="AC1" s="2"/>
      <c r="AD1" s="2"/>
      <c r="AE1" s="2"/>
      <c r="AF1" s="3"/>
      <c r="AG1" s="65" t="s">
        <v>119</v>
      </c>
      <c r="AH1" s="2"/>
      <c r="AI1" s="2"/>
      <c r="AJ1" s="2"/>
      <c r="AK1" s="2"/>
      <c r="AL1" s="2"/>
      <c r="AM1" s="2"/>
      <c r="AN1" s="3"/>
      <c r="AO1" s="141"/>
      <c r="AP1" s="141"/>
      <c r="AQ1" s="141"/>
      <c r="AR1" s="141"/>
      <c r="AS1" s="141"/>
      <c r="AT1" s="141"/>
      <c r="AU1" s="141"/>
      <c r="AV1" s="141"/>
      <c r="AW1" s="141"/>
      <c r="AX1" s="141"/>
      <c r="AY1" s="141"/>
      <c r="AZ1" s="141"/>
      <c r="BA1" s="141"/>
      <c r="BB1" s="141"/>
      <c r="BC1" s="141"/>
      <c r="BD1" s="141"/>
      <c r="BE1" s="141"/>
      <c r="BF1" s="141"/>
      <c r="BG1" s="141"/>
      <c r="BH1" s="141"/>
      <c r="BI1" s="141"/>
      <c r="BJ1" s="141"/>
    </row>
    <row r="2" ht="18.75" customHeight="1">
      <c r="A2" s="142"/>
      <c r="B2" s="143"/>
      <c r="C2" s="143"/>
      <c r="D2" s="143"/>
      <c r="E2" s="143"/>
      <c r="F2" s="143"/>
      <c r="G2" s="143"/>
      <c r="H2" s="143"/>
      <c r="I2" s="143"/>
      <c r="J2" s="143"/>
      <c r="K2" s="14"/>
      <c r="L2" s="15"/>
      <c r="M2" s="15"/>
      <c r="N2" s="15"/>
      <c r="O2" s="15"/>
      <c r="P2" s="15"/>
      <c r="Q2" s="15"/>
      <c r="R2" s="15"/>
      <c r="S2" s="15"/>
      <c r="T2" s="15"/>
      <c r="U2" s="15"/>
      <c r="V2" s="15"/>
      <c r="W2" s="15"/>
      <c r="X2" s="15"/>
      <c r="Y2" s="15"/>
      <c r="Z2" s="15"/>
      <c r="AA2" s="15"/>
      <c r="AB2" s="15"/>
      <c r="AC2" s="15"/>
      <c r="AD2" s="15"/>
      <c r="AE2" s="15"/>
      <c r="AF2" s="16"/>
      <c r="AG2" s="10"/>
      <c r="AN2" s="11"/>
      <c r="AO2" s="144"/>
      <c r="AP2" s="144"/>
      <c r="AQ2" s="144"/>
      <c r="AR2" s="144"/>
      <c r="AS2" s="144"/>
      <c r="AT2" s="144"/>
      <c r="AU2" s="144"/>
      <c r="AV2" s="144"/>
      <c r="AW2" s="144"/>
      <c r="AX2" s="144"/>
      <c r="AY2" s="144"/>
      <c r="AZ2" s="144"/>
      <c r="BA2" s="144"/>
      <c r="BB2" s="144"/>
      <c r="BC2" s="144"/>
      <c r="BD2" s="144"/>
      <c r="BE2" s="144"/>
      <c r="BF2" s="144"/>
      <c r="BG2" s="144"/>
      <c r="BH2" s="144"/>
      <c r="BI2" s="144"/>
      <c r="BJ2" s="144"/>
    </row>
    <row r="3" ht="15.0" customHeight="1">
      <c r="A3" s="142"/>
      <c r="B3" s="143"/>
      <c r="C3" s="143"/>
      <c r="D3" s="143"/>
      <c r="E3" s="143"/>
      <c r="F3" s="143"/>
      <c r="G3" s="143"/>
      <c r="H3" s="143"/>
      <c r="I3" s="143"/>
      <c r="J3" s="143"/>
      <c r="K3" s="66" t="s">
        <v>120</v>
      </c>
      <c r="L3" s="2"/>
      <c r="M3" s="2"/>
      <c r="N3" s="2"/>
      <c r="O3" s="2"/>
      <c r="P3" s="2"/>
      <c r="Q3" s="2"/>
      <c r="R3" s="2"/>
      <c r="S3" s="2"/>
      <c r="T3" s="2"/>
      <c r="U3" s="2"/>
      <c r="V3" s="2"/>
      <c r="W3" s="2"/>
      <c r="X3" s="2"/>
      <c r="Y3" s="2"/>
      <c r="Z3" s="2"/>
      <c r="AA3" s="2"/>
      <c r="AB3" s="2"/>
      <c r="AC3" s="2"/>
      <c r="AD3" s="2"/>
      <c r="AE3" s="2"/>
      <c r="AF3" s="3"/>
      <c r="AG3" s="10"/>
      <c r="AN3" s="11"/>
      <c r="AO3" s="144"/>
      <c r="AP3" s="144"/>
      <c r="AQ3" s="144"/>
      <c r="AR3" s="144"/>
      <c r="AS3" s="144"/>
      <c r="AT3" s="144"/>
      <c r="AU3" s="144"/>
      <c r="AV3" s="144"/>
      <c r="AW3" s="144"/>
      <c r="AX3" s="144"/>
      <c r="AY3" s="144"/>
      <c r="AZ3" s="144"/>
      <c r="BA3" s="144"/>
      <c r="BB3" s="144"/>
      <c r="BC3" s="144"/>
      <c r="BD3" s="144"/>
      <c r="BE3" s="144"/>
      <c r="BF3" s="144"/>
      <c r="BG3" s="144"/>
      <c r="BH3" s="144"/>
      <c r="BI3" s="144"/>
      <c r="BJ3" s="144"/>
    </row>
    <row r="4" ht="15.0" customHeight="1">
      <c r="A4" s="142"/>
      <c r="B4" s="143"/>
      <c r="C4" s="143"/>
      <c r="D4" s="143"/>
      <c r="E4" s="143"/>
      <c r="F4" s="143"/>
      <c r="G4" s="143"/>
      <c r="H4" s="143"/>
      <c r="I4" s="143"/>
      <c r="J4" s="143"/>
      <c r="K4" s="10"/>
      <c r="AF4" s="11"/>
      <c r="AG4" s="10"/>
      <c r="AN4" s="11"/>
      <c r="AO4" s="144"/>
      <c r="AP4" s="144"/>
      <c r="AQ4" s="144"/>
      <c r="AR4" s="144"/>
      <c r="AS4" s="144"/>
      <c r="AT4" s="144"/>
      <c r="AU4" s="144"/>
      <c r="AV4" s="144"/>
      <c r="AW4" s="144"/>
      <c r="AX4" s="144"/>
      <c r="AY4" s="144"/>
      <c r="AZ4" s="144"/>
      <c r="BA4" s="144"/>
      <c r="BB4" s="144"/>
      <c r="BC4" s="144"/>
      <c r="BD4" s="144"/>
      <c r="BE4" s="144"/>
      <c r="BF4" s="144"/>
      <c r="BG4" s="144"/>
      <c r="BH4" s="144"/>
      <c r="BI4" s="144"/>
      <c r="BJ4" s="144"/>
    </row>
    <row r="5" ht="7.5" customHeight="1">
      <c r="A5" s="145"/>
      <c r="B5" s="146"/>
      <c r="C5" s="146"/>
      <c r="D5" s="146"/>
      <c r="E5" s="146"/>
      <c r="F5" s="146"/>
      <c r="G5" s="146"/>
      <c r="H5" s="146"/>
      <c r="I5" s="146"/>
      <c r="J5" s="146"/>
      <c r="K5" s="14"/>
      <c r="L5" s="15"/>
      <c r="M5" s="15"/>
      <c r="N5" s="15"/>
      <c r="O5" s="15"/>
      <c r="P5" s="15"/>
      <c r="Q5" s="15"/>
      <c r="R5" s="15"/>
      <c r="S5" s="15"/>
      <c r="T5" s="15"/>
      <c r="U5" s="15"/>
      <c r="V5" s="15"/>
      <c r="W5" s="15"/>
      <c r="X5" s="15"/>
      <c r="Y5" s="15"/>
      <c r="Z5" s="15"/>
      <c r="AA5" s="15"/>
      <c r="AB5" s="15"/>
      <c r="AC5" s="15"/>
      <c r="AD5" s="15"/>
      <c r="AE5" s="15"/>
      <c r="AF5" s="16"/>
      <c r="AG5" s="14"/>
      <c r="AH5" s="15"/>
      <c r="AI5" s="15"/>
      <c r="AJ5" s="15"/>
      <c r="AK5" s="15"/>
      <c r="AL5" s="15"/>
      <c r="AM5" s="15"/>
      <c r="AN5" s="16"/>
      <c r="AO5" s="144"/>
      <c r="AP5" s="144"/>
      <c r="AQ5" s="144"/>
      <c r="AR5" s="144"/>
      <c r="AS5" s="144"/>
      <c r="AT5" s="144"/>
      <c r="AU5" s="144"/>
      <c r="AV5" s="144"/>
      <c r="AW5" s="144"/>
      <c r="AX5" s="144"/>
      <c r="AY5" s="144"/>
      <c r="AZ5" s="144"/>
      <c r="BA5" s="144"/>
      <c r="BB5" s="144"/>
      <c r="BC5" s="144"/>
      <c r="BD5" s="144"/>
      <c r="BE5" s="144"/>
      <c r="BF5" s="144"/>
      <c r="BG5" s="144"/>
      <c r="BH5" s="144"/>
      <c r="BI5" s="144"/>
      <c r="BJ5" s="144"/>
    </row>
    <row r="6" ht="19.5" customHeight="1">
      <c r="A6" s="67" t="s">
        <v>8</v>
      </c>
      <c r="B6" s="5"/>
      <c r="C6" s="5"/>
      <c r="D6" s="5"/>
      <c r="E6" s="5"/>
      <c r="F6" s="6"/>
      <c r="G6" s="67" t="s">
        <v>9</v>
      </c>
      <c r="H6" s="5"/>
      <c r="I6" s="5"/>
      <c r="J6" s="5"/>
      <c r="K6" s="5"/>
      <c r="L6" s="5"/>
      <c r="M6" s="5"/>
      <c r="N6" s="5"/>
      <c r="O6" s="6"/>
      <c r="P6" s="71" t="s">
        <v>3</v>
      </c>
      <c r="Q6" s="6"/>
      <c r="R6" s="67" t="s">
        <v>121</v>
      </c>
      <c r="S6" s="5"/>
      <c r="T6" s="5"/>
      <c r="U6" s="5"/>
      <c r="V6" s="5"/>
      <c r="W6" s="5"/>
      <c r="X6" s="5"/>
      <c r="Y6" s="5"/>
      <c r="Z6" s="6"/>
      <c r="AA6" s="67" t="s">
        <v>122</v>
      </c>
      <c r="AB6" s="5"/>
      <c r="AC6" s="5"/>
      <c r="AD6" s="5"/>
      <c r="AE6" s="6"/>
      <c r="AF6" s="67" t="s">
        <v>123</v>
      </c>
      <c r="AG6" s="5"/>
      <c r="AH6" s="5"/>
      <c r="AI6" s="5"/>
      <c r="AJ6" s="5"/>
      <c r="AK6" s="5"/>
      <c r="AL6" s="5"/>
      <c r="AM6" s="5"/>
      <c r="AN6" s="147"/>
      <c r="AO6" s="144"/>
      <c r="AP6" s="144"/>
      <c r="AQ6" s="144"/>
      <c r="AR6" s="144"/>
      <c r="AS6" s="144"/>
      <c r="AT6" s="144"/>
      <c r="AU6" s="144"/>
      <c r="AV6" s="144"/>
      <c r="AW6" s="144"/>
      <c r="AX6" s="144"/>
      <c r="AY6" s="144"/>
      <c r="AZ6" s="144"/>
      <c r="BA6" s="144"/>
      <c r="BB6" s="148"/>
      <c r="BC6" s="148"/>
      <c r="BD6" s="148"/>
      <c r="BE6" s="148"/>
      <c r="BF6" s="148"/>
      <c r="BG6" s="148"/>
      <c r="BH6" s="148"/>
      <c r="BI6" s="148"/>
      <c r="BJ6" s="148"/>
    </row>
    <row r="7" ht="24.0" customHeight="1">
      <c r="A7" s="68" t="s">
        <v>5</v>
      </c>
      <c r="B7" s="5"/>
      <c r="C7" s="5"/>
      <c r="D7" s="5"/>
      <c r="E7" s="5"/>
      <c r="F7" s="5"/>
      <c r="G7" s="5"/>
      <c r="H7" s="5"/>
      <c r="I7" s="6"/>
      <c r="J7" s="149"/>
      <c r="K7" s="5"/>
      <c r="L7" s="5"/>
      <c r="M7" s="5"/>
      <c r="N7" s="5"/>
      <c r="O7" s="5"/>
      <c r="P7" s="5"/>
      <c r="Q7" s="6"/>
      <c r="R7" s="68" t="s">
        <v>124</v>
      </c>
      <c r="S7" s="5"/>
      <c r="T7" s="5"/>
      <c r="U7" s="6"/>
      <c r="V7" s="70"/>
      <c r="W7" s="5"/>
      <c r="X7" s="5"/>
      <c r="Y7" s="5"/>
      <c r="Z7" s="5"/>
      <c r="AA7" s="6"/>
      <c r="AB7" s="77" t="s">
        <v>125</v>
      </c>
      <c r="AC7" s="5"/>
      <c r="AD7" s="6"/>
      <c r="AE7" s="150"/>
      <c r="AF7" s="67" t="s">
        <v>126</v>
      </c>
      <c r="AG7" s="5"/>
      <c r="AH7" s="5"/>
      <c r="AI7" s="71"/>
      <c r="AJ7" s="6"/>
      <c r="AK7" s="77" t="s">
        <v>127</v>
      </c>
      <c r="AL7" s="6"/>
      <c r="AM7" s="71"/>
      <c r="AN7" s="6"/>
      <c r="AO7" s="23"/>
      <c r="AP7" s="24"/>
      <c r="AQ7" s="24"/>
      <c r="AR7" s="24"/>
      <c r="AS7" s="24"/>
      <c r="AT7" s="25"/>
      <c r="AU7" s="20"/>
      <c r="AV7" s="20"/>
      <c r="AW7" s="26"/>
      <c r="AX7" s="20"/>
      <c r="AY7" s="20"/>
      <c r="AZ7" s="27"/>
      <c r="BA7" s="20"/>
      <c r="BB7" s="148"/>
      <c r="BC7" s="148"/>
      <c r="BD7" s="148"/>
      <c r="BE7" s="148"/>
      <c r="BF7" s="148"/>
      <c r="BG7" s="148"/>
      <c r="BH7" s="148"/>
      <c r="BI7" s="148"/>
      <c r="BJ7" s="148"/>
    </row>
    <row r="8" ht="27.0" customHeight="1">
      <c r="A8" s="72" t="s">
        <v>128</v>
      </c>
      <c r="B8" s="147"/>
      <c r="C8" s="147"/>
      <c r="D8" s="147"/>
      <c r="E8" s="147"/>
      <c r="F8" s="147"/>
      <c r="G8" s="150"/>
      <c r="H8" s="151" t="s">
        <v>129</v>
      </c>
      <c r="I8" s="152"/>
      <c r="J8" s="153" t="s">
        <v>130</v>
      </c>
      <c r="K8" s="154" t="s">
        <v>14</v>
      </c>
      <c r="L8" s="5"/>
      <c r="M8" s="5"/>
      <c r="N8" s="6"/>
      <c r="O8" s="155" t="s">
        <v>131</v>
      </c>
      <c r="P8" s="5"/>
      <c r="Q8" s="5"/>
      <c r="R8" s="5"/>
      <c r="S8" s="6"/>
      <c r="T8" s="155" t="s">
        <v>132</v>
      </c>
      <c r="U8" s="5"/>
      <c r="V8" s="5"/>
      <c r="W8" s="6"/>
      <c r="X8" s="71" t="s">
        <v>133</v>
      </c>
      <c r="Y8" s="5"/>
      <c r="Z8" s="5"/>
      <c r="AA8" s="6"/>
      <c r="AB8" s="71" t="s">
        <v>134</v>
      </c>
      <c r="AC8" s="5"/>
      <c r="AD8" s="5"/>
      <c r="AE8" s="6"/>
      <c r="AF8" s="71" t="s">
        <v>135</v>
      </c>
      <c r="AG8" s="5"/>
      <c r="AH8" s="5"/>
      <c r="AI8" s="6"/>
      <c r="AJ8" s="71" t="s">
        <v>136</v>
      </c>
      <c r="AK8" s="5"/>
      <c r="AL8" s="5"/>
      <c r="AM8" s="5"/>
      <c r="AN8" s="6"/>
      <c r="AO8" s="29"/>
      <c r="AT8" s="156"/>
      <c r="AU8" s="20"/>
      <c r="AV8" s="20"/>
      <c r="AW8" s="148"/>
      <c r="AZ8" s="148"/>
      <c r="BB8" s="148"/>
      <c r="BC8" s="148"/>
      <c r="BD8" s="148"/>
      <c r="BE8" s="148"/>
      <c r="BF8" s="148"/>
      <c r="BG8" s="148"/>
      <c r="BH8" s="148"/>
      <c r="BI8" s="148"/>
      <c r="BJ8" s="148"/>
    </row>
    <row r="9">
      <c r="A9" s="157" t="s">
        <v>71</v>
      </c>
      <c r="B9" s="2"/>
      <c r="C9" s="2"/>
      <c r="D9" s="2"/>
      <c r="E9" s="2"/>
      <c r="F9" s="2"/>
      <c r="G9" s="3"/>
      <c r="H9" s="158" t="s">
        <v>72</v>
      </c>
      <c r="I9" s="5"/>
      <c r="J9" s="5"/>
      <c r="K9" s="6"/>
      <c r="L9" s="158" t="s">
        <v>73</v>
      </c>
      <c r="M9" s="5"/>
      <c r="N9" s="5"/>
      <c r="O9" s="5"/>
      <c r="P9" s="6"/>
      <c r="Q9" s="158" t="s">
        <v>74</v>
      </c>
      <c r="R9" s="5"/>
      <c r="S9" s="5"/>
      <c r="T9" s="6"/>
      <c r="U9" s="75" t="s">
        <v>17</v>
      </c>
      <c r="V9" s="2"/>
      <c r="W9" s="2"/>
      <c r="X9" s="3"/>
      <c r="Y9" s="159"/>
      <c r="Z9" s="2"/>
      <c r="AA9" s="2"/>
      <c r="AB9" s="2"/>
      <c r="AC9" s="3"/>
      <c r="AD9" s="160" t="s">
        <v>137</v>
      </c>
      <c r="AE9" s="2"/>
      <c r="AF9" s="2"/>
      <c r="AG9" s="3"/>
      <c r="AH9" s="160"/>
      <c r="AI9" s="2"/>
      <c r="AJ9" s="2"/>
      <c r="AK9" s="2"/>
      <c r="AL9" s="2"/>
      <c r="AM9" s="2"/>
      <c r="AN9" s="3"/>
      <c r="AO9" s="141"/>
      <c r="AP9" s="141"/>
      <c r="AQ9" s="141"/>
      <c r="AR9" s="141"/>
      <c r="AS9" s="141"/>
      <c r="AT9" s="141"/>
      <c r="AU9" s="141"/>
      <c r="AV9" s="141"/>
      <c r="AW9" s="141"/>
      <c r="AX9" s="141"/>
      <c r="AY9" s="141"/>
      <c r="AZ9" s="141"/>
      <c r="BA9" s="141"/>
      <c r="BB9" s="141"/>
      <c r="BC9" s="141"/>
      <c r="BD9" s="141"/>
      <c r="BE9" s="141"/>
      <c r="BF9" s="141"/>
      <c r="BG9" s="141"/>
      <c r="BH9" s="141"/>
      <c r="BI9" s="141"/>
      <c r="BJ9" s="141"/>
    </row>
    <row r="10" ht="14.25" customHeight="1">
      <c r="A10" s="10"/>
      <c r="G10" s="11"/>
      <c r="H10" s="161"/>
      <c r="I10" s="2"/>
      <c r="J10" s="2"/>
      <c r="K10" s="3"/>
      <c r="L10" s="161"/>
      <c r="M10" s="2"/>
      <c r="N10" s="2"/>
      <c r="O10" s="2"/>
      <c r="P10" s="3"/>
      <c r="Q10" s="157" t="s">
        <v>130</v>
      </c>
      <c r="R10" s="2"/>
      <c r="S10" s="2"/>
      <c r="T10" s="3"/>
      <c r="U10" s="14"/>
      <c r="V10" s="15"/>
      <c r="W10" s="15"/>
      <c r="X10" s="16"/>
      <c r="Y10" s="14"/>
      <c r="Z10" s="15"/>
      <c r="AA10" s="15"/>
      <c r="AB10" s="15"/>
      <c r="AC10" s="16"/>
      <c r="AD10" s="14"/>
      <c r="AE10" s="15"/>
      <c r="AF10" s="15"/>
      <c r="AG10" s="16"/>
      <c r="AH10" s="14"/>
      <c r="AI10" s="15"/>
      <c r="AJ10" s="15"/>
      <c r="AK10" s="15"/>
      <c r="AL10" s="15"/>
      <c r="AM10" s="15"/>
      <c r="AN10" s="16"/>
      <c r="AO10" s="141"/>
      <c r="AP10" s="141"/>
      <c r="AQ10" s="141"/>
      <c r="AR10" s="141"/>
      <c r="AS10" s="141"/>
      <c r="AT10" s="141"/>
      <c r="AU10" s="141"/>
      <c r="AV10" s="141"/>
      <c r="AW10" s="141"/>
      <c r="AX10" s="141"/>
      <c r="AY10" s="141"/>
      <c r="AZ10" s="141"/>
      <c r="BA10" s="141"/>
      <c r="BB10" s="141"/>
      <c r="BC10" s="141"/>
      <c r="BD10" s="141"/>
      <c r="BE10" s="141"/>
      <c r="BF10" s="141"/>
      <c r="BG10" s="141"/>
      <c r="BH10" s="141"/>
      <c r="BI10" s="141"/>
      <c r="BJ10" s="141"/>
    </row>
    <row r="11" ht="27.75" customHeight="1">
      <c r="A11" s="14"/>
      <c r="B11" s="15"/>
      <c r="C11" s="15"/>
      <c r="D11" s="15"/>
      <c r="E11" s="15"/>
      <c r="F11" s="15"/>
      <c r="G11" s="16"/>
      <c r="H11" s="14"/>
      <c r="I11" s="15"/>
      <c r="J11" s="15"/>
      <c r="K11" s="16"/>
      <c r="L11" s="14"/>
      <c r="M11" s="15"/>
      <c r="N11" s="15"/>
      <c r="O11" s="15"/>
      <c r="P11" s="16"/>
      <c r="Q11" s="14"/>
      <c r="R11" s="15"/>
      <c r="S11" s="15"/>
      <c r="T11" s="16"/>
      <c r="U11" s="78" t="s">
        <v>19</v>
      </c>
      <c r="V11" s="5"/>
      <c r="W11" s="5"/>
      <c r="X11" s="6"/>
      <c r="Y11" s="162"/>
      <c r="Z11" s="5"/>
      <c r="AA11" s="5"/>
      <c r="AB11" s="5"/>
      <c r="AC11" s="6"/>
      <c r="AD11" s="162" t="s">
        <v>138</v>
      </c>
      <c r="AE11" s="5"/>
      <c r="AF11" s="5"/>
      <c r="AG11" s="6"/>
      <c r="AH11" s="163"/>
      <c r="AI11" s="5"/>
      <c r="AJ11" s="5"/>
      <c r="AK11" s="5"/>
      <c r="AL11" s="5"/>
      <c r="AM11" s="5"/>
      <c r="AN11" s="6"/>
      <c r="AO11" s="141"/>
      <c r="AP11" s="141"/>
      <c r="AQ11" s="141"/>
      <c r="AR11" s="141"/>
      <c r="AS11" s="141"/>
      <c r="AT11" s="141"/>
      <c r="AU11" s="141"/>
      <c r="AV11" s="141"/>
      <c r="AW11" s="141"/>
      <c r="AX11" s="141"/>
      <c r="AY11" s="141"/>
      <c r="AZ11" s="141"/>
      <c r="BA11" s="141"/>
      <c r="BB11" s="141"/>
      <c r="BC11" s="141"/>
      <c r="BD11" s="141"/>
      <c r="BE11" s="141"/>
      <c r="BF11" s="141"/>
      <c r="BG11" s="141"/>
      <c r="BH11" s="141"/>
      <c r="BI11" s="141"/>
      <c r="BJ11" s="141"/>
    </row>
    <row r="12" ht="23.25" customHeight="1">
      <c r="A12" s="164" t="s">
        <v>139</v>
      </c>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6"/>
      <c r="AK12" s="165" t="s">
        <v>36</v>
      </c>
      <c r="AL12" s="105"/>
      <c r="AM12" s="105"/>
      <c r="AN12" s="106"/>
      <c r="AO12" s="141"/>
      <c r="AP12" s="141"/>
      <c r="AQ12" s="141"/>
      <c r="AR12" s="141"/>
      <c r="AS12" s="141"/>
      <c r="AT12" s="141"/>
      <c r="AU12" s="141"/>
      <c r="AV12" s="141"/>
      <c r="AW12" s="141"/>
      <c r="AX12" s="141"/>
      <c r="AY12" s="141"/>
      <c r="AZ12" s="141"/>
      <c r="BA12" s="141"/>
      <c r="BB12" s="141"/>
      <c r="BC12" s="141"/>
      <c r="BD12" s="141"/>
      <c r="BE12" s="141"/>
      <c r="BF12" s="141"/>
      <c r="BG12" s="141"/>
      <c r="BH12" s="141"/>
      <c r="BI12" s="141"/>
      <c r="BJ12" s="141"/>
    </row>
    <row r="13">
      <c r="A13" s="81" t="s">
        <v>140</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6"/>
      <c r="AO13" s="166"/>
      <c r="AP13" s="38"/>
      <c r="AQ13" s="38"/>
      <c r="AR13" s="38"/>
      <c r="AS13" s="38"/>
      <c r="AT13" s="38"/>
      <c r="AU13" s="38"/>
      <c r="AV13" s="38"/>
      <c r="AW13" s="38"/>
      <c r="AX13" s="38"/>
      <c r="AY13" s="38"/>
      <c r="AZ13" s="38"/>
      <c r="BA13" s="38"/>
      <c r="BB13" s="38"/>
      <c r="BC13" s="38"/>
      <c r="BD13" s="38"/>
      <c r="BE13" s="38"/>
      <c r="BF13" s="38"/>
      <c r="BG13" s="38"/>
      <c r="BH13" s="38"/>
      <c r="BI13" s="38"/>
      <c r="BJ13" s="39"/>
    </row>
    <row r="14">
      <c r="A14" s="81" t="s">
        <v>141</v>
      </c>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6"/>
      <c r="AO14" s="166"/>
      <c r="AP14" s="38"/>
      <c r="AQ14" s="38"/>
      <c r="AR14" s="38"/>
      <c r="AS14" s="38"/>
      <c r="AT14" s="38"/>
      <c r="AU14" s="38"/>
      <c r="AV14" s="38"/>
      <c r="AW14" s="38"/>
      <c r="AX14" s="38"/>
      <c r="AY14" s="38"/>
      <c r="AZ14" s="38"/>
      <c r="BA14" s="38"/>
      <c r="BB14" s="38"/>
      <c r="BC14" s="38"/>
      <c r="BD14" s="38"/>
      <c r="BE14" s="38"/>
      <c r="BF14" s="38"/>
      <c r="BG14" s="38"/>
      <c r="BH14" s="38"/>
      <c r="BI14" s="38"/>
      <c r="BJ14" s="39"/>
    </row>
    <row r="15" ht="28.5" customHeight="1">
      <c r="A15" s="167">
        <v>1.0</v>
      </c>
      <c r="B15" s="168" t="s">
        <v>142</v>
      </c>
      <c r="C15" s="169"/>
      <c r="D15" s="169"/>
      <c r="E15" s="169"/>
      <c r="F15" s="169"/>
      <c r="G15" s="169"/>
      <c r="H15" s="169"/>
      <c r="I15" s="169"/>
      <c r="J15" s="169"/>
      <c r="K15" s="169"/>
      <c r="L15" s="169"/>
      <c r="M15" s="169"/>
      <c r="N15" s="169"/>
      <c r="O15" s="169"/>
      <c r="P15" s="169"/>
      <c r="Q15" s="169"/>
      <c r="R15" s="169"/>
      <c r="S15" s="169"/>
      <c r="T15" s="169"/>
      <c r="U15" s="169"/>
      <c r="V15" s="169"/>
      <c r="W15" s="169"/>
      <c r="X15" s="169"/>
      <c r="Y15" s="169"/>
      <c r="Z15" s="169"/>
      <c r="AA15" s="169"/>
      <c r="AB15" s="169"/>
      <c r="AC15" s="169"/>
      <c r="AD15" s="169"/>
      <c r="AE15" s="169"/>
      <c r="AF15" s="169"/>
      <c r="AG15" s="169"/>
      <c r="AH15" s="169"/>
      <c r="AI15" s="169"/>
      <c r="AJ15" s="170"/>
      <c r="AK15" s="171"/>
      <c r="AL15" s="109"/>
      <c r="AM15" s="109"/>
      <c r="AN15" s="110"/>
      <c r="AO15" s="141"/>
      <c r="AP15" s="141"/>
      <c r="AQ15" s="141"/>
      <c r="AR15" s="141"/>
      <c r="AS15" s="141"/>
      <c r="AT15" s="141"/>
      <c r="AU15" s="141"/>
      <c r="AV15" s="141"/>
      <c r="AW15" s="141"/>
      <c r="AX15" s="141"/>
      <c r="AY15" s="141"/>
      <c r="AZ15" s="141"/>
      <c r="BA15" s="141"/>
      <c r="BB15" s="141"/>
      <c r="BC15" s="141"/>
      <c r="BD15" s="141"/>
      <c r="BE15" s="141"/>
      <c r="BF15" s="141"/>
      <c r="BG15" s="141"/>
      <c r="BH15" s="141"/>
      <c r="BI15" s="141"/>
      <c r="BJ15" s="141"/>
    </row>
    <row r="16" ht="29.25" customHeight="1">
      <c r="A16" s="172">
        <v>2.0</v>
      </c>
      <c r="B16" s="173" t="s">
        <v>143</v>
      </c>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c r="AH16" s="38"/>
      <c r="AI16" s="38"/>
      <c r="AJ16" s="39"/>
      <c r="AK16" s="171"/>
      <c r="AL16" s="109"/>
      <c r="AM16" s="109"/>
      <c r="AN16" s="110"/>
      <c r="AO16" s="141"/>
      <c r="AP16" s="141"/>
      <c r="AQ16" s="141"/>
      <c r="AR16" s="141"/>
      <c r="AS16" s="141"/>
      <c r="AT16" s="141"/>
      <c r="AU16" s="141"/>
      <c r="AV16" s="141"/>
      <c r="AW16" s="141"/>
      <c r="AX16" s="141"/>
      <c r="AY16" s="141"/>
      <c r="AZ16" s="141"/>
      <c r="BA16" s="141"/>
      <c r="BB16" s="141"/>
      <c r="BC16" s="141"/>
      <c r="BD16" s="141"/>
      <c r="BE16" s="141"/>
      <c r="BF16" s="141"/>
      <c r="BG16" s="141"/>
      <c r="BH16" s="141"/>
      <c r="BI16" s="141"/>
      <c r="BJ16" s="141"/>
    </row>
    <row r="17" ht="29.25" customHeight="1">
      <c r="A17" s="172">
        <v>3.0</v>
      </c>
      <c r="B17" s="173" t="s">
        <v>144</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9"/>
      <c r="AK17" s="171"/>
      <c r="AL17" s="109"/>
      <c r="AM17" s="109"/>
      <c r="AN17" s="110"/>
      <c r="AO17" s="141"/>
      <c r="AP17" s="141"/>
      <c r="AQ17" s="141"/>
      <c r="AR17" s="141"/>
      <c r="AS17" s="141"/>
      <c r="AT17" s="141"/>
      <c r="AU17" s="141"/>
      <c r="AV17" s="141"/>
      <c r="AW17" s="141"/>
      <c r="AX17" s="141"/>
      <c r="AY17" s="141"/>
      <c r="AZ17" s="141"/>
      <c r="BA17" s="141"/>
      <c r="BB17" s="141"/>
      <c r="BC17" s="141"/>
      <c r="BD17" s="141"/>
      <c r="BE17" s="141"/>
      <c r="BF17" s="141"/>
      <c r="BG17" s="141"/>
      <c r="BH17" s="141"/>
      <c r="BI17" s="141"/>
      <c r="BJ17" s="141"/>
    </row>
    <row r="18" ht="30.75" customHeight="1">
      <c r="A18" s="172">
        <v>4.0</v>
      </c>
      <c r="B18" s="173" t="s">
        <v>145</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c r="AH18" s="38"/>
      <c r="AI18" s="38"/>
      <c r="AJ18" s="39"/>
      <c r="AK18" s="171"/>
      <c r="AL18" s="109"/>
      <c r="AM18" s="109"/>
      <c r="AN18" s="110"/>
      <c r="AO18" s="141"/>
      <c r="AP18" s="141"/>
      <c r="AQ18" s="141"/>
      <c r="AR18" s="141"/>
      <c r="AS18" s="141"/>
      <c r="AT18" s="141"/>
      <c r="AU18" s="141"/>
      <c r="AV18" s="141"/>
      <c r="AW18" s="141"/>
      <c r="AX18" s="141"/>
      <c r="AY18" s="141"/>
      <c r="AZ18" s="141"/>
      <c r="BA18" s="141"/>
      <c r="BB18" s="141"/>
      <c r="BC18" s="141"/>
      <c r="BD18" s="141"/>
      <c r="BE18" s="141"/>
      <c r="BF18" s="141"/>
      <c r="BG18" s="141"/>
      <c r="BH18" s="141"/>
      <c r="BI18" s="141"/>
      <c r="BJ18" s="141"/>
    </row>
    <row r="19" ht="28.5" customHeight="1">
      <c r="A19" s="174">
        <v>5.0</v>
      </c>
      <c r="B19" s="175" t="s">
        <v>146</v>
      </c>
      <c r="C19" s="83"/>
      <c r="D19" s="83"/>
      <c r="E19" s="83"/>
      <c r="F19" s="83"/>
      <c r="G19" s="83"/>
      <c r="H19" s="83"/>
      <c r="I19" s="83"/>
      <c r="J19" s="83"/>
      <c r="K19" s="83"/>
      <c r="L19" s="83"/>
      <c r="M19" s="83"/>
      <c r="N19" s="83"/>
      <c r="O19" s="83"/>
      <c r="P19" s="83"/>
      <c r="Q19" s="83"/>
      <c r="R19" s="83"/>
      <c r="S19" s="83"/>
      <c r="T19" s="83"/>
      <c r="U19" s="83"/>
      <c r="V19" s="83"/>
      <c r="W19" s="83"/>
      <c r="X19" s="83"/>
      <c r="Y19" s="83"/>
      <c r="Z19" s="83"/>
      <c r="AA19" s="83"/>
      <c r="AB19" s="83"/>
      <c r="AC19" s="83"/>
      <c r="AD19" s="83"/>
      <c r="AE19" s="83"/>
      <c r="AF19" s="83"/>
      <c r="AG19" s="83"/>
      <c r="AH19" s="83"/>
      <c r="AI19" s="83"/>
      <c r="AJ19" s="176"/>
      <c r="AK19" s="177"/>
      <c r="AN19" s="117"/>
      <c r="AO19" s="141"/>
      <c r="AP19" s="141"/>
      <c r="AQ19" s="141"/>
      <c r="AR19" s="141"/>
      <c r="AS19" s="141"/>
      <c r="AT19" s="141"/>
      <c r="AU19" s="141"/>
      <c r="AV19" s="141"/>
      <c r="AW19" s="141"/>
      <c r="AX19" s="141"/>
      <c r="AY19" s="141"/>
      <c r="AZ19" s="141"/>
      <c r="BA19" s="141"/>
      <c r="BB19" s="141"/>
      <c r="BC19" s="141"/>
      <c r="BD19" s="141"/>
      <c r="BE19" s="141"/>
      <c r="BF19" s="141"/>
      <c r="BG19" s="141"/>
      <c r="BH19" s="141"/>
      <c r="BI19" s="141"/>
      <c r="BJ19" s="141"/>
    </row>
    <row r="20" ht="44.25" customHeight="1">
      <c r="A20" s="178" t="s">
        <v>53</v>
      </c>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6"/>
      <c r="AO20" s="141"/>
      <c r="AP20" s="141"/>
      <c r="AQ20" s="141"/>
      <c r="AR20" s="141"/>
      <c r="AS20" s="141"/>
      <c r="AT20" s="141"/>
      <c r="AU20" s="141"/>
      <c r="AV20" s="141"/>
      <c r="AW20" s="141"/>
      <c r="AX20" s="141"/>
      <c r="AY20" s="141"/>
      <c r="AZ20" s="141"/>
      <c r="BA20" s="141"/>
      <c r="BB20" s="141"/>
      <c r="BC20" s="141"/>
      <c r="BD20" s="141"/>
      <c r="BE20" s="141"/>
      <c r="BF20" s="141"/>
      <c r="BG20" s="141"/>
      <c r="BH20" s="141"/>
      <c r="BI20" s="141"/>
      <c r="BJ20" s="141"/>
    </row>
    <row r="21" ht="30.75" customHeight="1">
      <c r="A21" s="67" t="s">
        <v>147</v>
      </c>
      <c r="B21" s="5"/>
      <c r="C21" s="5"/>
      <c r="D21" s="5"/>
      <c r="E21" s="5"/>
      <c r="F21" s="5"/>
      <c r="G21" s="5"/>
      <c r="H21" s="5"/>
      <c r="I21" s="5"/>
      <c r="J21" s="5"/>
      <c r="K21" s="5"/>
      <c r="L21" s="5"/>
      <c r="M21" s="5"/>
      <c r="N21" s="5"/>
      <c r="O21" s="5"/>
      <c r="P21" s="5"/>
      <c r="Q21" s="22"/>
      <c r="R21" s="5"/>
      <c r="S21" s="5"/>
      <c r="T21" s="6"/>
      <c r="U21" s="67" t="s">
        <v>148</v>
      </c>
      <c r="V21" s="5"/>
      <c r="W21" s="5"/>
      <c r="X21" s="5"/>
      <c r="Y21" s="5"/>
      <c r="Z21" s="5"/>
      <c r="AA21" s="5"/>
      <c r="AB21" s="5"/>
      <c r="AC21" s="5"/>
      <c r="AD21" s="5"/>
      <c r="AE21" s="5"/>
      <c r="AF21" s="5"/>
      <c r="AG21" s="5"/>
      <c r="AH21" s="5"/>
      <c r="AI21" s="5"/>
      <c r="AJ21" s="6"/>
      <c r="AK21" s="179"/>
      <c r="AL21" s="5"/>
      <c r="AM21" s="5"/>
      <c r="AN21" s="6"/>
      <c r="AO21" s="141"/>
      <c r="AP21" s="141"/>
      <c r="AQ21" s="141"/>
      <c r="AR21" s="141"/>
      <c r="AS21" s="141"/>
      <c r="AT21" s="141"/>
      <c r="AU21" s="141"/>
      <c r="AV21" s="141"/>
      <c r="AW21" s="141"/>
      <c r="AX21" s="141"/>
      <c r="AY21" s="141"/>
      <c r="AZ21" s="141"/>
      <c r="BA21" s="141"/>
      <c r="BB21" s="141"/>
      <c r="BC21" s="141"/>
      <c r="BD21" s="141"/>
      <c r="BE21" s="141"/>
      <c r="BF21" s="141"/>
      <c r="BG21" s="141"/>
      <c r="BH21" s="141"/>
      <c r="BI21" s="141"/>
      <c r="BJ21" s="141"/>
    </row>
    <row r="22" ht="15.75" customHeight="1">
      <c r="A22" s="180" t="s">
        <v>149</v>
      </c>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6"/>
      <c r="AO22" s="141"/>
      <c r="AP22" s="141"/>
      <c r="AQ22" s="141"/>
      <c r="AR22" s="141"/>
      <c r="AS22" s="141"/>
      <c r="AT22" s="141"/>
      <c r="AU22" s="141"/>
      <c r="AV22" s="141"/>
      <c r="AW22" s="141"/>
      <c r="AX22" s="141"/>
      <c r="AY22" s="141"/>
      <c r="AZ22" s="141"/>
      <c r="BA22" s="141"/>
      <c r="BB22" s="141"/>
      <c r="BC22" s="141"/>
      <c r="BD22" s="141"/>
      <c r="BE22" s="141"/>
      <c r="BF22" s="141"/>
      <c r="BG22" s="141"/>
      <c r="BH22" s="141"/>
      <c r="BI22" s="141"/>
      <c r="BJ22" s="141"/>
    </row>
    <row r="23" ht="15.75" customHeight="1">
      <c r="A23" s="180" t="s">
        <v>150</v>
      </c>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6"/>
      <c r="AO23" s="141"/>
      <c r="AP23" s="141"/>
      <c r="AQ23" s="141"/>
      <c r="AR23" s="141"/>
      <c r="AS23" s="141"/>
      <c r="AT23" s="141"/>
      <c r="AU23" s="141"/>
      <c r="AV23" s="141"/>
      <c r="AW23" s="141"/>
      <c r="AX23" s="141"/>
      <c r="AY23" s="141"/>
      <c r="AZ23" s="141"/>
      <c r="BA23" s="141"/>
      <c r="BB23" s="141"/>
      <c r="BC23" s="141"/>
      <c r="BD23" s="141"/>
      <c r="BE23" s="141"/>
      <c r="BF23" s="141"/>
      <c r="BG23" s="141"/>
      <c r="BH23" s="141"/>
      <c r="BI23" s="141"/>
      <c r="BJ23" s="141"/>
    </row>
    <row r="24" ht="28.5" customHeight="1">
      <c r="A24" s="167">
        <v>6.0</v>
      </c>
      <c r="B24" s="181" t="s">
        <v>151</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c r="AH24" s="109"/>
      <c r="AI24" s="109"/>
      <c r="AJ24" s="110"/>
      <c r="AK24" s="171"/>
      <c r="AL24" s="109"/>
      <c r="AM24" s="109"/>
      <c r="AN24" s="110"/>
      <c r="AO24" s="141"/>
      <c r="AP24" s="141"/>
      <c r="AQ24" s="141"/>
      <c r="AR24" s="141"/>
      <c r="AS24" s="141"/>
      <c r="AT24" s="141"/>
      <c r="AU24" s="141"/>
      <c r="AV24" s="141"/>
      <c r="AW24" s="141"/>
      <c r="AX24" s="141"/>
      <c r="AY24" s="141"/>
      <c r="AZ24" s="141"/>
      <c r="BA24" s="141"/>
      <c r="BB24" s="141"/>
      <c r="BC24" s="141"/>
      <c r="BD24" s="141"/>
      <c r="BE24" s="141"/>
      <c r="BF24" s="141"/>
      <c r="BG24" s="141"/>
      <c r="BH24" s="141"/>
      <c r="BI24" s="141"/>
      <c r="BJ24" s="141"/>
    </row>
    <row r="25" ht="42.0" customHeight="1">
      <c r="A25" s="172">
        <v>7.0</v>
      </c>
      <c r="B25" s="173" t="s">
        <v>152</v>
      </c>
      <c r="C25" s="38"/>
      <c r="D25" s="38"/>
      <c r="E25" s="38"/>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9"/>
      <c r="AK25" s="171"/>
      <c r="AL25" s="109"/>
      <c r="AM25" s="109"/>
      <c r="AN25" s="110"/>
      <c r="AO25" s="141"/>
      <c r="AP25" s="141"/>
      <c r="AQ25" s="141"/>
      <c r="AR25" s="141"/>
      <c r="AS25" s="141"/>
      <c r="AT25" s="141"/>
      <c r="AU25" s="141"/>
      <c r="AV25" s="141"/>
      <c r="AW25" s="141"/>
      <c r="AX25" s="141"/>
      <c r="AY25" s="141"/>
      <c r="AZ25" s="141"/>
      <c r="BA25" s="141"/>
      <c r="BB25" s="141"/>
      <c r="BC25" s="141"/>
      <c r="BD25" s="141"/>
      <c r="BE25" s="141"/>
      <c r="BF25" s="141"/>
      <c r="BG25" s="141"/>
      <c r="BH25" s="141"/>
      <c r="BI25" s="141"/>
      <c r="BJ25" s="141"/>
    </row>
    <row r="26" ht="28.5" customHeight="1">
      <c r="A26" s="172">
        <v>8.0</v>
      </c>
      <c r="B26" s="173" t="s">
        <v>153</v>
      </c>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9"/>
      <c r="AK26" s="171"/>
      <c r="AL26" s="109"/>
      <c r="AM26" s="109"/>
      <c r="AN26" s="110"/>
      <c r="AO26" s="141"/>
      <c r="AP26" s="141"/>
      <c r="AQ26" s="141"/>
      <c r="AR26" s="141"/>
      <c r="AS26" s="141"/>
      <c r="AT26" s="141"/>
      <c r="AU26" s="141"/>
      <c r="AV26" s="141"/>
      <c r="AW26" s="141"/>
      <c r="AX26" s="141"/>
      <c r="AY26" s="141"/>
      <c r="AZ26" s="141"/>
      <c r="BA26" s="141"/>
      <c r="BB26" s="141"/>
      <c r="BC26" s="141"/>
      <c r="BD26" s="141"/>
      <c r="BE26" s="141"/>
      <c r="BF26" s="141"/>
      <c r="BG26" s="141"/>
      <c r="BH26" s="141"/>
      <c r="BI26" s="141"/>
      <c r="BJ26" s="141"/>
    </row>
    <row r="27" ht="30.0" customHeight="1">
      <c r="A27" s="172">
        <v>9.0</v>
      </c>
      <c r="B27" s="173" t="s">
        <v>154</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9"/>
      <c r="AK27" s="171"/>
      <c r="AL27" s="109"/>
      <c r="AM27" s="109"/>
      <c r="AN27" s="110"/>
      <c r="AO27" s="141"/>
      <c r="AP27" s="141"/>
      <c r="AQ27" s="141"/>
      <c r="AR27" s="141"/>
      <c r="AS27" s="141"/>
      <c r="AT27" s="141"/>
      <c r="AU27" s="141"/>
      <c r="AV27" s="141"/>
      <c r="AW27" s="141"/>
      <c r="AX27" s="141"/>
      <c r="AY27" s="141"/>
      <c r="AZ27" s="141"/>
      <c r="BA27" s="141"/>
      <c r="BB27" s="141"/>
      <c r="BC27" s="141"/>
      <c r="BD27" s="141"/>
      <c r="BE27" s="141"/>
      <c r="BF27" s="141"/>
      <c r="BG27" s="141"/>
      <c r="BH27" s="141"/>
      <c r="BI27" s="141"/>
      <c r="BJ27" s="141"/>
    </row>
    <row r="28" ht="30.75" customHeight="1">
      <c r="A28" s="174">
        <v>10.0</v>
      </c>
      <c r="B28" s="175" t="s">
        <v>155</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c r="AF28" s="83"/>
      <c r="AG28" s="83"/>
      <c r="AH28" s="83"/>
      <c r="AI28" s="83"/>
      <c r="AJ28" s="176"/>
      <c r="AK28" s="177"/>
      <c r="AN28" s="117"/>
      <c r="AO28" s="141"/>
      <c r="AP28" s="141"/>
      <c r="AQ28" s="141"/>
      <c r="AR28" s="141"/>
      <c r="AS28" s="141"/>
      <c r="AT28" s="141"/>
      <c r="AU28" s="141"/>
      <c r="AV28" s="141"/>
      <c r="AW28" s="141"/>
      <c r="AX28" s="141"/>
      <c r="AY28" s="141"/>
      <c r="AZ28" s="141"/>
      <c r="BA28" s="141"/>
      <c r="BB28" s="141"/>
      <c r="BC28" s="141"/>
      <c r="BD28" s="141"/>
      <c r="BE28" s="141"/>
      <c r="BF28" s="141"/>
      <c r="BG28" s="141"/>
      <c r="BH28" s="141"/>
      <c r="BI28" s="141"/>
      <c r="BJ28" s="141"/>
    </row>
    <row r="29" ht="44.25" customHeight="1">
      <c r="A29" s="178" t="s">
        <v>53</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6"/>
      <c r="AO29" s="141"/>
      <c r="AP29" s="141"/>
      <c r="AQ29" s="141"/>
      <c r="AR29" s="141"/>
      <c r="AS29" s="141"/>
      <c r="AT29" s="141"/>
      <c r="AU29" s="141"/>
      <c r="AV29" s="141"/>
      <c r="AW29" s="141"/>
      <c r="AX29" s="141"/>
      <c r="AY29" s="141"/>
      <c r="AZ29" s="141"/>
      <c r="BA29" s="141"/>
      <c r="BB29" s="141"/>
      <c r="BC29" s="141"/>
      <c r="BD29" s="141"/>
      <c r="BE29" s="141"/>
      <c r="BF29" s="141"/>
      <c r="BG29" s="141"/>
      <c r="BH29" s="141"/>
      <c r="BI29" s="141"/>
      <c r="BJ29" s="141"/>
    </row>
    <row r="30" ht="15.75" customHeight="1">
      <c r="A30" s="81" t="s">
        <v>156</v>
      </c>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6"/>
      <c r="AO30" s="141"/>
      <c r="AP30" s="141"/>
      <c r="AQ30" s="141"/>
      <c r="AR30" s="141"/>
      <c r="AS30" s="141"/>
      <c r="AT30" s="141"/>
      <c r="AU30" s="141"/>
      <c r="AV30" s="141"/>
      <c r="AW30" s="141"/>
      <c r="AX30" s="141"/>
      <c r="AY30" s="141"/>
      <c r="AZ30" s="141"/>
      <c r="BA30" s="141"/>
      <c r="BB30" s="141"/>
      <c r="BC30" s="141"/>
      <c r="BD30" s="141"/>
      <c r="BE30" s="141"/>
      <c r="BF30" s="141"/>
      <c r="BG30" s="141"/>
      <c r="BH30" s="141"/>
      <c r="BI30" s="141"/>
      <c r="BJ30" s="141"/>
    </row>
    <row r="31" ht="26.25" customHeight="1">
      <c r="A31" s="167">
        <v>11.0</v>
      </c>
      <c r="B31" s="181" t="s">
        <v>157</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c r="AH31" s="109"/>
      <c r="AI31" s="109"/>
      <c r="AJ31" s="110"/>
      <c r="AK31" s="182"/>
      <c r="AL31" s="109"/>
      <c r="AM31" s="109"/>
      <c r="AN31" s="110"/>
      <c r="AO31" s="141"/>
      <c r="AP31" s="141"/>
      <c r="AQ31" s="141"/>
      <c r="AR31" s="141"/>
      <c r="AS31" s="141"/>
      <c r="AT31" s="141"/>
      <c r="AU31" s="141"/>
      <c r="AV31" s="141"/>
      <c r="AW31" s="141"/>
      <c r="AX31" s="141"/>
      <c r="AY31" s="141"/>
      <c r="AZ31" s="141"/>
      <c r="BA31" s="141"/>
      <c r="BB31" s="141"/>
      <c r="BC31" s="141"/>
      <c r="BD31" s="141"/>
      <c r="BE31" s="141"/>
      <c r="BF31" s="141"/>
      <c r="BG31" s="141"/>
      <c r="BH31" s="141"/>
      <c r="BI31" s="141"/>
      <c r="BJ31" s="141"/>
    </row>
    <row r="32" ht="44.25" customHeight="1">
      <c r="A32" s="174">
        <v>12.0</v>
      </c>
      <c r="B32" s="175" t="s">
        <v>158</v>
      </c>
      <c r="C32" s="83"/>
      <c r="D32" s="83"/>
      <c r="E32" s="83"/>
      <c r="F32" s="83"/>
      <c r="G32" s="83"/>
      <c r="H32" s="83"/>
      <c r="I32" s="83"/>
      <c r="J32" s="83"/>
      <c r="K32" s="83"/>
      <c r="L32" s="83"/>
      <c r="M32" s="83"/>
      <c r="N32" s="83"/>
      <c r="O32" s="83"/>
      <c r="P32" s="83"/>
      <c r="Q32" s="83"/>
      <c r="R32" s="83"/>
      <c r="S32" s="83"/>
      <c r="T32" s="83"/>
      <c r="U32" s="83"/>
      <c r="V32" s="83"/>
      <c r="W32" s="83"/>
      <c r="X32" s="83"/>
      <c r="Y32" s="83"/>
      <c r="Z32" s="83"/>
      <c r="AA32" s="83"/>
      <c r="AB32" s="83"/>
      <c r="AC32" s="83"/>
      <c r="AD32" s="83"/>
      <c r="AE32" s="83"/>
      <c r="AF32" s="83"/>
      <c r="AG32" s="83"/>
      <c r="AH32" s="83"/>
      <c r="AI32" s="83"/>
      <c r="AJ32" s="176"/>
      <c r="AK32" s="171"/>
      <c r="AL32" s="109"/>
      <c r="AM32" s="109"/>
      <c r="AN32" s="110"/>
      <c r="AO32" s="141"/>
      <c r="AP32" s="141"/>
      <c r="AQ32" s="141"/>
      <c r="AR32" s="141"/>
      <c r="AS32" s="141"/>
      <c r="AT32" s="141"/>
      <c r="AU32" s="141"/>
      <c r="AV32" s="141"/>
      <c r="AW32" s="141"/>
      <c r="AX32" s="141"/>
      <c r="AY32" s="141"/>
      <c r="AZ32" s="141"/>
      <c r="BA32" s="141"/>
      <c r="BB32" s="141"/>
      <c r="BC32" s="141"/>
      <c r="BD32" s="141"/>
      <c r="BE32" s="141"/>
      <c r="BF32" s="141"/>
      <c r="BG32" s="141"/>
      <c r="BH32" s="141"/>
      <c r="BI32" s="141"/>
      <c r="BJ32" s="141"/>
    </row>
    <row r="33" ht="15.75" customHeight="1">
      <c r="A33" s="81" t="s">
        <v>159</v>
      </c>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6"/>
      <c r="AO33" s="141"/>
      <c r="AP33" s="141"/>
      <c r="AQ33" s="141"/>
      <c r="AR33" s="141"/>
      <c r="AS33" s="141"/>
      <c r="AT33" s="141"/>
      <c r="AU33" s="141"/>
      <c r="AV33" s="141"/>
      <c r="AW33" s="141"/>
      <c r="AX33" s="141"/>
      <c r="AY33" s="141"/>
      <c r="AZ33" s="141"/>
      <c r="BA33" s="141"/>
      <c r="BB33" s="141"/>
      <c r="BC33" s="141"/>
      <c r="BD33" s="141"/>
      <c r="BE33" s="141"/>
      <c r="BF33" s="141"/>
      <c r="BG33" s="141"/>
      <c r="BH33" s="141"/>
      <c r="BI33" s="141"/>
      <c r="BJ33" s="141"/>
    </row>
    <row r="34" ht="26.25" customHeight="1">
      <c r="A34" s="167">
        <v>13.0</v>
      </c>
      <c r="B34" s="181" t="s">
        <v>160</v>
      </c>
      <c r="C34" s="109"/>
      <c r="D34" s="109"/>
      <c r="E34" s="109"/>
      <c r="F34" s="109"/>
      <c r="G34" s="109"/>
      <c r="H34" s="109"/>
      <c r="I34" s="109"/>
      <c r="J34" s="109"/>
      <c r="K34" s="109"/>
      <c r="L34" s="109"/>
      <c r="M34" s="109"/>
      <c r="N34" s="109"/>
      <c r="O34" s="109"/>
      <c r="P34" s="109"/>
      <c r="Q34" s="109"/>
      <c r="R34" s="109"/>
      <c r="S34" s="109"/>
      <c r="T34" s="109"/>
      <c r="U34" s="109"/>
      <c r="V34" s="109"/>
      <c r="W34" s="109"/>
      <c r="X34" s="109"/>
      <c r="Y34" s="109"/>
      <c r="Z34" s="109"/>
      <c r="AA34" s="109"/>
      <c r="AB34" s="109"/>
      <c r="AC34" s="109"/>
      <c r="AD34" s="109"/>
      <c r="AE34" s="109"/>
      <c r="AF34" s="109"/>
      <c r="AG34" s="109"/>
      <c r="AH34" s="109"/>
      <c r="AI34" s="109"/>
      <c r="AJ34" s="110"/>
      <c r="AK34" s="171"/>
      <c r="AL34" s="109"/>
      <c r="AM34" s="109"/>
      <c r="AN34" s="110"/>
      <c r="AO34" s="141"/>
      <c r="AP34" s="141"/>
      <c r="AQ34" s="141"/>
      <c r="AR34" s="141"/>
      <c r="AS34" s="141"/>
      <c r="AT34" s="141"/>
      <c r="AU34" s="141"/>
      <c r="AV34" s="141"/>
      <c r="AW34" s="141"/>
      <c r="AX34" s="141"/>
      <c r="AY34" s="141"/>
      <c r="AZ34" s="141"/>
      <c r="BA34" s="141"/>
      <c r="BB34" s="141"/>
      <c r="BC34" s="141"/>
      <c r="BD34" s="141"/>
      <c r="BE34" s="141"/>
      <c r="BF34" s="141"/>
      <c r="BG34" s="141"/>
      <c r="BH34" s="141"/>
      <c r="BI34" s="141"/>
      <c r="BJ34" s="141"/>
    </row>
    <row r="35" ht="27.0" customHeight="1">
      <c r="A35" s="172">
        <v>14.0</v>
      </c>
      <c r="B35" s="173" t="s">
        <v>161</v>
      </c>
      <c r="C35" s="38"/>
      <c r="D35" s="38"/>
      <c r="E35" s="38"/>
      <c r="F35" s="38"/>
      <c r="G35" s="38"/>
      <c r="H35" s="38"/>
      <c r="I35" s="38"/>
      <c r="J35" s="38"/>
      <c r="K35" s="38"/>
      <c r="L35" s="38"/>
      <c r="M35" s="38"/>
      <c r="N35" s="38"/>
      <c r="O35" s="38"/>
      <c r="P35" s="38"/>
      <c r="Q35" s="38"/>
      <c r="R35" s="38"/>
      <c r="S35" s="38"/>
      <c r="T35" s="38"/>
      <c r="U35" s="38"/>
      <c r="V35" s="38"/>
      <c r="W35" s="38"/>
      <c r="X35" s="38"/>
      <c r="Y35" s="38"/>
      <c r="Z35" s="38"/>
      <c r="AA35" s="38"/>
      <c r="AB35" s="38"/>
      <c r="AC35" s="38"/>
      <c r="AD35" s="38"/>
      <c r="AE35" s="38"/>
      <c r="AF35" s="38"/>
      <c r="AG35" s="38"/>
      <c r="AH35" s="38"/>
      <c r="AI35" s="38"/>
      <c r="AJ35" s="39"/>
      <c r="AK35" s="171"/>
      <c r="AL35" s="109"/>
      <c r="AM35" s="109"/>
      <c r="AN35" s="110"/>
      <c r="AO35" s="141"/>
      <c r="AP35" s="141"/>
      <c r="AQ35" s="141"/>
      <c r="AR35" s="141"/>
      <c r="AS35" s="141"/>
      <c r="AT35" s="141"/>
      <c r="AU35" s="141"/>
      <c r="AV35" s="141"/>
      <c r="AW35" s="141"/>
      <c r="AX35" s="141"/>
      <c r="AY35" s="141"/>
      <c r="AZ35" s="141"/>
      <c r="BA35" s="141"/>
      <c r="BB35" s="141"/>
      <c r="BC35" s="141"/>
      <c r="BD35" s="141"/>
      <c r="BE35" s="141"/>
      <c r="BF35" s="141"/>
      <c r="BG35" s="141"/>
      <c r="BH35" s="141"/>
      <c r="BI35" s="141"/>
      <c r="BJ35" s="141"/>
    </row>
    <row r="36" ht="27.0" customHeight="1">
      <c r="A36" s="172">
        <v>15.0</v>
      </c>
      <c r="B36" s="173" t="s">
        <v>162</v>
      </c>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c r="AH36" s="38"/>
      <c r="AI36" s="38"/>
      <c r="AJ36" s="39"/>
      <c r="AK36" s="171"/>
      <c r="AL36" s="109"/>
      <c r="AM36" s="109"/>
      <c r="AN36" s="110"/>
      <c r="AO36" s="141"/>
      <c r="AP36" s="141"/>
      <c r="AQ36" s="141"/>
      <c r="AR36" s="141"/>
      <c r="AS36" s="141"/>
      <c r="AT36" s="141"/>
      <c r="AU36" s="141"/>
      <c r="AV36" s="141"/>
      <c r="AW36" s="141"/>
      <c r="AX36" s="141"/>
      <c r="AY36" s="141"/>
      <c r="AZ36" s="141"/>
      <c r="BA36" s="141"/>
      <c r="BB36" s="141"/>
      <c r="BC36" s="141"/>
      <c r="BD36" s="141"/>
      <c r="BE36" s="141"/>
      <c r="BF36" s="141"/>
      <c r="BG36" s="141"/>
      <c r="BH36" s="141"/>
      <c r="BI36" s="141"/>
      <c r="BJ36" s="141"/>
    </row>
    <row r="37" ht="30.75" customHeight="1">
      <c r="A37" s="172">
        <v>16.0</v>
      </c>
      <c r="B37" s="173" t="s">
        <v>163</v>
      </c>
      <c r="C37" s="38"/>
      <c r="D37" s="38"/>
      <c r="E37" s="38"/>
      <c r="F37" s="38"/>
      <c r="G37" s="38"/>
      <c r="H37" s="38"/>
      <c r="I37" s="38"/>
      <c r="J37" s="38"/>
      <c r="K37" s="38"/>
      <c r="L37" s="38"/>
      <c r="M37" s="38"/>
      <c r="N37" s="38"/>
      <c r="O37" s="38"/>
      <c r="P37" s="38"/>
      <c r="Q37" s="38"/>
      <c r="R37" s="38"/>
      <c r="S37" s="38"/>
      <c r="T37" s="38"/>
      <c r="U37" s="38"/>
      <c r="V37" s="38"/>
      <c r="W37" s="38"/>
      <c r="X37" s="38"/>
      <c r="Y37" s="38"/>
      <c r="Z37" s="38"/>
      <c r="AA37" s="38"/>
      <c r="AB37" s="38"/>
      <c r="AC37" s="38"/>
      <c r="AD37" s="38"/>
      <c r="AE37" s="38"/>
      <c r="AF37" s="38"/>
      <c r="AG37" s="38"/>
      <c r="AH37" s="38"/>
      <c r="AI37" s="38"/>
      <c r="AJ37" s="39"/>
      <c r="AK37" s="171"/>
      <c r="AL37" s="109"/>
      <c r="AM37" s="109"/>
      <c r="AN37" s="110"/>
      <c r="AO37" s="141"/>
      <c r="AP37" s="141"/>
      <c r="AQ37" s="141"/>
      <c r="AR37" s="141"/>
      <c r="AS37" s="141"/>
      <c r="AT37" s="141"/>
      <c r="AU37" s="141"/>
      <c r="AV37" s="141"/>
      <c r="AW37" s="141"/>
      <c r="AX37" s="141"/>
      <c r="AY37" s="141"/>
      <c r="AZ37" s="141"/>
      <c r="BA37" s="141"/>
      <c r="BB37" s="141"/>
      <c r="BC37" s="141"/>
      <c r="BD37" s="141"/>
      <c r="BE37" s="141"/>
      <c r="BF37" s="141"/>
      <c r="BG37" s="141"/>
      <c r="BH37" s="141"/>
      <c r="BI37" s="141"/>
      <c r="BJ37" s="141"/>
    </row>
    <row r="38" ht="30.75" customHeight="1">
      <c r="A38" s="174">
        <v>17.0</v>
      </c>
      <c r="B38" s="175" t="s">
        <v>164</v>
      </c>
      <c r="C38" s="83"/>
      <c r="D38" s="83"/>
      <c r="E38" s="83"/>
      <c r="F38" s="83"/>
      <c r="G38" s="83"/>
      <c r="H38" s="83"/>
      <c r="I38" s="83"/>
      <c r="J38" s="83"/>
      <c r="K38" s="83"/>
      <c r="L38" s="83"/>
      <c r="M38" s="83"/>
      <c r="N38" s="83"/>
      <c r="O38" s="83"/>
      <c r="P38" s="83"/>
      <c r="Q38" s="83"/>
      <c r="R38" s="83"/>
      <c r="S38" s="83"/>
      <c r="T38" s="83"/>
      <c r="U38" s="83"/>
      <c r="V38" s="83"/>
      <c r="W38" s="83"/>
      <c r="X38" s="83"/>
      <c r="Y38" s="83"/>
      <c r="Z38" s="83"/>
      <c r="AA38" s="83"/>
      <c r="AB38" s="83"/>
      <c r="AC38" s="83"/>
      <c r="AD38" s="83"/>
      <c r="AE38" s="83"/>
      <c r="AF38" s="83"/>
      <c r="AG38" s="83"/>
      <c r="AH38" s="83"/>
      <c r="AI38" s="83"/>
      <c r="AJ38" s="176"/>
      <c r="AK38" s="171"/>
      <c r="AL38" s="109"/>
      <c r="AM38" s="109"/>
      <c r="AN38" s="110"/>
      <c r="AO38" s="141"/>
      <c r="AP38" s="141"/>
      <c r="AQ38" s="141"/>
      <c r="AR38" s="141"/>
      <c r="AS38" s="141"/>
      <c r="AT38" s="141"/>
      <c r="AU38" s="141"/>
      <c r="AV38" s="141"/>
      <c r="AW38" s="141"/>
      <c r="AX38" s="141"/>
      <c r="AY38" s="141"/>
      <c r="AZ38" s="141"/>
      <c r="BA38" s="141"/>
      <c r="BB38" s="141"/>
      <c r="BC38" s="141"/>
      <c r="BD38" s="141"/>
      <c r="BE38" s="141"/>
      <c r="BF38" s="141"/>
      <c r="BG38" s="141"/>
      <c r="BH38" s="141"/>
      <c r="BI38" s="141"/>
      <c r="BJ38" s="141"/>
    </row>
    <row r="39" ht="44.25" customHeight="1">
      <c r="A39" s="178" t="s">
        <v>53</v>
      </c>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6"/>
      <c r="AO39" s="141"/>
      <c r="AP39" s="141"/>
      <c r="AQ39" s="141"/>
      <c r="AR39" s="141"/>
      <c r="AS39" s="141"/>
      <c r="AT39" s="141"/>
      <c r="AU39" s="141"/>
      <c r="AV39" s="141"/>
      <c r="AW39" s="141"/>
      <c r="AX39" s="141"/>
      <c r="AY39" s="141"/>
      <c r="AZ39" s="141"/>
      <c r="BA39" s="141"/>
      <c r="BB39" s="141"/>
      <c r="BC39" s="141"/>
      <c r="BD39" s="141"/>
      <c r="BE39" s="141"/>
      <c r="BF39" s="141"/>
      <c r="BG39" s="141"/>
      <c r="BH39" s="141"/>
      <c r="BI39" s="141"/>
      <c r="BJ39" s="141"/>
    </row>
    <row r="40" ht="15.75" customHeight="1">
      <c r="A40" s="81" t="s">
        <v>165</v>
      </c>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6"/>
      <c r="AO40" s="141"/>
      <c r="AP40" s="141"/>
      <c r="AQ40" s="141"/>
      <c r="AR40" s="141"/>
      <c r="AS40" s="141"/>
      <c r="AT40" s="141"/>
      <c r="AU40" s="141"/>
      <c r="AV40" s="141"/>
      <c r="AW40" s="141"/>
      <c r="AX40" s="141"/>
      <c r="AY40" s="141"/>
      <c r="AZ40" s="141"/>
      <c r="BA40" s="141"/>
      <c r="BB40" s="141"/>
      <c r="BC40" s="141"/>
      <c r="BD40" s="141"/>
      <c r="BE40" s="141"/>
      <c r="BF40" s="141"/>
      <c r="BG40" s="141"/>
      <c r="BH40" s="141"/>
      <c r="BI40" s="141"/>
      <c r="BJ40" s="141"/>
    </row>
    <row r="41" ht="26.25" customHeight="1">
      <c r="A41" s="183">
        <v>18.0</v>
      </c>
      <c r="B41" s="181" t="s">
        <v>166</v>
      </c>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109"/>
      <c r="AH41" s="109"/>
      <c r="AI41" s="109"/>
      <c r="AJ41" s="110"/>
      <c r="AK41" s="177"/>
      <c r="AN41" s="117"/>
      <c r="AO41" s="141"/>
      <c r="AP41" s="141"/>
      <c r="AQ41" s="141"/>
      <c r="AR41" s="141"/>
      <c r="AS41" s="141"/>
      <c r="AT41" s="141"/>
      <c r="AU41" s="141"/>
      <c r="AV41" s="141"/>
      <c r="AW41" s="141"/>
      <c r="AX41" s="141"/>
      <c r="AY41" s="141"/>
      <c r="AZ41" s="141"/>
      <c r="BA41" s="141"/>
      <c r="BB41" s="141"/>
      <c r="BC41" s="141"/>
      <c r="BD41" s="141"/>
      <c r="BE41" s="141"/>
      <c r="BF41" s="141"/>
      <c r="BG41" s="141"/>
      <c r="BH41" s="141"/>
      <c r="BI41" s="141"/>
      <c r="BJ41" s="141"/>
    </row>
    <row r="42" ht="26.25" customHeight="1">
      <c r="A42" s="184">
        <v>19.0</v>
      </c>
      <c r="B42" s="185" t="s">
        <v>167</v>
      </c>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186"/>
      <c r="AL42" s="2"/>
      <c r="AM42" s="2"/>
      <c r="AN42" s="3"/>
      <c r="AO42" s="141"/>
      <c r="AP42" s="141"/>
      <c r="AQ42" s="141"/>
      <c r="AR42" s="141"/>
      <c r="AS42" s="141"/>
      <c r="AT42" s="141"/>
      <c r="AU42" s="141"/>
      <c r="AV42" s="141"/>
      <c r="AW42" s="141"/>
      <c r="AX42" s="141"/>
      <c r="AY42" s="141"/>
      <c r="AZ42" s="141"/>
      <c r="BA42" s="141"/>
      <c r="BB42" s="141"/>
      <c r="BC42" s="141"/>
      <c r="BD42" s="141"/>
      <c r="BE42" s="141"/>
      <c r="BF42" s="141"/>
      <c r="BG42" s="141"/>
      <c r="BH42" s="141"/>
      <c r="BI42" s="141"/>
      <c r="BJ42" s="141"/>
    </row>
    <row r="43" ht="13.5" customHeight="1">
      <c r="A43" s="187"/>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4"/>
      <c r="AL43" s="15"/>
      <c r="AM43" s="15"/>
      <c r="AN43" s="16"/>
      <c r="AO43" s="141"/>
      <c r="AP43" s="141"/>
      <c r="AQ43" s="141"/>
      <c r="AR43" s="141"/>
      <c r="AS43" s="141"/>
      <c r="AT43" s="141"/>
      <c r="AU43" s="141"/>
      <c r="AV43" s="141"/>
      <c r="AW43" s="141"/>
      <c r="AX43" s="141"/>
      <c r="AY43" s="141"/>
      <c r="AZ43" s="141"/>
      <c r="BA43" s="141"/>
      <c r="BB43" s="141"/>
      <c r="BC43" s="141"/>
      <c r="BD43" s="141"/>
      <c r="BE43" s="141"/>
      <c r="BF43" s="141"/>
      <c r="BG43" s="141"/>
      <c r="BH43" s="141"/>
      <c r="BI43" s="141"/>
      <c r="BJ43" s="141"/>
    </row>
    <row r="44" ht="44.25" customHeight="1">
      <c r="A44" s="178" t="s">
        <v>53</v>
      </c>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6"/>
      <c r="AO44" s="141"/>
      <c r="AP44" s="141"/>
      <c r="AQ44" s="141"/>
      <c r="AR44" s="141"/>
      <c r="AS44" s="141"/>
      <c r="AT44" s="141"/>
      <c r="AU44" s="141"/>
      <c r="AV44" s="141"/>
      <c r="AW44" s="141"/>
      <c r="AX44" s="141"/>
      <c r="AY44" s="141"/>
      <c r="AZ44" s="141"/>
      <c r="BA44" s="141"/>
      <c r="BB44" s="141"/>
      <c r="BC44" s="141"/>
      <c r="BD44" s="141"/>
      <c r="BE44" s="141"/>
      <c r="BF44" s="141"/>
      <c r="BG44" s="141"/>
      <c r="BH44" s="141"/>
      <c r="BI44" s="141"/>
      <c r="BJ44" s="141"/>
    </row>
    <row r="45" ht="30.75" customHeight="1">
      <c r="A45" s="67" t="s">
        <v>147</v>
      </c>
      <c r="B45" s="5"/>
      <c r="C45" s="5"/>
      <c r="D45" s="5"/>
      <c r="E45" s="5"/>
      <c r="F45" s="5"/>
      <c r="G45" s="5"/>
      <c r="H45" s="5"/>
      <c r="I45" s="5"/>
      <c r="J45" s="5"/>
      <c r="K45" s="5"/>
      <c r="L45" s="5"/>
      <c r="M45" s="5"/>
      <c r="N45" s="5"/>
      <c r="O45" s="5"/>
      <c r="P45" s="5"/>
      <c r="Q45" s="22"/>
      <c r="R45" s="5"/>
      <c r="S45" s="5"/>
      <c r="T45" s="6"/>
      <c r="U45" s="67" t="s">
        <v>148</v>
      </c>
      <c r="V45" s="5"/>
      <c r="W45" s="5"/>
      <c r="X45" s="5"/>
      <c r="Y45" s="5"/>
      <c r="Z45" s="5"/>
      <c r="AA45" s="5"/>
      <c r="AB45" s="5"/>
      <c r="AC45" s="5"/>
      <c r="AD45" s="5"/>
      <c r="AE45" s="5"/>
      <c r="AF45" s="5"/>
      <c r="AG45" s="5"/>
      <c r="AH45" s="5"/>
      <c r="AI45" s="5"/>
      <c r="AJ45" s="6"/>
      <c r="AK45" s="179"/>
      <c r="AL45" s="5"/>
      <c r="AM45" s="5"/>
      <c r="AN45" s="6"/>
      <c r="AO45" s="141"/>
      <c r="AP45" s="141"/>
      <c r="AQ45" s="141"/>
      <c r="AR45" s="141"/>
      <c r="AS45" s="141"/>
      <c r="AT45" s="141"/>
      <c r="AU45" s="141"/>
      <c r="AV45" s="141"/>
      <c r="AW45" s="141"/>
      <c r="AX45" s="141"/>
      <c r="AY45" s="141"/>
      <c r="AZ45" s="141"/>
      <c r="BA45" s="141"/>
      <c r="BB45" s="141"/>
      <c r="BC45" s="141"/>
      <c r="BD45" s="141"/>
      <c r="BE45" s="141"/>
      <c r="BF45" s="141"/>
      <c r="BG45" s="141"/>
      <c r="BH45" s="141"/>
      <c r="BI45" s="141"/>
      <c r="BJ45" s="141"/>
    </row>
    <row r="46" ht="15.75" customHeight="1">
      <c r="A46" s="81" t="s">
        <v>168</v>
      </c>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6"/>
      <c r="AO46" s="141"/>
      <c r="AP46" s="141"/>
      <c r="AQ46" s="141"/>
      <c r="AR46" s="141"/>
      <c r="AS46" s="141"/>
      <c r="AT46" s="141"/>
      <c r="AU46" s="141"/>
      <c r="AV46" s="141"/>
      <c r="AW46" s="141"/>
      <c r="AX46" s="141"/>
      <c r="AY46" s="141"/>
      <c r="AZ46" s="141"/>
      <c r="BA46" s="141"/>
      <c r="BB46" s="141"/>
      <c r="BC46" s="141"/>
      <c r="BD46" s="141"/>
      <c r="BE46" s="141"/>
      <c r="BF46" s="141"/>
      <c r="BG46" s="141"/>
      <c r="BH46" s="141"/>
      <c r="BI46" s="141"/>
      <c r="BJ46" s="141"/>
    </row>
    <row r="47" ht="21.75" customHeight="1">
      <c r="A47" s="167">
        <v>20.0</v>
      </c>
      <c r="B47" s="181" t="s">
        <v>169</v>
      </c>
      <c r="C47" s="109"/>
      <c r="D47" s="109"/>
      <c r="E47" s="109"/>
      <c r="F47" s="109"/>
      <c r="G47" s="109"/>
      <c r="H47" s="109"/>
      <c r="I47" s="109"/>
      <c r="J47" s="109"/>
      <c r="K47" s="109"/>
      <c r="L47" s="109"/>
      <c r="M47" s="109"/>
      <c r="N47" s="109"/>
      <c r="O47" s="109"/>
      <c r="P47" s="109"/>
      <c r="Q47" s="109"/>
      <c r="R47" s="109"/>
      <c r="S47" s="109"/>
      <c r="T47" s="109"/>
      <c r="U47" s="109"/>
      <c r="V47" s="109"/>
      <c r="W47" s="109"/>
      <c r="X47" s="109"/>
      <c r="Y47" s="109"/>
      <c r="Z47" s="109"/>
      <c r="AA47" s="109"/>
      <c r="AB47" s="109"/>
      <c r="AC47" s="109"/>
      <c r="AD47" s="109"/>
      <c r="AE47" s="109"/>
      <c r="AF47" s="109"/>
      <c r="AG47" s="109"/>
      <c r="AH47" s="109"/>
      <c r="AI47" s="109"/>
      <c r="AJ47" s="110"/>
      <c r="AK47" s="182"/>
      <c r="AL47" s="109"/>
      <c r="AM47" s="109"/>
      <c r="AN47" s="110"/>
      <c r="AO47" s="141"/>
      <c r="AP47" s="141"/>
      <c r="AQ47" s="141"/>
      <c r="AR47" s="141"/>
      <c r="AS47" s="141"/>
      <c r="AT47" s="141"/>
      <c r="AU47" s="141"/>
      <c r="AV47" s="141"/>
      <c r="AW47" s="141"/>
      <c r="AX47" s="141"/>
      <c r="AY47" s="141"/>
      <c r="AZ47" s="141"/>
      <c r="BA47" s="141"/>
      <c r="BB47" s="141"/>
      <c r="BC47" s="141"/>
      <c r="BD47" s="141"/>
      <c r="BE47" s="141"/>
      <c r="BF47" s="141"/>
      <c r="BG47" s="141"/>
      <c r="BH47" s="141"/>
      <c r="BI47" s="141"/>
      <c r="BJ47" s="141"/>
    </row>
    <row r="48" ht="21.75" customHeight="1">
      <c r="A48" s="172">
        <v>21.0</v>
      </c>
      <c r="B48" s="173" t="s">
        <v>170</v>
      </c>
      <c r="C48" s="38"/>
      <c r="D48" s="38"/>
      <c r="E48" s="38"/>
      <c r="F48" s="38"/>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9"/>
      <c r="AK48" s="171"/>
      <c r="AL48" s="109"/>
      <c r="AM48" s="109"/>
      <c r="AN48" s="110"/>
      <c r="AO48" s="141"/>
      <c r="AP48" s="141"/>
      <c r="AQ48" s="141"/>
      <c r="AR48" s="141"/>
      <c r="AS48" s="141"/>
      <c r="AT48" s="141"/>
      <c r="AU48" s="141"/>
      <c r="AV48" s="141"/>
      <c r="AW48" s="141"/>
      <c r="AX48" s="141"/>
      <c r="AY48" s="141"/>
      <c r="AZ48" s="141"/>
      <c r="BA48" s="141"/>
      <c r="BB48" s="141"/>
      <c r="BC48" s="141"/>
      <c r="BD48" s="141"/>
      <c r="BE48" s="141"/>
      <c r="BF48" s="141"/>
      <c r="BG48" s="141"/>
      <c r="BH48" s="141"/>
      <c r="BI48" s="141"/>
      <c r="BJ48" s="141"/>
    </row>
    <row r="49" ht="35.25" customHeight="1">
      <c r="A49" s="174">
        <v>22.0</v>
      </c>
      <c r="B49" s="175" t="s">
        <v>171</v>
      </c>
      <c r="C49" s="83"/>
      <c r="D49" s="83"/>
      <c r="E49" s="83"/>
      <c r="F49" s="83"/>
      <c r="G49" s="83"/>
      <c r="H49" s="83"/>
      <c r="I49" s="83"/>
      <c r="J49" s="83"/>
      <c r="K49" s="83"/>
      <c r="L49" s="83"/>
      <c r="M49" s="83"/>
      <c r="N49" s="83"/>
      <c r="O49" s="83"/>
      <c r="P49" s="83"/>
      <c r="Q49" s="83"/>
      <c r="R49" s="83"/>
      <c r="S49" s="83"/>
      <c r="T49" s="83"/>
      <c r="U49" s="83"/>
      <c r="V49" s="83"/>
      <c r="W49" s="83"/>
      <c r="X49" s="83"/>
      <c r="Y49" s="83"/>
      <c r="Z49" s="83"/>
      <c r="AA49" s="83"/>
      <c r="AB49" s="83"/>
      <c r="AC49" s="83"/>
      <c r="AD49" s="83"/>
      <c r="AE49" s="83"/>
      <c r="AF49" s="83"/>
      <c r="AG49" s="83"/>
      <c r="AH49" s="83"/>
      <c r="AI49" s="83"/>
      <c r="AJ49" s="176"/>
      <c r="AK49" s="177"/>
      <c r="AN49" s="117"/>
      <c r="AO49" s="141"/>
      <c r="AP49" s="141"/>
      <c r="AQ49" s="141"/>
      <c r="AR49" s="141"/>
      <c r="AS49" s="141"/>
      <c r="AT49" s="141"/>
      <c r="AU49" s="141"/>
      <c r="AV49" s="141"/>
      <c r="AW49" s="141"/>
      <c r="AX49" s="141"/>
      <c r="AY49" s="141"/>
      <c r="AZ49" s="141"/>
      <c r="BA49" s="141"/>
      <c r="BB49" s="141"/>
      <c r="BC49" s="141"/>
      <c r="BD49" s="141"/>
      <c r="BE49" s="141"/>
      <c r="BF49" s="141"/>
      <c r="BG49" s="141"/>
      <c r="BH49" s="141"/>
      <c r="BI49" s="141"/>
      <c r="BJ49" s="141"/>
    </row>
    <row r="50" ht="44.25" customHeight="1">
      <c r="A50" s="178" t="s">
        <v>53</v>
      </c>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6"/>
      <c r="AO50" s="141"/>
      <c r="AP50" s="141"/>
      <c r="AQ50" s="141"/>
      <c r="AR50" s="141"/>
      <c r="AS50" s="141"/>
      <c r="AT50" s="141"/>
      <c r="AU50" s="141"/>
      <c r="AV50" s="141"/>
      <c r="AW50" s="141"/>
      <c r="AX50" s="141"/>
      <c r="AY50" s="141"/>
      <c r="AZ50" s="141"/>
      <c r="BA50" s="141"/>
      <c r="BB50" s="141"/>
      <c r="BC50" s="141"/>
      <c r="BD50" s="141"/>
      <c r="BE50" s="141"/>
      <c r="BF50" s="141"/>
      <c r="BG50" s="141"/>
      <c r="BH50" s="141"/>
      <c r="BI50" s="141"/>
      <c r="BJ50" s="141"/>
    </row>
    <row r="51" ht="35.25" customHeight="1">
      <c r="A51" s="67" t="s">
        <v>147</v>
      </c>
      <c r="B51" s="5"/>
      <c r="C51" s="5"/>
      <c r="D51" s="5"/>
      <c r="E51" s="5"/>
      <c r="F51" s="5"/>
      <c r="G51" s="5"/>
      <c r="H51" s="5"/>
      <c r="I51" s="5"/>
      <c r="J51" s="5"/>
      <c r="K51" s="5"/>
      <c r="L51" s="5"/>
      <c r="M51" s="5"/>
      <c r="N51" s="5"/>
      <c r="O51" s="5"/>
      <c r="P51" s="5"/>
      <c r="Q51" s="22"/>
      <c r="R51" s="5"/>
      <c r="S51" s="5"/>
      <c r="T51" s="6"/>
      <c r="U51" s="67" t="s">
        <v>148</v>
      </c>
      <c r="V51" s="5"/>
      <c r="W51" s="5"/>
      <c r="X51" s="5"/>
      <c r="Y51" s="5"/>
      <c r="Z51" s="5"/>
      <c r="AA51" s="5"/>
      <c r="AB51" s="5"/>
      <c r="AC51" s="5"/>
      <c r="AD51" s="5"/>
      <c r="AE51" s="5"/>
      <c r="AF51" s="5"/>
      <c r="AG51" s="5"/>
      <c r="AH51" s="5"/>
      <c r="AI51" s="5"/>
      <c r="AJ51" s="6"/>
      <c r="AK51" s="179"/>
      <c r="AL51" s="5"/>
      <c r="AM51" s="5"/>
      <c r="AN51" s="6"/>
      <c r="AO51" s="141"/>
      <c r="AP51" s="141"/>
      <c r="AQ51" s="141"/>
      <c r="AR51" s="141"/>
      <c r="AS51" s="141"/>
      <c r="AT51" s="141"/>
      <c r="AU51" s="141"/>
      <c r="AV51" s="141"/>
      <c r="AW51" s="141"/>
      <c r="AX51" s="141"/>
      <c r="AY51" s="141"/>
      <c r="AZ51" s="141"/>
      <c r="BA51" s="141"/>
      <c r="BB51" s="141"/>
      <c r="BC51" s="141"/>
      <c r="BD51" s="141"/>
      <c r="BE51" s="141"/>
      <c r="BF51" s="141"/>
      <c r="BG51" s="141"/>
      <c r="BH51" s="141"/>
      <c r="BI51" s="141"/>
      <c r="BJ51" s="141"/>
    </row>
    <row r="52" ht="15.75" customHeight="1">
      <c r="A52" s="81" t="s">
        <v>172</v>
      </c>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6"/>
      <c r="AO52" s="141"/>
      <c r="AP52" s="141"/>
      <c r="AQ52" s="141"/>
      <c r="AR52" s="141"/>
      <c r="AS52" s="141"/>
      <c r="AT52" s="141"/>
      <c r="AU52" s="141"/>
      <c r="AV52" s="141"/>
      <c r="AW52" s="141"/>
      <c r="AX52" s="141"/>
      <c r="AY52" s="141"/>
      <c r="AZ52" s="141"/>
      <c r="BA52" s="141"/>
      <c r="BB52" s="141"/>
      <c r="BC52" s="141"/>
      <c r="BD52" s="141"/>
      <c r="BE52" s="141"/>
      <c r="BF52" s="141"/>
      <c r="BG52" s="141"/>
      <c r="BH52" s="141"/>
      <c r="BI52" s="141"/>
      <c r="BJ52" s="141"/>
    </row>
    <row r="53" ht="30.0" customHeight="1">
      <c r="A53" s="167">
        <v>23.0</v>
      </c>
      <c r="B53" s="181" t="s">
        <v>173</v>
      </c>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c r="AH53" s="109"/>
      <c r="AI53" s="109"/>
      <c r="AJ53" s="110"/>
      <c r="AK53" s="171"/>
      <c r="AL53" s="109"/>
      <c r="AM53" s="109"/>
      <c r="AN53" s="110"/>
      <c r="AO53" s="141"/>
      <c r="AP53" s="141"/>
      <c r="AQ53" s="141"/>
      <c r="AR53" s="141"/>
      <c r="AS53" s="141"/>
      <c r="AT53" s="141"/>
      <c r="AU53" s="141"/>
      <c r="AV53" s="141"/>
      <c r="AW53" s="141"/>
      <c r="AX53" s="141"/>
      <c r="AY53" s="141"/>
      <c r="AZ53" s="141"/>
      <c r="BA53" s="141"/>
      <c r="BB53" s="141"/>
      <c r="BC53" s="141"/>
      <c r="BD53" s="141"/>
      <c r="BE53" s="141"/>
      <c r="BF53" s="141"/>
      <c r="BG53" s="141"/>
      <c r="BH53" s="141"/>
      <c r="BI53" s="141"/>
      <c r="BJ53" s="141"/>
    </row>
    <row r="54" ht="30.0" customHeight="1">
      <c r="A54" s="172">
        <v>24.0</v>
      </c>
      <c r="B54" s="173" t="s">
        <v>174</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c r="AH54" s="38"/>
      <c r="AI54" s="38"/>
      <c r="AJ54" s="39"/>
      <c r="AK54" s="171"/>
      <c r="AL54" s="109"/>
      <c r="AM54" s="109"/>
      <c r="AN54" s="110"/>
      <c r="AO54" s="141"/>
      <c r="AP54" s="141"/>
      <c r="AQ54" s="141"/>
      <c r="AR54" s="141"/>
      <c r="AS54" s="141"/>
      <c r="AT54" s="141"/>
      <c r="AU54" s="141"/>
      <c r="AV54" s="141"/>
      <c r="AW54" s="141"/>
      <c r="AX54" s="141"/>
      <c r="AY54" s="141"/>
      <c r="AZ54" s="141"/>
      <c r="BA54" s="141"/>
      <c r="BB54" s="141"/>
      <c r="BC54" s="141"/>
      <c r="BD54" s="141"/>
      <c r="BE54" s="141"/>
      <c r="BF54" s="141"/>
      <c r="BG54" s="141"/>
      <c r="BH54" s="141"/>
      <c r="BI54" s="141"/>
      <c r="BJ54" s="141"/>
    </row>
    <row r="55" ht="30.0" customHeight="1">
      <c r="A55" s="172">
        <v>25.0</v>
      </c>
      <c r="B55" s="173" t="s">
        <v>175</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c r="AH55" s="38"/>
      <c r="AI55" s="38"/>
      <c r="AJ55" s="39"/>
      <c r="AK55" s="171"/>
      <c r="AL55" s="109"/>
      <c r="AM55" s="109"/>
      <c r="AN55" s="110"/>
      <c r="AO55" s="141"/>
      <c r="AP55" s="141"/>
      <c r="AQ55" s="141"/>
      <c r="AR55" s="141"/>
      <c r="AS55" s="141"/>
      <c r="AT55" s="141"/>
      <c r="AU55" s="141"/>
      <c r="AV55" s="141"/>
      <c r="AW55" s="141"/>
      <c r="AX55" s="141"/>
      <c r="AY55" s="141"/>
      <c r="AZ55" s="141"/>
      <c r="BA55" s="141"/>
      <c r="BB55" s="141"/>
      <c r="BC55" s="141"/>
      <c r="BD55" s="141"/>
      <c r="BE55" s="141"/>
      <c r="BF55" s="141"/>
      <c r="BG55" s="141"/>
      <c r="BH55" s="141"/>
      <c r="BI55" s="141"/>
      <c r="BJ55" s="141"/>
    </row>
    <row r="56" ht="30.0" customHeight="1">
      <c r="A56" s="172">
        <v>26.0</v>
      </c>
      <c r="B56" s="173" t="s">
        <v>176</v>
      </c>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9"/>
      <c r="AK56" s="171"/>
      <c r="AL56" s="109"/>
      <c r="AM56" s="109"/>
      <c r="AN56" s="110"/>
      <c r="AO56" s="141"/>
      <c r="AP56" s="141"/>
      <c r="AQ56" s="141"/>
      <c r="AR56" s="141"/>
      <c r="AS56" s="141"/>
      <c r="AT56" s="141"/>
      <c r="AU56" s="141"/>
      <c r="AV56" s="141"/>
      <c r="AW56" s="141"/>
      <c r="AX56" s="141"/>
      <c r="AY56" s="141"/>
      <c r="AZ56" s="141"/>
      <c r="BA56" s="141"/>
      <c r="BB56" s="141"/>
      <c r="BC56" s="141"/>
      <c r="BD56" s="141"/>
      <c r="BE56" s="141"/>
      <c r="BF56" s="141"/>
      <c r="BG56" s="141"/>
      <c r="BH56" s="141"/>
      <c r="BI56" s="141"/>
      <c r="BJ56" s="141"/>
    </row>
    <row r="57" ht="30.0" customHeight="1">
      <c r="A57" s="172">
        <v>27.0</v>
      </c>
      <c r="B57" s="173" t="s">
        <v>177</v>
      </c>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9"/>
      <c r="AK57" s="171"/>
      <c r="AL57" s="109"/>
      <c r="AM57" s="109"/>
      <c r="AN57" s="110"/>
      <c r="AO57" s="141"/>
      <c r="AP57" s="141"/>
      <c r="AQ57" s="141"/>
      <c r="AR57" s="141"/>
      <c r="AS57" s="141"/>
      <c r="AT57" s="141"/>
      <c r="AU57" s="141"/>
      <c r="AV57" s="141"/>
      <c r="AW57" s="141"/>
      <c r="AX57" s="141"/>
      <c r="AY57" s="141"/>
      <c r="AZ57" s="141"/>
      <c r="BA57" s="141"/>
      <c r="BB57" s="141"/>
      <c r="BC57" s="141"/>
      <c r="BD57" s="141"/>
      <c r="BE57" s="141"/>
      <c r="BF57" s="141"/>
      <c r="BG57" s="141"/>
      <c r="BH57" s="141"/>
      <c r="BI57" s="141"/>
      <c r="BJ57" s="141"/>
    </row>
    <row r="58" ht="30.0" customHeight="1">
      <c r="A58" s="172">
        <v>28.0</v>
      </c>
      <c r="B58" s="173" t="s">
        <v>178</v>
      </c>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38"/>
      <c r="AH58" s="38"/>
      <c r="AI58" s="38"/>
      <c r="AJ58" s="39"/>
      <c r="AK58" s="171"/>
      <c r="AL58" s="109"/>
      <c r="AM58" s="109"/>
      <c r="AN58" s="110"/>
      <c r="AO58" s="141"/>
      <c r="AP58" s="141"/>
      <c r="AQ58" s="141"/>
      <c r="AR58" s="141"/>
      <c r="AS58" s="141"/>
      <c r="AT58" s="141"/>
      <c r="AU58" s="141"/>
      <c r="AV58" s="141"/>
      <c r="AW58" s="141"/>
      <c r="AX58" s="141"/>
      <c r="AY58" s="141"/>
      <c r="AZ58" s="141"/>
      <c r="BA58" s="141"/>
      <c r="BB58" s="141"/>
      <c r="BC58" s="141"/>
      <c r="BD58" s="141"/>
      <c r="BE58" s="141"/>
      <c r="BF58" s="141"/>
      <c r="BG58" s="141"/>
      <c r="BH58" s="141"/>
      <c r="BI58" s="141"/>
      <c r="BJ58" s="141"/>
    </row>
    <row r="59" ht="44.25" customHeight="1">
      <c r="A59" s="178" t="s">
        <v>53</v>
      </c>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6"/>
      <c r="AO59" s="141"/>
      <c r="AP59" s="141"/>
      <c r="AQ59" s="141"/>
      <c r="AR59" s="141"/>
      <c r="AS59" s="141"/>
      <c r="AT59" s="141"/>
      <c r="AU59" s="141"/>
      <c r="AV59" s="141"/>
      <c r="AW59" s="141"/>
      <c r="AX59" s="141"/>
      <c r="AY59" s="141"/>
      <c r="AZ59" s="141"/>
      <c r="BA59" s="141"/>
      <c r="BB59" s="141"/>
      <c r="BC59" s="141"/>
      <c r="BD59" s="141"/>
      <c r="BE59" s="141"/>
      <c r="BF59" s="141"/>
      <c r="BG59" s="141"/>
      <c r="BH59" s="141"/>
      <c r="BI59" s="141"/>
      <c r="BJ59" s="141"/>
    </row>
    <row r="60" ht="15.75" customHeight="1">
      <c r="A60" s="67" t="s">
        <v>147</v>
      </c>
      <c r="B60" s="5"/>
      <c r="C60" s="5"/>
      <c r="D60" s="5"/>
      <c r="E60" s="5"/>
      <c r="F60" s="5"/>
      <c r="G60" s="5"/>
      <c r="H60" s="5"/>
      <c r="I60" s="5"/>
      <c r="J60" s="5"/>
      <c r="K60" s="5"/>
      <c r="L60" s="5"/>
      <c r="M60" s="5"/>
      <c r="N60" s="5"/>
      <c r="O60" s="5"/>
      <c r="P60" s="5"/>
      <c r="Q60" s="22"/>
      <c r="R60" s="5"/>
      <c r="S60" s="5"/>
      <c r="T60" s="6"/>
      <c r="U60" s="67" t="s">
        <v>148</v>
      </c>
      <c r="V60" s="5"/>
      <c r="W60" s="5"/>
      <c r="X60" s="5"/>
      <c r="Y60" s="5"/>
      <c r="Z60" s="5"/>
      <c r="AA60" s="5"/>
      <c r="AB60" s="5"/>
      <c r="AC60" s="5"/>
      <c r="AD60" s="5"/>
      <c r="AE60" s="5"/>
      <c r="AF60" s="5"/>
      <c r="AG60" s="5"/>
      <c r="AH60" s="5"/>
      <c r="AI60" s="5"/>
      <c r="AJ60" s="6"/>
      <c r="AK60" s="179"/>
      <c r="AL60" s="5"/>
      <c r="AM60" s="5"/>
      <c r="AN60" s="6"/>
      <c r="AO60" s="141"/>
      <c r="AP60" s="141"/>
      <c r="AQ60" s="141"/>
      <c r="AR60" s="141"/>
      <c r="AS60" s="141"/>
      <c r="AT60" s="141"/>
      <c r="AU60" s="141"/>
      <c r="AV60" s="141"/>
      <c r="AW60" s="141"/>
      <c r="AX60" s="141"/>
      <c r="AY60" s="141"/>
      <c r="AZ60" s="141"/>
      <c r="BA60" s="141"/>
      <c r="BB60" s="141"/>
      <c r="BC60" s="141"/>
      <c r="BD60" s="141"/>
      <c r="BE60" s="141"/>
      <c r="BF60" s="141"/>
      <c r="BG60" s="141"/>
      <c r="BH60" s="141"/>
      <c r="BI60" s="141"/>
      <c r="BJ60" s="141"/>
    </row>
    <row r="61" ht="27.0" customHeight="1">
      <c r="A61" s="188" t="s">
        <v>179</v>
      </c>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9"/>
      <c r="AO61" s="141"/>
      <c r="AP61" s="141"/>
      <c r="AQ61" s="141"/>
      <c r="AR61" s="141"/>
      <c r="AS61" s="141"/>
      <c r="AT61" s="141"/>
      <c r="AU61" s="141"/>
      <c r="AV61" s="141"/>
      <c r="AW61" s="141"/>
      <c r="AX61" s="141"/>
      <c r="AY61" s="141"/>
      <c r="AZ61" s="141"/>
      <c r="BA61" s="141"/>
      <c r="BB61" s="141"/>
      <c r="BC61" s="141"/>
      <c r="BD61" s="141"/>
      <c r="BE61" s="141"/>
      <c r="BF61" s="141"/>
      <c r="BG61" s="141"/>
      <c r="BH61" s="141"/>
      <c r="BI61" s="141"/>
      <c r="BJ61" s="141"/>
    </row>
    <row r="62" ht="27.0" customHeight="1">
      <c r="A62" s="172">
        <v>29.0</v>
      </c>
      <c r="B62" s="173" t="s">
        <v>180</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c r="AH62" s="38"/>
      <c r="AI62" s="38"/>
      <c r="AJ62" s="39"/>
      <c r="AK62" s="171"/>
      <c r="AL62" s="109"/>
      <c r="AM62" s="109"/>
      <c r="AN62" s="110"/>
      <c r="AO62" s="141"/>
      <c r="AP62" s="141"/>
      <c r="AQ62" s="141"/>
      <c r="AR62" s="141"/>
      <c r="AS62" s="141"/>
      <c r="AT62" s="141"/>
      <c r="AU62" s="141"/>
      <c r="AV62" s="141"/>
      <c r="AW62" s="141"/>
      <c r="AX62" s="141"/>
      <c r="AY62" s="141"/>
      <c r="AZ62" s="141"/>
      <c r="BA62" s="141"/>
      <c r="BB62" s="141"/>
      <c r="BC62" s="141"/>
      <c r="BD62" s="141"/>
      <c r="BE62" s="141"/>
      <c r="BF62" s="141"/>
      <c r="BG62" s="141"/>
      <c r="BH62" s="141"/>
      <c r="BI62" s="141"/>
      <c r="BJ62" s="141"/>
    </row>
    <row r="63" ht="27.0" customHeight="1">
      <c r="A63" s="172">
        <v>30.0</v>
      </c>
      <c r="B63" s="173" t="s">
        <v>181</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c r="AH63" s="38"/>
      <c r="AI63" s="38"/>
      <c r="AJ63" s="39"/>
      <c r="AK63" s="171"/>
      <c r="AL63" s="109"/>
      <c r="AM63" s="109"/>
      <c r="AN63" s="110"/>
      <c r="AO63" s="141"/>
      <c r="AP63" s="141"/>
      <c r="AQ63" s="141"/>
      <c r="AR63" s="141"/>
      <c r="AS63" s="141"/>
      <c r="AT63" s="141"/>
      <c r="AU63" s="141"/>
      <c r="AV63" s="141"/>
      <c r="AW63" s="141"/>
      <c r="AX63" s="141"/>
      <c r="AY63" s="141"/>
      <c r="AZ63" s="141"/>
      <c r="BA63" s="141"/>
      <c r="BB63" s="141"/>
      <c r="BC63" s="141"/>
      <c r="BD63" s="141"/>
      <c r="BE63" s="141"/>
      <c r="BF63" s="141"/>
      <c r="BG63" s="141"/>
      <c r="BH63" s="141"/>
      <c r="BI63" s="141"/>
      <c r="BJ63" s="141"/>
    </row>
    <row r="64" ht="27.0" customHeight="1">
      <c r="A64" s="172">
        <v>31.0</v>
      </c>
      <c r="B64" s="173" t="s">
        <v>182</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c r="AH64" s="38"/>
      <c r="AI64" s="38"/>
      <c r="AJ64" s="39"/>
      <c r="AK64" s="189"/>
      <c r="AL64" s="38"/>
      <c r="AM64" s="38"/>
      <c r="AN64" s="39"/>
      <c r="AO64" s="141"/>
      <c r="AP64" s="141"/>
      <c r="AQ64" s="141"/>
      <c r="AR64" s="141"/>
      <c r="AS64" s="141"/>
      <c r="AT64" s="141"/>
      <c r="AU64" s="141"/>
      <c r="AV64" s="141"/>
      <c r="AW64" s="141"/>
      <c r="AX64" s="141"/>
      <c r="AY64" s="141"/>
      <c r="AZ64" s="141"/>
      <c r="BA64" s="141"/>
      <c r="BB64" s="141"/>
      <c r="BC64" s="141"/>
      <c r="BD64" s="141"/>
      <c r="BE64" s="141"/>
      <c r="BF64" s="141"/>
      <c r="BG64" s="141"/>
      <c r="BH64" s="141"/>
      <c r="BI64" s="141"/>
      <c r="BJ64" s="141"/>
    </row>
    <row r="65" ht="27.0" customHeight="1">
      <c r="A65" s="172">
        <v>32.0</v>
      </c>
      <c r="B65" s="173" t="s">
        <v>183</v>
      </c>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38"/>
      <c r="AH65" s="38"/>
      <c r="AI65" s="38"/>
      <c r="AJ65" s="39"/>
      <c r="AK65" s="171"/>
      <c r="AL65" s="109"/>
      <c r="AM65" s="109"/>
      <c r="AN65" s="110"/>
      <c r="AO65" s="141"/>
      <c r="AP65" s="141"/>
      <c r="AQ65" s="141"/>
      <c r="AR65" s="141"/>
      <c r="AS65" s="141"/>
      <c r="AT65" s="141"/>
      <c r="AU65" s="141"/>
      <c r="AV65" s="141"/>
      <c r="AW65" s="141"/>
      <c r="AX65" s="141"/>
      <c r="AY65" s="141"/>
      <c r="AZ65" s="141"/>
      <c r="BA65" s="141"/>
      <c r="BB65" s="141"/>
      <c r="BC65" s="141"/>
      <c r="BD65" s="141"/>
      <c r="BE65" s="141"/>
      <c r="BF65" s="141"/>
      <c r="BG65" s="141"/>
      <c r="BH65" s="141"/>
      <c r="BI65" s="141"/>
      <c r="BJ65" s="141"/>
    </row>
    <row r="66" ht="27.0" customHeight="1">
      <c r="A66" s="172">
        <v>33.0</v>
      </c>
      <c r="B66" s="173" t="s">
        <v>184</v>
      </c>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38"/>
      <c r="AH66" s="38"/>
      <c r="AI66" s="38"/>
      <c r="AJ66" s="39"/>
      <c r="AK66" s="171"/>
      <c r="AL66" s="109"/>
      <c r="AM66" s="109"/>
      <c r="AN66" s="110"/>
      <c r="AO66" s="141"/>
      <c r="AP66" s="141" t="str">
        <f t="array" ref="AP66">+AP66:AQ67</f>
        <v>#REF!</v>
      </c>
      <c r="AQ66" s="141"/>
      <c r="AR66" s="141"/>
      <c r="AS66" s="141"/>
      <c r="AT66" s="141"/>
      <c r="AU66" s="141"/>
      <c r="AV66" s="141"/>
      <c r="AW66" s="141"/>
      <c r="AX66" s="141"/>
      <c r="AY66" s="141"/>
      <c r="AZ66" s="141"/>
      <c r="BA66" s="141"/>
      <c r="BB66" s="141"/>
      <c r="BC66" s="141"/>
      <c r="BD66" s="141"/>
      <c r="BE66" s="141"/>
      <c r="BF66" s="141"/>
      <c r="BG66" s="141"/>
      <c r="BH66" s="141"/>
      <c r="BI66" s="141"/>
      <c r="BJ66" s="141"/>
    </row>
    <row r="67" ht="27.0" customHeight="1">
      <c r="A67" s="172">
        <v>34.0</v>
      </c>
      <c r="B67" s="173" t="s">
        <v>185</v>
      </c>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9"/>
      <c r="AK67" s="171"/>
      <c r="AL67" s="109"/>
      <c r="AM67" s="109"/>
      <c r="AN67" s="110"/>
      <c r="AO67" s="141"/>
      <c r="AP67" s="141"/>
      <c r="AQ67" s="141"/>
      <c r="AR67" s="141"/>
      <c r="AS67" s="141"/>
      <c r="AT67" s="141"/>
      <c r="AU67" s="141"/>
      <c r="AV67" s="141"/>
      <c r="AW67" s="141"/>
      <c r="AX67" s="141"/>
      <c r="AY67" s="141"/>
      <c r="AZ67" s="141"/>
      <c r="BA67" s="141"/>
      <c r="BB67" s="141"/>
      <c r="BC67" s="141"/>
      <c r="BD67" s="141"/>
      <c r="BE67" s="141"/>
      <c r="BF67" s="141"/>
      <c r="BG67" s="141"/>
      <c r="BH67" s="141"/>
      <c r="BI67" s="141"/>
      <c r="BJ67" s="141"/>
    </row>
    <row r="68" ht="15.75" customHeight="1">
      <c r="A68" s="174">
        <v>35.0</v>
      </c>
      <c r="B68" s="175" t="s">
        <v>186</v>
      </c>
      <c r="C68" s="83"/>
      <c r="D68" s="83"/>
      <c r="E68" s="83"/>
      <c r="F68" s="83"/>
      <c r="G68" s="83"/>
      <c r="H68" s="83"/>
      <c r="I68" s="83"/>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176"/>
      <c r="AK68" s="171"/>
      <c r="AL68" s="109"/>
      <c r="AM68" s="109"/>
      <c r="AN68" s="110"/>
      <c r="AO68" s="141"/>
      <c r="AP68" s="141"/>
      <c r="AQ68" s="141"/>
      <c r="AR68" s="141"/>
      <c r="AS68" s="141"/>
      <c r="AT68" s="141"/>
      <c r="AU68" s="141"/>
      <c r="AV68" s="141"/>
      <c r="AW68" s="141"/>
      <c r="AX68" s="141"/>
      <c r="AY68" s="141"/>
      <c r="AZ68" s="141"/>
      <c r="BA68" s="141"/>
      <c r="BB68" s="141"/>
      <c r="BC68" s="141"/>
      <c r="BD68" s="141"/>
      <c r="BE68" s="141"/>
      <c r="BF68" s="141"/>
      <c r="BG68" s="141"/>
      <c r="BH68" s="141"/>
      <c r="BI68" s="141"/>
      <c r="BJ68" s="141"/>
    </row>
    <row r="69" ht="44.25" customHeight="1">
      <c r="A69" s="178" t="s">
        <v>53</v>
      </c>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6"/>
      <c r="AO69" s="141"/>
      <c r="AP69" s="141"/>
      <c r="AQ69" s="141"/>
      <c r="AR69" s="141"/>
      <c r="AS69" s="141"/>
      <c r="AT69" s="141"/>
      <c r="AU69" s="141"/>
      <c r="AV69" s="141"/>
      <c r="AW69" s="141"/>
      <c r="AX69" s="141"/>
      <c r="AY69" s="141"/>
      <c r="AZ69" s="141"/>
      <c r="BA69" s="141"/>
      <c r="BB69" s="141"/>
      <c r="BC69" s="141"/>
      <c r="BD69" s="141"/>
      <c r="BE69" s="141"/>
      <c r="BF69" s="141"/>
      <c r="BG69" s="141"/>
      <c r="BH69" s="141"/>
      <c r="BI69" s="141"/>
      <c r="BJ69" s="141"/>
    </row>
    <row r="70" ht="15.75" customHeight="1">
      <c r="A70" s="67" t="s">
        <v>147</v>
      </c>
      <c r="B70" s="5"/>
      <c r="C70" s="5"/>
      <c r="D70" s="5"/>
      <c r="E70" s="5"/>
      <c r="F70" s="5"/>
      <c r="G70" s="5"/>
      <c r="H70" s="5"/>
      <c r="I70" s="5"/>
      <c r="J70" s="5"/>
      <c r="K70" s="5"/>
      <c r="L70" s="5"/>
      <c r="M70" s="5"/>
      <c r="N70" s="5"/>
      <c r="O70" s="5"/>
      <c r="P70" s="5"/>
      <c r="Q70" s="22"/>
      <c r="R70" s="5"/>
      <c r="S70" s="5"/>
      <c r="T70" s="6"/>
      <c r="U70" s="67" t="s">
        <v>148</v>
      </c>
      <c r="V70" s="5"/>
      <c r="W70" s="5"/>
      <c r="X70" s="5"/>
      <c r="Y70" s="5"/>
      <c r="Z70" s="5"/>
      <c r="AA70" s="5"/>
      <c r="AB70" s="5"/>
      <c r="AC70" s="5"/>
      <c r="AD70" s="5"/>
      <c r="AE70" s="5"/>
      <c r="AF70" s="5"/>
      <c r="AG70" s="5"/>
      <c r="AH70" s="5"/>
      <c r="AI70" s="5"/>
      <c r="AJ70" s="6"/>
      <c r="AK70" s="179"/>
      <c r="AL70" s="5"/>
      <c r="AM70" s="5"/>
      <c r="AN70" s="6"/>
      <c r="AO70" s="141"/>
      <c r="AP70" s="141"/>
      <c r="AQ70" s="141"/>
      <c r="AR70" s="141"/>
      <c r="AS70" s="141"/>
      <c r="AT70" s="141"/>
      <c r="AU70" s="141"/>
      <c r="AV70" s="141"/>
      <c r="AW70" s="141"/>
      <c r="AX70" s="141"/>
      <c r="AY70" s="141"/>
      <c r="AZ70" s="141"/>
      <c r="BA70" s="141"/>
      <c r="BB70" s="141"/>
      <c r="BC70" s="141"/>
      <c r="BD70" s="141"/>
      <c r="BE70" s="141"/>
      <c r="BF70" s="141"/>
      <c r="BG70" s="141"/>
      <c r="BH70" s="141"/>
      <c r="BI70" s="141"/>
      <c r="BJ70" s="141"/>
    </row>
    <row r="71" ht="30.0" customHeight="1">
      <c r="A71" s="81" t="s">
        <v>187</v>
      </c>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6"/>
      <c r="AO71" s="141"/>
      <c r="AP71" s="141"/>
      <c r="AQ71" s="141"/>
      <c r="AR71" s="141"/>
      <c r="AS71" s="141"/>
      <c r="AT71" s="141"/>
      <c r="AU71" s="141"/>
      <c r="AV71" s="141"/>
      <c r="AW71" s="141"/>
      <c r="AX71" s="141"/>
      <c r="AY71" s="141"/>
      <c r="AZ71" s="141"/>
      <c r="BA71" s="141"/>
      <c r="BB71" s="141"/>
      <c r="BC71" s="141"/>
      <c r="BD71" s="141"/>
      <c r="BE71" s="141"/>
      <c r="BF71" s="141"/>
      <c r="BG71" s="141"/>
      <c r="BH71" s="141"/>
      <c r="BI71" s="141"/>
      <c r="BJ71" s="141"/>
    </row>
    <row r="72" ht="30.0" customHeight="1">
      <c r="A72" s="167">
        <v>36.0</v>
      </c>
      <c r="B72" s="181" t="s">
        <v>188</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c r="AH72" s="109"/>
      <c r="AI72" s="109"/>
      <c r="AJ72" s="110"/>
      <c r="AK72" s="171"/>
      <c r="AL72" s="109"/>
      <c r="AM72" s="109"/>
      <c r="AN72" s="110"/>
      <c r="AO72" s="141"/>
      <c r="AP72" s="141"/>
      <c r="AQ72" s="141"/>
      <c r="AR72" s="141"/>
      <c r="AS72" s="141"/>
      <c r="AT72" s="141"/>
      <c r="AU72" s="141"/>
      <c r="AV72" s="141"/>
      <c r="AW72" s="141"/>
      <c r="AX72" s="141"/>
      <c r="AY72" s="141"/>
      <c r="AZ72" s="141"/>
      <c r="BA72" s="141"/>
      <c r="BB72" s="141"/>
      <c r="BC72" s="141"/>
      <c r="BD72" s="141"/>
      <c r="BE72" s="141"/>
      <c r="BF72" s="141"/>
      <c r="BG72" s="141"/>
      <c r="BH72" s="141"/>
      <c r="BI72" s="141"/>
      <c r="BJ72" s="141"/>
    </row>
    <row r="73" ht="30.0" customHeight="1">
      <c r="A73" s="172">
        <v>37.0</v>
      </c>
      <c r="B73" s="173" t="s">
        <v>189</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c r="AH73" s="38"/>
      <c r="AI73" s="38"/>
      <c r="AJ73" s="39"/>
      <c r="AK73" s="171"/>
      <c r="AL73" s="109"/>
      <c r="AM73" s="109"/>
      <c r="AN73" s="110"/>
      <c r="AO73" s="141"/>
      <c r="AP73" s="141"/>
      <c r="AQ73" s="141"/>
      <c r="AR73" s="141"/>
      <c r="AS73" s="141"/>
      <c r="AT73" s="141"/>
      <c r="AU73" s="141"/>
      <c r="AV73" s="141"/>
      <c r="AW73" s="141"/>
      <c r="AX73" s="141"/>
      <c r="AY73" s="141"/>
      <c r="AZ73" s="141"/>
      <c r="BA73" s="141"/>
      <c r="BB73" s="141"/>
      <c r="BC73" s="141"/>
      <c r="BD73" s="141"/>
      <c r="BE73" s="141"/>
      <c r="BF73" s="141"/>
      <c r="BG73" s="141"/>
      <c r="BH73" s="141"/>
      <c r="BI73" s="141"/>
      <c r="BJ73" s="141"/>
    </row>
    <row r="74" ht="45.0" customHeight="1">
      <c r="A74" s="172">
        <v>38.0</v>
      </c>
      <c r="B74" s="173" t="s">
        <v>190</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c r="AH74" s="38"/>
      <c r="AI74" s="38"/>
      <c r="AJ74" s="39"/>
      <c r="AK74" s="171"/>
      <c r="AL74" s="109"/>
      <c r="AM74" s="109"/>
      <c r="AN74" s="110"/>
      <c r="AO74" s="141"/>
      <c r="AP74" s="141"/>
      <c r="AQ74" s="141"/>
      <c r="AR74" s="141"/>
      <c r="AS74" s="141"/>
      <c r="AT74" s="141"/>
      <c r="AU74" s="141"/>
      <c r="AV74" s="141"/>
      <c r="AW74" s="141"/>
      <c r="AX74" s="141"/>
      <c r="AY74" s="141"/>
      <c r="AZ74" s="141"/>
      <c r="BA74" s="141"/>
      <c r="BB74" s="141"/>
      <c r="BC74" s="141"/>
      <c r="BD74" s="141"/>
      <c r="BE74" s="141"/>
      <c r="BF74" s="141"/>
      <c r="BG74" s="141"/>
      <c r="BH74" s="141"/>
      <c r="BI74" s="141"/>
      <c r="BJ74" s="141"/>
    </row>
    <row r="75" ht="30.0" customHeight="1">
      <c r="A75" s="172">
        <v>39.0</v>
      </c>
      <c r="B75" s="173" t="s">
        <v>191</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c r="AH75" s="38"/>
      <c r="AI75" s="38"/>
      <c r="AJ75" s="39"/>
      <c r="AK75" s="171"/>
      <c r="AL75" s="109"/>
      <c r="AM75" s="109"/>
      <c r="AN75" s="110"/>
      <c r="AO75" s="141"/>
      <c r="AP75" s="141"/>
      <c r="AQ75" s="141"/>
      <c r="AR75" s="141"/>
      <c r="AS75" s="141"/>
      <c r="AT75" s="141"/>
      <c r="AU75" s="141"/>
      <c r="AV75" s="141"/>
      <c r="AW75" s="141"/>
      <c r="AX75" s="141"/>
      <c r="AY75" s="141"/>
      <c r="AZ75" s="141"/>
      <c r="BA75" s="141"/>
      <c r="BB75" s="141"/>
      <c r="BC75" s="141"/>
      <c r="BD75" s="141"/>
      <c r="BE75" s="141"/>
      <c r="BF75" s="141"/>
      <c r="BG75" s="141"/>
      <c r="BH75" s="141"/>
      <c r="BI75" s="141"/>
      <c r="BJ75" s="141"/>
    </row>
    <row r="76" ht="30.0" customHeight="1">
      <c r="A76" s="172">
        <v>40.0</v>
      </c>
      <c r="B76" s="173" t="s">
        <v>192</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c r="AH76" s="38"/>
      <c r="AI76" s="38"/>
      <c r="AJ76" s="39"/>
      <c r="AK76" s="189"/>
      <c r="AL76" s="38"/>
      <c r="AM76" s="38"/>
      <c r="AN76" s="39"/>
      <c r="AO76" s="141"/>
      <c r="AP76" s="141"/>
      <c r="AQ76" s="141"/>
      <c r="AR76" s="141"/>
      <c r="AS76" s="141"/>
      <c r="AT76" s="141"/>
      <c r="AU76" s="141"/>
      <c r="AV76" s="141"/>
      <c r="AW76" s="141"/>
      <c r="AX76" s="141"/>
      <c r="AY76" s="141"/>
      <c r="AZ76" s="141"/>
      <c r="BA76" s="141"/>
      <c r="BB76" s="141"/>
      <c r="BC76" s="141"/>
      <c r="BD76" s="141"/>
      <c r="BE76" s="141"/>
      <c r="BF76" s="141"/>
      <c r="BG76" s="141"/>
      <c r="BH76" s="141"/>
      <c r="BI76" s="141"/>
      <c r="BJ76" s="141"/>
    </row>
    <row r="77" ht="30.0" customHeight="1">
      <c r="A77" s="172">
        <v>41.0</v>
      </c>
      <c r="B77" s="173" t="s">
        <v>193</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9"/>
      <c r="AK77" s="171"/>
      <c r="AL77" s="109"/>
      <c r="AM77" s="109"/>
      <c r="AN77" s="110"/>
      <c r="AO77" s="141"/>
      <c r="AP77" s="141"/>
      <c r="AQ77" s="141"/>
      <c r="AR77" s="141"/>
      <c r="AS77" s="141"/>
      <c r="AT77" s="141"/>
      <c r="AU77" s="141"/>
      <c r="AV77" s="141"/>
      <c r="AW77" s="141"/>
      <c r="AX77" s="141"/>
      <c r="AY77" s="141"/>
      <c r="AZ77" s="141"/>
      <c r="BA77" s="141"/>
      <c r="BB77" s="141"/>
      <c r="BC77" s="141"/>
      <c r="BD77" s="141"/>
      <c r="BE77" s="141"/>
      <c r="BF77" s="141"/>
      <c r="BG77" s="141"/>
      <c r="BH77" s="141"/>
      <c r="BI77" s="141"/>
      <c r="BJ77" s="141"/>
    </row>
    <row r="78" ht="30.0" customHeight="1">
      <c r="A78" s="172">
        <v>42.0</v>
      </c>
      <c r="B78" s="173" t="s">
        <v>194</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c r="AH78" s="38"/>
      <c r="AI78" s="38"/>
      <c r="AJ78" s="39"/>
      <c r="AK78" s="171"/>
      <c r="AL78" s="109"/>
      <c r="AM78" s="109"/>
      <c r="AN78" s="110"/>
      <c r="AO78" s="141"/>
      <c r="AP78" s="141"/>
      <c r="AQ78" s="141"/>
      <c r="AR78" s="141"/>
      <c r="AS78" s="141"/>
      <c r="AT78" s="141"/>
      <c r="AU78" s="141"/>
      <c r="AV78" s="141"/>
      <c r="AW78" s="141"/>
      <c r="AX78" s="141"/>
      <c r="AY78" s="141"/>
      <c r="AZ78" s="141"/>
      <c r="BA78" s="141"/>
      <c r="BB78" s="141"/>
      <c r="BC78" s="141"/>
      <c r="BD78" s="141"/>
      <c r="BE78" s="141"/>
      <c r="BF78" s="141"/>
      <c r="BG78" s="141"/>
      <c r="BH78" s="141"/>
      <c r="BI78" s="141"/>
      <c r="BJ78" s="141"/>
    </row>
    <row r="79" ht="29.25" customHeight="1">
      <c r="A79" s="172">
        <v>43.0</v>
      </c>
      <c r="B79" s="173" t="s">
        <v>195</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c r="AH79" s="38"/>
      <c r="AI79" s="38"/>
      <c r="AJ79" s="39"/>
      <c r="AK79" s="171"/>
      <c r="AL79" s="109"/>
      <c r="AM79" s="109"/>
      <c r="AN79" s="110"/>
      <c r="AO79" s="141"/>
      <c r="AP79" s="141"/>
      <c r="AQ79" s="141"/>
      <c r="AR79" s="141"/>
      <c r="AS79" s="141"/>
      <c r="AT79" s="141"/>
      <c r="AU79" s="141"/>
      <c r="AV79" s="141"/>
      <c r="AW79" s="141"/>
      <c r="AX79" s="141"/>
      <c r="AY79" s="141"/>
      <c r="AZ79" s="141"/>
      <c r="BA79" s="141"/>
      <c r="BB79" s="141"/>
      <c r="BC79" s="141"/>
      <c r="BD79" s="141"/>
      <c r="BE79" s="141"/>
      <c r="BF79" s="141"/>
      <c r="BG79" s="141"/>
      <c r="BH79" s="141"/>
      <c r="BI79" s="141"/>
      <c r="BJ79" s="141"/>
    </row>
    <row r="80" ht="15.75" customHeight="1">
      <c r="A80" s="174">
        <v>44.0</v>
      </c>
      <c r="B80" s="175" t="s">
        <v>196</v>
      </c>
      <c r="C80" s="83"/>
      <c r="D80" s="83"/>
      <c r="E80" s="83"/>
      <c r="F80" s="83"/>
      <c r="G80" s="83"/>
      <c r="H80" s="83"/>
      <c r="I80" s="8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176"/>
      <c r="AK80" s="171"/>
      <c r="AL80" s="109"/>
      <c r="AM80" s="109"/>
      <c r="AN80" s="110"/>
      <c r="AO80" s="141"/>
      <c r="AP80" s="141"/>
      <c r="AQ80" s="141"/>
      <c r="AR80" s="141"/>
      <c r="AS80" s="141"/>
      <c r="AT80" s="141"/>
      <c r="AU80" s="141"/>
      <c r="AV80" s="141"/>
      <c r="AW80" s="141"/>
      <c r="AX80" s="141"/>
      <c r="AY80" s="141"/>
      <c r="AZ80" s="141"/>
      <c r="BA80" s="141"/>
      <c r="BB80" s="141"/>
      <c r="BC80" s="141"/>
      <c r="BD80" s="141"/>
      <c r="BE80" s="141"/>
      <c r="BF80" s="141"/>
      <c r="BG80" s="141"/>
      <c r="BH80" s="141"/>
      <c r="BI80" s="141"/>
      <c r="BJ80" s="141"/>
    </row>
    <row r="81" ht="44.25" customHeight="1">
      <c r="A81" s="178" t="s">
        <v>53</v>
      </c>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6"/>
      <c r="AO81" s="141"/>
      <c r="AP81" s="141"/>
      <c r="AQ81" s="141"/>
      <c r="AR81" s="141"/>
      <c r="AS81" s="141"/>
      <c r="AT81" s="141"/>
      <c r="AU81" s="141"/>
      <c r="AV81" s="141"/>
      <c r="AW81" s="141"/>
      <c r="AX81" s="141"/>
      <c r="AY81" s="141"/>
      <c r="AZ81" s="141"/>
      <c r="BA81" s="141"/>
      <c r="BB81" s="141"/>
      <c r="BC81" s="141"/>
      <c r="BD81" s="141"/>
      <c r="BE81" s="141"/>
      <c r="BF81" s="141"/>
      <c r="BG81" s="141"/>
      <c r="BH81" s="141"/>
      <c r="BI81" s="141"/>
      <c r="BJ81" s="141"/>
    </row>
    <row r="82" ht="15.75" customHeight="1">
      <c r="A82" s="67" t="s">
        <v>147</v>
      </c>
      <c r="B82" s="5"/>
      <c r="C82" s="5"/>
      <c r="D82" s="5"/>
      <c r="E82" s="5"/>
      <c r="F82" s="5"/>
      <c r="G82" s="5"/>
      <c r="H82" s="5"/>
      <c r="I82" s="5"/>
      <c r="J82" s="5"/>
      <c r="K82" s="5"/>
      <c r="L82" s="5"/>
      <c r="M82" s="5"/>
      <c r="N82" s="5"/>
      <c r="O82" s="5"/>
      <c r="P82" s="5"/>
      <c r="Q82" s="22"/>
      <c r="R82" s="5"/>
      <c r="S82" s="5"/>
      <c r="T82" s="6"/>
      <c r="U82" s="67" t="s">
        <v>148</v>
      </c>
      <c r="V82" s="5"/>
      <c r="W82" s="5"/>
      <c r="X82" s="5"/>
      <c r="Y82" s="5"/>
      <c r="Z82" s="5"/>
      <c r="AA82" s="5"/>
      <c r="AB82" s="5"/>
      <c r="AC82" s="5"/>
      <c r="AD82" s="5"/>
      <c r="AE82" s="5"/>
      <c r="AF82" s="5"/>
      <c r="AG82" s="5"/>
      <c r="AH82" s="5"/>
      <c r="AI82" s="5"/>
      <c r="AJ82" s="6"/>
      <c r="AK82" s="179"/>
      <c r="AL82" s="5"/>
      <c r="AM82" s="5"/>
      <c r="AN82" s="6"/>
      <c r="AO82" s="141"/>
      <c r="AP82" s="141"/>
      <c r="AQ82" s="141"/>
      <c r="AR82" s="141"/>
      <c r="AS82" s="141"/>
      <c r="AT82" s="141"/>
      <c r="AU82" s="141"/>
      <c r="AV82" s="141"/>
      <c r="AW82" s="141"/>
      <c r="AX82" s="141"/>
      <c r="AY82" s="141"/>
      <c r="AZ82" s="141"/>
      <c r="BA82" s="141"/>
      <c r="BB82" s="141"/>
      <c r="BC82" s="141"/>
      <c r="BD82" s="141"/>
      <c r="BE82" s="141"/>
      <c r="BF82" s="141"/>
      <c r="BG82" s="141"/>
      <c r="BH82" s="141"/>
      <c r="BI82" s="141"/>
      <c r="BJ82" s="141"/>
    </row>
    <row r="83" ht="33.0" customHeight="1">
      <c r="A83" s="81" t="s">
        <v>197</v>
      </c>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6"/>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row>
    <row r="84" ht="33.0" customHeight="1">
      <c r="A84" s="182">
        <v>45.0</v>
      </c>
      <c r="B84" s="190" t="s">
        <v>198</v>
      </c>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6"/>
      <c r="AK84" s="171"/>
      <c r="AL84" s="109"/>
      <c r="AM84" s="109"/>
      <c r="AN84" s="110"/>
      <c r="AO84" s="141"/>
      <c r="AP84" s="141"/>
      <c r="AQ84" s="141"/>
      <c r="AR84" s="141"/>
      <c r="AS84" s="141"/>
      <c r="AT84" s="141"/>
      <c r="AU84" s="141"/>
      <c r="AV84" s="141"/>
      <c r="AW84" s="141"/>
      <c r="AX84" s="141"/>
      <c r="AY84" s="141"/>
      <c r="AZ84" s="141"/>
      <c r="BA84" s="141"/>
      <c r="BB84" s="141"/>
      <c r="BC84" s="141"/>
      <c r="BD84" s="141"/>
      <c r="BE84" s="141"/>
      <c r="BF84" s="141"/>
      <c r="BG84" s="141"/>
      <c r="BH84" s="141"/>
      <c r="BI84" s="141"/>
      <c r="BJ84" s="141"/>
    </row>
    <row r="85" ht="33.0" customHeight="1">
      <c r="A85" s="191">
        <v>46.0</v>
      </c>
      <c r="B85" s="190" t="s">
        <v>199</v>
      </c>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6"/>
      <c r="AK85" s="171"/>
      <c r="AL85" s="109"/>
      <c r="AM85" s="109"/>
      <c r="AN85" s="110"/>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row>
    <row r="86" ht="44.25" customHeight="1">
      <c r="A86" s="178" t="s">
        <v>53</v>
      </c>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6"/>
      <c r="AO86" s="141"/>
      <c r="AP86" s="141"/>
      <c r="AQ86" s="141"/>
      <c r="AR86" s="141"/>
      <c r="AS86" s="141"/>
      <c r="AT86" s="141"/>
      <c r="AU86" s="141"/>
      <c r="AV86" s="141"/>
      <c r="AW86" s="141"/>
      <c r="AX86" s="141"/>
      <c r="AY86" s="141"/>
      <c r="AZ86" s="141"/>
      <c r="BA86" s="141"/>
      <c r="BB86" s="141"/>
      <c r="BC86" s="141"/>
      <c r="BD86" s="141"/>
      <c r="BE86" s="141"/>
      <c r="BF86" s="141"/>
      <c r="BG86" s="141"/>
      <c r="BH86" s="141"/>
      <c r="BI86" s="141"/>
      <c r="BJ86" s="141"/>
    </row>
    <row r="87" ht="15.75" customHeight="1">
      <c r="A87" s="67" t="s">
        <v>147</v>
      </c>
      <c r="B87" s="5"/>
      <c r="C87" s="5"/>
      <c r="D87" s="5"/>
      <c r="E87" s="5"/>
      <c r="F87" s="5"/>
      <c r="G87" s="5"/>
      <c r="H87" s="5"/>
      <c r="I87" s="5"/>
      <c r="J87" s="5"/>
      <c r="K87" s="5"/>
      <c r="L87" s="5"/>
      <c r="M87" s="5"/>
      <c r="N87" s="5"/>
      <c r="O87" s="5"/>
      <c r="P87" s="5"/>
      <c r="Q87" s="22"/>
      <c r="R87" s="5"/>
      <c r="S87" s="5"/>
      <c r="T87" s="6"/>
      <c r="U87" s="67" t="s">
        <v>148</v>
      </c>
      <c r="V87" s="5"/>
      <c r="W87" s="5"/>
      <c r="X87" s="5"/>
      <c r="Y87" s="5"/>
      <c r="Z87" s="5"/>
      <c r="AA87" s="5"/>
      <c r="AB87" s="5"/>
      <c r="AC87" s="5"/>
      <c r="AD87" s="5"/>
      <c r="AE87" s="5"/>
      <c r="AF87" s="5"/>
      <c r="AG87" s="5"/>
      <c r="AH87" s="5"/>
      <c r="AI87" s="5"/>
      <c r="AJ87" s="6"/>
      <c r="AK87" s="179"/>
      <c r="AL87" s="5"/>
      <c r="AM87" s="5"/>
      <c r="AN87" s="6"/>
      <c r="AO87" s="141"/>
      <c r="AP87" s="141"/>
      <c r="AQ87" s="141"/>
      <c r="AR87" s="141"/>
      <c r="AS87" s="141"/>
      <c r="AT87" s="141"/>
      <c r="AU87" s="141"/>
      <c r="AV87" s="141"/>
      <c r="AW87" s="141"/>
      <c r="AX87" s="141"/>
      <c r="AY87" s="141"/>
      <c r="AZ87" s="141"/>
      <c r="BA87" s="141"/>
      <c r="BB87" s="141"/>
      <c r="BC87" s="141"/>
      <c r="BD87" s="141"/>
      <c r="BE87" s="141"/>
      <c r="BF87" s="141"/>
      <c r="BG87" s="141"/>
      <c r="BH87" s="141"/>
      <c r="BI87" s="141"/>
      <c r="BJ87" s="141"/>
    </row>
    <row r="88" ht="28.5" customHeight="1">
      <c r="A88" s="67" t="s">
        <v>200</v>
      </c>
      <c r="B88" s="5"/>
      <c r="C88" s="5"/>
      <c r="D88" s="5"/>
      <c r="E88" s="5"/>
      <c r="F88" s="5"/>
      <c r="G88" s="5"/>
      <c r="H88" s="5"/>
      <c r="I88" s="5"/>
      <c r="J88" s="5"/>
      <c r="K88" s="5"/>
      <c r="L88" s="5"/>
      <c r="M88" s="5"/>
      <c r="N88" s="5"/>
      <c r="O88" s="5"/>
      <c r="P88" s="5"/>
      <c r="Q88" s="6"/>
      <c r="R88" s="35" t="s">
        <v>201</v>
      </c>
      <c r="S88" s="5"/>
      <c r="T88" s="5"/>
      <c r="U88" s="5"/>
      <c r="V88" s="35"/>
      <c r="W88" s="6"/>
      <c r="X88" s="35" t="s">
        <v>202</v>
      </c>
      <c r="Y88" s="5"/>
      <c r="Z88" s="5"/>
      <c r="AA88" s="6"/>
      <c r="AB88" s="22"/>
      <c r="AC88" s="5"/>
      <c r="AD88" s="6"/>
      <c r="AE88" s="35" t="s">
        <v>203</v>
      </c>
      <c r="AF88" s="5"/>
      <c r="AG88" s="5"/>
      <c r="AH88" s="5"/>
      <c r="AI88" s="5"/>
      <c r="AJ88" s="6"/>
      <c r="AK88" s="192"/>
      <c r="AL88" s="2"/>
      <c r="AM88" s="2"/>
      <c r="AN88" s="3"/>
      <c r="AO88" s="141"/>
      <c r="AP88" s="141"/>
      <c r="AQ88" s="141"/>
      <c r="AR88" s="141"/>
      <c r="AS88" s="141"/>
      <c r="AT88" s="141"/>
      <c r="AU88" s="141"/>
      <c r="AV88" s="141"/>
      <c r="AW88" s="141"/>
      <c r="AX88" s="141"/>
      <c r="AY88" s="141"/>
      <c r="AZ88" s="141"/>
      <c r="BA88" s="141"/>
      <c r="BB88" s="141"/>
      <c r="BC88" s="141"/>
      <c r="BD88" s="141"/>
      <c r="BE88" s="141"/>
      <c r="BF88" s="141"/>
      <c r="BG88" s="141"/>
      <c r="BH88" s="141"/>
      <c r="BI88" s="141"/>
      <c r="BJ88" s="141"/>
    </row>
    <row r="89" ht="15.75" customHeight="1">
      <c r="A89" s="81" t="s">
        <v>53</v>
      </c>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6"/>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row>
    <row r="90" ht="15.75" customHeight="1">
      <c r="A90" s="19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6"/>
      <c r="AO90" s="194"/>
      <c r="AP90" s="194"/>
      <c r="AQ90" s="194"/>
      <c r="AR90" s="194"/>
      <c r="AS90" s="194"/>
      <c r="AT90" s="194"/>
      <c r="AU90" s="194"/>
      <c r="AV90" s="194"/>
      <c r="AW90" s="194"/>
      <c r="AX90" s="194"/>
      <c r="AY90" s="194"/>
      <c r="AZ90" s="194"/>
      <c r="BA90" s="194"/>
      <c r="BB90" s="194"/>
      <c r="BC90" s="194"/>
      <c r="BD90" s="194"/>
      <c r="BE90" s="194"/>
      <c r="BF90" s="194"/>
      <c r="BG90" s="194"/>
      <c r="BH90" s="194"/>
      <c r="BI90" s="194"/>
      <c r="BJ90" s="194"/>
    </row>
    <row r="91" ht="15.75" customHeight="1">
      <c r="A91" s="19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6"/>
      <c r="AO91" s="194"/>
      <c r="AP91" s="194"/>
      <c r="AQ91" s="194"/>
      <c r="AR91" s="194"/>
      <c r="AS91" s="194"/>
      <c r="AT91" s="194"/>
      <c r="AU91" s="194"/>
      <c r="AV91" s="194"/>
      <c r="AW91" s="194"/>
      <c r="AX91" s="194"/>
      <c r="AY91" s="194"/>
      <c r="AZ91" s="194"/>
      <c r="BA91" s="194"/>
      <c r="BB91" s="194"/>
      <c r="BC91" s="194"/>
      <c r="BD91" s="194"/>
      <c r="BE91" s="194"/>
      <c r="BF91" s="194"/>
      <c r="BG91" s="194"/>
      <c r="BH91" s="194"/>
      <c r="BI91" s="194"/>
      <c r="BJ91" s="194"/>
    </row>
    <row r="92" ht="15.75" customHeight="1">
      <c r="A92" s="19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6"/>
      <c r="AO92" s="194"/>
      <c r="AP92" s="194"/>
      <c r="AQ92" s="194"/>
      <c r="AR92" s="194"/>
      <c r="AS92" s="194"/>
      <c r="AT92" s="194"/>
      <c r="AU92" s="194"/>
      <c r="AV92" s="194"/>
      <c r="AW92" s="194"/>
      <c r="AX92" s="194"/>
      <c r="AY92" s="194"/>
      <c r="AZ92" s="194"/>
      <c r="BA92" s="194"/>
      <c r="BB92" s="194"/>
      <c r="BC92" s="194"/>
      <c r="BD92" s="194"/>
      <c r="BE92" s="194"/>
      <c r="BF92" s="194"/>
      <c r="BG92" s="194"/>
      <c r="BH92" s="194"/>
      <c r="BI92" s="194"/>
      <c r="BJ92" s="194"/>
    </row>
    <row r="93" ht="15.75" customHeight="1">
      <c r="A93" s="19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6"/>
      <c r="AO93" s="194"/>
      <c r="AP93" s="194"/>
      <c r="AQ93" s="194"/>
      <c r="AR93" s="194"/>
      <c r="AS93" s="194"/>
      <c r="AT93" s="194"/>
      <c r="AU93" s="194"/>
      <c r="AV93" s="194"/>
      <c r="AW93" s="194"/>
      <c r="AX93" s="194"/>
      <c r="AY93" s="194"/>
      <c r="AZ93" s="194"/>
      <c r="BA93" s="194"/>
      <c r="BB93" s="194"/>
      <c r="BC93" s="194"/>
      <c r="BD93" s="194"/>
      <c r="BE93" s="194"/>
      <c r="BF93" s="194"/>
      <c r="BG93" s="194"/>
      <c r="BH93" s="194"/>
      <c r="BI93" s="194"/>
      <c r="BJ93" s="194"/>
    </row>
    <row r="94" ht="15.75" customHeight="1">
      <c r="A94" s="19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6"/>
      <c r="AO94" s="194"/>
      <c r="AP94" s="194"/>
      <c r="AQ94" s="194"/>
      <c r="AR94" s="194"/>
      <c r="AS94" s="194"/>
      <c r="AT94" s="194"/>
      <c r="AU94" s="194"/>
      <c r="AV94" s="194"/>
      <c r="AW94" s="194"/>
      <c r="AX94" s="194"/>
      <c r="AY94" s="194"/>
      <c r="AZ94" s="194"/>
      <c r="BA94" s="194"/>
      <c r="BB94" s="194"/>
      <c r="BC94" s="194"/>
      <c r="BD94" s="194"/>
      <c r="BE94" s="194"/>
      <c r="BF94" s="194"/>
      <c r="BG94" s="194"/>
      <c r="BH94" s="194"/>
      <c r="BI94" s="194"/>
      <c r="BJ94" s="194"/>
    </row>
    <row r="95" ht="15.75" customHeight="1">
      <c r="A95" s="19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6"/>
      <c r="AO95" s="194"/>
      <c r="AP95" s="194"/>
      <c r="AQ95" s="194"/>
      <c r="AR95" s="194"/>
      <c r="AS95" s="194"/>
      <c r="AT95" s="194"/>
      <c r="AU95" s="194"/>
      <c r="AV95" s="194"/>
      <c r="AW95" s="194"/>
      <c r="AX95" s="194"/>
      <c r="AY95" s="194"/>
      <c r="AZ95" s="194"/>
      <c r="BA95" s="194"/>
      <c r="BB95" s="194"/>
      <c r="BC95" s="194"/>
      <c r="BD95" s="194"/>
      <c r="BE95" s="194"/>
      <c r="BF95" s="194"/>
      <c r="BG95" s="194"/>
      <c r="BH95" s="194"/>
      <c r="BI95" s="194"/>
      <c r="BJ95" s="194"/>
    </row>
    <row r="96" ht="15.75" customHeight="1">
      <c r="A96" s="196"/>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6"/>
      <c r="AO96" s="194"/>
      <c r="AP96" s="194"/>
      <c r="AQ96" s="194"/>
      <c r="AR96" s="194"/>
      <c r="AS96" s="194"/>
      <c r="AT96" s="194"/>
      <c r="AU96" s="194"/>
      <c r="AV96" s="194"/>
      <c r="AW96" s="194"/>
      <c r="AX96" s="194"/>
      <c r="AY96" s="194"/>
      <c r="AZ96" s="194"/>
      <c r="BA96" s="194"/>
      <c r="BB96" s="194"/>
      <c r="BC96" s="194"/>
      <c r="BD96" s="194"/>
      <c r="BE96" s="194"/>
      <c r="BF96" s="194"/>
      <c r="BG96" s="194"/>
      <c r="BH96" s="194"/>
      <c r="BI96" s="194"/>
      <c r="BJ96" s="194"/>
    </row>
    <row r="97" ht="15.75" customHeight="1">
      <c r="A97" s="196"/>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6"/>
      <c r="AO97" s="194"/>
      <c r="AP97" s="194"/>
      <c r="AQ97" s="194"/>
      <c r="AR97" s="194"/>
      <c r="AS97" s="194"/>
      <c r="AT97" s="194"/>
      <c r="AU97" s="194"/>
      <c r="AV97" s="194"/>
      <c r="AW97" s="194"/>
      <c r="AX97" s="194"/>
      <c r="AY97" s="194"/>
      <c r="AZ97" s="194"/>
      <c r="BA97" s="194"/>
      <c r="BB97" s="194"/>
      <c r="BC97" s="194"/>
      <c r="BD97" s="194"/>
      <c r="BE97" s="194"/>
      <c r="BF97" s="194"/>
      <c r="BG97" s="194"/>
      <c r="BH97" s="194"/>
      <c r="BI97" s="194"/>
      <c r="BJ97" s="194"/>
    </row>
    <row r="98" ht="15.75" customHeight="1">
      <c r="A98" s="196"/>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6"/>
      <c r="AO98" s="194"/>
      <c r="AP98" s="194"/>
      <c r="AQ98" s="194"/>
      <c r="AR98" s="194"/>
      <c r="AS98" s="194"/>
      <c r="AT98" s="194"/>
      <c r="AU98" s="194"/>
      <c r="AV98" s="194"/>
      <c r="AW98" s="194"/>
      <c r="AX98" s="194"/>
      <c r="AY98" s="194"/>
      <c r="AZ98" s="194"/>
      <c r="BA98" s="194"/>
      <c r="BB98" s="194"/>
      <c r="BC98" s="194"/>
      <c r="BD98" s="194"/>
      <c r="BE98" s="194"/>
      <c r="BF98" s="194"/>
      <c r="BG98" s="194"/>
      <c r="BH98" s="194"/>
      <c r="BI98" s="194"/>
      <c r="BJ98" s="194"/>
    </row>
    <row r="99" ht="15.75" customHeight="1">
      <c r="A99" s="196"/>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6"/>
      <c r="AO99" s="194"/>
      <c r="AP99" s="194"/>
      <c r="AQ99" s="194"/>
      <c r="AR99" s="194"/>
      <c r="AS99" s="194"/>
      <c r="AT99" s="194"/>
      <c r="AU99" s="194"/>
      <c r="AV99" s="194"/>
      <c r="AW99" s="194"/>
      <c r="AX99" s="194"/>
      <c r="AY99" s="194"/>
      <c r="AZ99" s="194"/>
      <c r="BA99" s="194"/>
      <c r="BB99" s="194"/>
      <c r="BC99" s="194"/>
      <c r="BD99" s="194"/>
      <c r="BE99" s="194"/>
      <c r="BF99" s="194"/>
      <c r="BG99" s="194"/>
      <c r="BH99" s="194"/>
      <c r="BI99" s="194"/>
      <c r="BJ99" s="194"/>
    </row>
    <row r="100" ht="15.75" customHeight="1">
      <c r="A100" s="196"/>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6"/>
      <c r="AO100" s="194"/>
      <c r="AP100" s="194"/>
      <c r="AQ100" s="194"/>
      <c r="AR100" s="194"/>
      <c r="AS100" s="194"/>
      <c r="AT100" s="194"/>
      <c r="AU100" s="194"/>
      <c r="AV100" s="194"/>
      <c r="AW100" s="194"/>
      <c r="AX100" s="194"/>
      <c r="AY100" s="194"/>
      <c r="AZ100" s="194"/>
      <c r="BA100" s="194"/>
      <c r="BB100" s="194"/>
      <c r="BC100" s="194"/>
      <c r="BD100" s="194"/>
      <c r="BE100" s="194"/>
      <c r="BF100" s="194"/>
      <c r="BG100" s="194"/>
      <c r="BH100" s="194"/>
      <c r="BI100" s="194"/>
      <c r="BJ100" s="194"/>
    </row>
    <row r="101" ht="15.75" customHeight="1">
      <c r="A101" s="196"/>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6"/>
      <c r="AO101" s="194"/>
      <c r="AP101" s="194"/>
      <c r="AQ101" s="194"/>
      <c r="AR101" s="194"/>
      <c r="AS101" s="194"/>
      <c r="AT101" s="194"/>
      <c r="AU101" s="194"/>
      <c r="AV101" s="194"/>
      <c r="AW101" s="194"/>
      <c r="AX101" s="194"/>
      <c r="AY101" s="194"/>
      <c r="AZ101" s="194"/>
      <c r="BA101" s="194"/>
      <c r="BB101" s="194"/>
      <c r="BC101" s="194"/>
      <c r="BD101" s="194"/>
      <c r="BE101" s="194"/>
      <c r="BF101" s="194"/>
      <c r="BG101" s="194"/>
      <c r="BH101" s="194"/>
      <c r="BI101" s="194"/>
      <c r="BJ101" s="194"/>
    </row>
    <row r="102" ht="15.75" customHeight="1">
      <c r="A102" s="196"/>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6"/>
      <c r="AO102" s="197"/>
      <c r="AP102" s="197"/>
      <c r="AQ102" s="197"/>
      <c r="AR102" s="197"/>
      <c r="AS102" s="197"/>
      <c r="AT102" s="197"/>
      <c r="AU102" s="197"/>
      <c r="AV102" s="197"/>
      <c r="AW102" s="197"/>
      <c r="AX102" s="197"/>
      <c r="AY102" s="197"/>
      <c r="AZ102" s="197"/>
      <c r="BA102" s="197"/>
      <c r="BB102" s="197"/>
      <c r="BC102" s="197"/>
      <c r="BD102" s="197"/>
      <c r="BE102" s="197"/>
      <c r="BF102" s="197"/>
      <c r="BG102" s="197"/>
      <c r="BH102" s="197"/>
      <c r="BI102" s="197"/>
      <c r="BJ102" s="197"/>
    </row>
    <row r="103" ht="15.75" customHeight="1">
      <c r="A103" s="198"/>
      <c r="B103" s="199"/>
      <c r="C103" s="200"/>
      <c r="D103" s="200"/>
      <c r="E103" s="200"/>
      <c r="F103" s="200"/>
      <c r="G103" s="200"/>
      <c r="H103" s="200"/>
      <c r="I103" s="200"/>
      <c r="J103" s="200"/>
      <c r="K103" s="200"/>
      <c r="L103" s="200"/>
      <c r="M103" s="200"/>
      <c r="N103" s="200"/>
      <c r="O103" s="201" t="s">
        <v>100</v>
      </c>
      <c r="P103" s="5"/>
      <c r="Q103" s="5"/>
      <c r="R103" s="5"/>
      <c r="S103" s="5"/>
      <c r="T103" s="5"/>
      <c r="U103" s="5"/>
      <c r="V103" s="5"/>
      <c r="W103" s="5"/>
      <c r="X103" s="5"/>
      <c r="Y103" s="5"/>
      <c r="Z103" s="6"/>
      <c r="AA103" s="201" t="s">
        <v>100</v>
      </c>
      <c r="AB103" s="5"/>
      <c r="AC103" s="5"/>
      <c r="AD103" s="5"/>
      <c r="AE103" s="5"/>
      <c r="AF103" s="5"/>
      <c r="AG103" s="5"/>
      <c r="AH103" s="5"/>
      <c r="AI103" s="5"/>
      <c r="AJ103" s="5"/>
      <c r="AK103" s="5"/>
      <c r="AL103" s="6"/>
      <c r="AM103" s="199"/>
      <c r="AN103" s="202"/>
      <c r="AO103" s="197"/>
      <c r="AP103" s="197"/>
      <c r="AQ103" s="197"/>
      <c r="AR103" s="197"/>
      <c r="AS103" s="197"/>
      <c r="AT103" s="197"/>
      <c r="AU103" s="197"/>
      <c r="AV103" s="197"/>
      <c r="AW103" s="197"/>
      <c r="AX103" s="197"/>
      <c r="AY103" s="197"/>
      <c r="AZ103" s="197"/>
      <c r="BA103" s="197"/>
      <c r="BB103" s="197"/>
      <c r="BC103" s="197"/>
      <c r="BD103" s="197"/>
      <c r="BE103" s="197"/>
      <c r="BF103" s="197"/>
      <c r="BG103" s="197"/>
      <c r="BH103" s="197"/>
      <c r="BI103" s="197"/>
      <c r="BJ103" s="197"/>
    </row>
    <row r="104" ht="15.75" customHeight="1">
      <c r="A104" s="198"/>
      <c r="B104" s="199"/>
      <c r="C104" s="203"/>
      <c r="D104" s="203"/>
      <c r="E104" s="203"/>
      <c r="F104" s="203"/>
      <c r="G104" s="203"/>
      <c r="H104" s="203"/>
      <c r="I104" s="203"/>
      <c r="J104" s="203"/>
      <c r="K104" s="203"/>
      <c r="L104" s="203"/>
      <c r="M104" s="203"/>
      <c r="N104" s="203"/>
      <c r="O104" s="204"/>
      <c r="P104" s="2"/>
      <c r="Q104" s="2"/>
      <c r="R104" s="2"/>
      <c r="S104" s="2"/>
      <c r="T104" s="2"/>
      <c r="U104" s="2"/>
      <c r="V104" s="2"/>
      <c r="W104" s="2"/>
      <c r="X104" s="2"/>
      <c r="Y104" s="2"/>
      <c r="Z104" s="3"/>
      <c r="AA104" s="204"/>
      <c r="AB104" s="2"/>
      <c r="AC104" s="2"/>
      <c r="AD104" s="2"/>
      <c r="AE104" s="2"/>
      <c r="AF104" s="2"/>
      <c r="AG104" s="2"/>
      <c r="AH104" s="2"/>
      <c r="AI104" s="2"/>
      <c r="AJ104" s="2"/>
      <c r="AK104" s="2"/>
      <c r="AL104" s="3"/>
      <c r="AM104" s="199"/>
      <c r="AN104" s="202"/>
      <c r="AO104" s="197"/>
      <c r="AP104" s="197"/>
      <c r="AQ104" s="197"/>
      <c r="AR104" s="197"/>
      <c r="AS104" s="197"/>
      <c r="AT104" s="197"/>
      <c r="AU104" s="197"/>
      <c r="AV104" s="197"/>
      <c r="AW104" s="197"/>
      <c r="AX104" s="197"/>
      <c r="AY104" s="197"/>
      <c r="AZ104" s="197"/>
      <c r="BA104" s="197"/>
      <c r="BB104" s="197"/>
      <c r="BC104" s="197"/>
      <c r="BD104" s="197"/>
      <c r="BE104" s="197"/>
      <c r="BF104" s="197"/>
      <c r="BG104" s="197"/>
      <c r="BH104" s="197"/>
      <c r="BI104" s="197"/>
      <c r="BJ104" s="197"/>
    </row>
    <row r="105" ht="15.75" customHeight="1">
      <c r="A105" s="198"/>
      <c r="B105" s="199"/>
      <c r="C105" s="203"/>
      <c r="D105" s="203"/>
      <c r="E105" s="203"/>
      <c r="F105" s="203"/>
      <c r="G105" s="203"/>
      <c r="H105" s="203"/>
      <c r="I105" s="203"/>
      <c r="J105" s="203"/>
      <c r="K105" s="203"/>
      <c r="L105" s="203"/>
      <c r="M105" s="203"/>
      <c r="N105" s="203"/>
      <c r="O105" s="14"/>
      <c r="P105" s="15"/>
      <c r="Q105" s="15"/>
      <c r="R105" s="15"/>
      <c r="S105" s="15"/>
      <c r="T105" s="15"/>
      <c r="U105" s="15"/>
      <c r="V105" s="15"/>
      <c r="W105" s="15"/>
      <c r="X105" s="15"/>
      <c r="Y105" s="15"/>
      <c r="Z105" s="16"/>
      <c r="AA105" s="14"/>
      <c r="AB105" s="15"/>
      <c r="AC105" s="15"/>
      <c r="AD105" s="15"/>
      <c r="AE105" s="15"/>
      <c r="AF105" s="15"/>
      <c r="AG105" s="15"/>
      <c r="AH105" s="15"/>
      <c r="AI105" s="15"/>
      <c r="AJ105" s="15"/>
      <c r="AK105" s="15"/>
      <c r="AL105" s="16"/>
      <c r="AM105" s="199"/>
      <c r="AN105" s="202"/>
      <c r="AO105" s="197"/>
      <c r="AP105" s="197"/>
      <c r="AQ105" s="197"/>
      <c r="AR105" s="197"/>
      <c r="AS105" s="197"/>
      <c r="AT105" s="197"/>
      <c r="AU105" s="197"/>
      <c r="AV105" s="197"/>
      <c r="AW105" s="197"/>
      <c r="AX105" s="197"/>
      <c r="AY105" s="197"/>
      <c r="AZ105" s="197"/>
      <c r="BA105" s="197"/>
      <c r="BB105" s="197"/>
      <c r="BC105" s="197"/>
      <c r="BD105" s="197"/>
      <c r="BE105" s="197"/>
      <c r="BF105" s="197"/>
      <c r="BG105" s="197"/>
      <c r="BH105" s="197"/>
      <c r="BI105" s="197"/>
      <c r="BJ105" s="197"/>
    </row>
    <row r="106" ht="15.75" customHeight="1">
      <c r="A106" s="198"/>
      <c r="B106" s="199"/>
      <c r="C106" s="203"/>
      <c r="D106" s="203"/>
      <c r="E106" s="203"/>
      <c r="F106" s="203"/>
      <c r="G106" s="203"/>
      <c r="H106" s="203"/>
      <c r="I106" s="203"/>
      <c r="J106" s="203"/>
      <c r="K106" s="203"/>
      <c r="L106" s="203"/>
      <c r="M106" s="203"/>
      <c r="N106" s="203"/>
      <c r="O106" s="205" t="s">
        <v>101</v>
      </c>
      <c r="P106" s="5"/>
      <c r="Q106" s="5"/>
      <c r="R106" s="5"/>
      <c r="S106" s="5"/>
      <c r="T106" s="5"/>
      <c r="U106" s="5"/>
      <c r="V106" s="5"/>
      <c r="W106" s="5"/>
      <c r="X106" s="5"/>
      <c r="Y106" s="5"/>
      <c r="Z106" s="6"/>
      <c r="AA106" s="205" t="s">
        <v>101</v>
      </c>
      <c r="AB106" s="5"/>
      <c r="AC106" s="5"/>
      <c r="AD106" s="5"/>
      <c r="AE106" s="5"/>
      <c r="AF106" s="5"/>
      <c r="AG106" s="5"/>
      <c r="AH106" s="5"/>
      <c r="AI106" s="5"/>
      <c r="AJ106" s="5"/>
      <c r="AK106" s="5"/>
      <c r="AL106" s="6"/>
      <c r="AM106" s="199"/>
      <c r="AN106" s="202"/>
      <c r="AO106" s="197"/>
      <c r="AP106" s="197"/>
      <c r="AQ106" s="197"/>
      <c r="AR106" s="197"/>
      <c r="AS106" s="197"/>
      <c r="AT106" s="197"/>
      <c r="AU106" s="197"/>
      <c r="AV106" s="197"/>
      <c r="AW106" s="197"/>
      <c r="AX106" s="197"/>
      <c r="AY106" s="197"/>
      <c r="AZ106" s="197"/>
      <c r="BA106" s="197"/>
      <c r="BB106" s="197"/>
      <c r="BC106" s="197"/>
      <c r="BD106" s="197"/>
      <c r="BE106" s="197"/>
      <c r="BF106" s="197"/>
      <c r="BG106" s="197"/>
      <c r="BH106" s="197"/>
      <c r="BI106" s="197"/>
      <c r="BJ106" s="197"/>
    </row>
    <row r="107" ht="15.75" customHeight="1">
      <c r="A107" s="198"/>
      <c r="B107" s="199"/>
      <c r="C107" s="203"/>
      <c r="D107" s="203"/>
      <c r="E107" s="203"/>
      <c r="F107" s="203"/>
      <c r="G107" s="203"/>
      <c r="H107" s="203"/>
      <c r="I107" s="203"/>
      <c r="J107" s="203"/>
      <c r="K107" s="203"/>
      <c r="L107" s="203"/>
      <c r="M107" s="203"/>
      <c r="N107" s="203"/>
      <c r="O107" s="205" t="s">
        <v>58</v>
      </c>
      <c r="P107" s="5"/>
      <c r="Q107" s="5"/>
      <c r="R107" s="5"/>
      <c r="S107" s="5"/>
      <c r="T107" s="5"/>
      <c r="U107" s="5"/>
      <c r="V107" s="5"/>
      <c r="W107" s="5"/>
      <c r="X107" s="5"/>
      <c r="Y107" s="5"/>
      <c r="Z107" s="6"/>
      <c r="AA107" s="205" t="s">
        <v>58</v>
      </c>
      <c r="AB107" s="5"/>
      <c r="AC107" s="5"/>
      <c r="AD107" s="5"/>
      <c r="AE107" s="5"/>
      <c r="AF107" s="5"/>
      <c r="AG107" s="5"/>
      <c r="AH107" s="5"/>
      <c r="AI107" s="5"/>
      <c r="AJ107" s="5"/>
      <c r="AK107" s="5"/>
      <c r="AL107" s="6"/>
      <c r="AM107" s="199"/>
      <c r="AN107" s="202"/>
      <c r="AO107" s="197"/>
      <c r="AP107" s="197"/>
      <c r="AQ107" s="197"/>
      <c r="AR107" s="197"/>
      <c r="AS107" s="197"/>
      <c r="AT107" s="197"/>
      <c r="AU107" s="197"/>
      <c r="AV107" s="197"/>
      <c r="AW107" s="197"/>
      <c r="AX107" s="197"/>
      <c r="AY107" s="197"/>
      <c r="AZ107" s="197"/>
      <c r="BA107" s="197"/>
      <c r="BB107" s="197"/>
      <c r="BC107" s="197"/>
      <c r="BD107" s="197"/>
      <c r="BE107" s="197"/>
      <c r="BF107" s="197"/>
      <c r="BG107" s="197"/>
      <c r="BH107" s="197"/>
      <c r="BI107" s="197"/>
      <c r="BJ107" s="197"/>
    </row>
    <row r="108" ht="15.75" customHeight="1">
      <c r="A108" s="198"/>
      <c r="B108" s="199"/>
      <c r="C108" s="203"/>
      <c r="D108" s="203"/>
      <c r="E108" s="203"/>
      <c r="F108" s="203"/>
      <c r="G108" s="203"/>
      <c r="H108" s="203"/>
      <c r="I108" s="203"/>
      <c r="J108" s="203"/>
      <c r="K108" s="203"/>
      <c r="L108" s="203"/>
      <c r="M108" s="203"/>
      <c r="N108" s="203"/>
      <c r="O108" s="205" t="s">
        <v>102</v>
      </c>
      <c r="P108" s="5"/>
      <c r="Q108" s="5"/>
      <c r="R108" s="5"/>
      <c r="S108" s="5"/>
      <c r="T108" s="5"/>
      <c r="U108" s="5"/>
      <c r="V108" s="5"/>
      <c r="W108" s="5"/>
      <c r="X108" s="5"/>
      <c r="Y108" s="5"/>
      <c r="Z108" s="6"/>
      <c r="AA108" s="205" t="s">
        <v>102</v>
      </c>
      <c r="AB108" s="5"/>
      <c r="AC108" s="5"/>
      <c r="AD108" s="5"/>
      <c r="AE108" s="5"/>
      <c r="AF108" s="5"/>
      <c r="AG108" s="5"/>
      <c r="AH108" s="5"/>
      <c r="AI108" s="5"/>
      <c r="AJ108" s="5"/>
      <c r="AK108" s="5"/>
      <c r="AL108" s="6"/>
      <c r="AM108" s="199"/>
      <c r="AN108" s="202"/>
      <c r="AO108" s="197"/>
      <c r="AP108" s="197"/>
      <c r="AQ108" s="197"/>
      <c r="AR108" s="197"/>
      <c r="AS108" s="197"/>
      <c r="AT108" s="197"/>
      <c r="AU108" s="197"/>
      <c r="AV108" s="197"/>
      <c r="AW108" s="197"/>
      <c r="AX108" s="197"/>
      <c r="AY108" s="197"/>
      <c r="AZ108" s="197"/>
      <c r="BA108" s="197"/>
      <c r="BB108" s="197"/>
      <c r="BC108" s="197"/>
      <c r="BD108" s="197"/>
      <c r="BE108" s="197"/>
      <c r="BF108" s="197"/>
      <c r="BG108" s="197"/>
      <c r="BH108" s="197"/>
      <c r="BI108" s="197"/>
      <c r="BJ108" s="197"/>
    </row>
    <row r="109" ht="15.75" customHeight="1">
      <c r="A109" s="206"/>
      <c r="B109" s="207"/>
      <c r="C109" s="207"/>
      <c r="D109" s="207"/>
      <c r="E109" s="207"/>
      <c r="F109" s="207"/>
      <c r="G109" s="207"/>
      <c r="H109" s="207"/>
      <c r="I109" s="207"/>
      <c r="J109" s="207"/>
      <c r="K109" s="207"/>
      <c r="L109" s="207"/>
      <c r="M109" s="207"/>
      <c r="N109" s="207"/>
      <c r="O109" s="207"/>
      <c r="P109" s="207"/>
      <c r="Q109" s="207"/>
      <c r="R109" s="207"/>
      <c r="S109" s="207"/>
      <c r="T109" s="207"/>
      <c r="U109" s="207"/>
      <c r="V109" s="207"/>
      <c r="W109" s="207"/>
      <c r="X109" s="207"/>
      <c r="Y109" s="207"/>
      <c r="Z109" s="207"/>
      <c r="AA109" s="207"/>
      <c r="AB109" s="207"/>
      <c r="AC109" s="207"/>
      <c r="AD109" s="207"/>
      <c r="AE109" s="207"/>
      <c r="AF109" s="207"/>
      <c r="AG109" s="207"/>
      <c r="AH109" s="207"/>
      <c r="AI109" s="207"/>
      <c r="AJ109" s="207"/>
      <c r="AK109" s="207"/>
      <c r="AL109" s="207"/>
      <c r="AM109" s="207"/>
      <c r="AN109" s="208"/>
      <c r="AO109" s="194"/>
      <c r="AP109" s="194"/>
      <c r="AQ109" s="194"/>
      <c r="AR109" s="194"/>
      <c r="AS109" s="194"/>
      <c r="AT109" s="194"/>
      <c r="AU109" s="194"/>
      <c r="AV109" s="194"/>
      <c r="AW109" s="194"/>
      <c r="AX109" s="194"/>
      <c r="AY109" s="194"/>
      <c r="AZ109" s="194"/>
      <c r="BA109" s="194"/>
      <c r="BB109" s="194"/>
      <c r="BC109" s="194"/>
      <c r="BD109" s="194"/>
      <c r="BE109" s="194"/>
      <c r="BF109" s="194"/>
      <c r="BG109" s="194"/>
      <c r="BH109" s="194"/>
      <c r="BI109" s="194"/>
      <c r="BJ109" s="194"/>
    </row>
    <row r="110" ht="15.75" customHeight="1">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c r="AA110" s="194"/>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94"/>
      <c r="AX110" s="194"/>
      <c r="AY110" s="194"/>
      <c r="AZ110" s="194"/>
      <c r="BA110" s="194"/>
      <c r="BB110" s="194"/>
      <c r="BC110" s="194"/>
      <c r="BD110" s="194"/>
      <c r="BE110" s="194"/>
      <c r="BF110" s="194"/>
      <c r="BG110" s="194"/>
      <c r="BH110" s="194"/>
      <c r="BI110" s="194"/>
      <c r="BJ110" s="194"/>
    </row>
    <row r="111" ht="15.75" customHeight="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c r="AA111" s="194"/>
      <c r="AB111" s="194"/>
      <c r="AC111" s="194"/>
      <c r="AD111" s="194"/>
      <c r="AE111" s="194"/>
      <c r="AF111" s="194"/>
      <c r="AG111" s="194"/>
      <c r="AH111" s="194"/>
      <c r="AI111" s="194"/>
      <c r="AJ111" s="194"/>
      <c r="AK111" s="194"/>
      <c r="AL111" s="194"/>
      <c r="AM111" s="194"/>
      <c r="AN111" s="194"/>
      <c r="AO111" s="194"/>
      <c r="AP111" s="194"/>
      <c r="AQ111" s="194"/>
      <c r="AR111" s="194"/>
      <c r="AS111" s="194"/>
      <c r="AT111" s="194"/>
      <c r="AU111" s="194"/>
      <c r="AV111" s="194"/>
      <c r="AW111" s="194"/>
      <c r="AX111" s="194"/>
      <c r="AY111" s="194"/>
      <c r="AZ111" s="194"/>
      <c r="BA111" s="194"/>
      <c r="BB111" s="194"/>
      <c r="BC111" s="194"/>
      <c r="BD111" s="194"/>
      <c r="BE111" s="194"/>
      <c r="BF111" s="194"/>
      <c r="BG111" s="194"/>
      <c r="BH111" s="194"/>
      <c r="BI111" s="194"/>
      <c r="BJ111" s="194"/>
    </row>
    <row r="112" ht="15.75" customHeight="1">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94"/>
      <c r="AX112" s="194"/>
      <c r="AY112" s="194"/>
      <c r="AZ112" s="194"/>
      <c r="BA112" s="194"/>
      <c r="BB112" s="194"/>
      <c r="BC112" s="194"/>
      <c r="BD112" s="194"/>
      <c r="BE112" s="194"/>
      <c r="BF112" s="194"/>
      <c r="BG112" s="194"/>
      <c r="BH112" s="194"/>
      <c r="BI112" s="194"/>
      <c r="BJ112" s="194"/>
    </row>
    <row r="113" ht="15.75" customHeight="1">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c r="AA113" s="194"/>
      <c r="AB113" s="194"/>
      <c r="AC113" s="194"/>
      <c r="AD113" s="194"/>
      <c r="AE113" s="194"/>
      <c r="AF113" s="194"/>
      <c r="AG113" s="194"/>
      <c r="AH113" s="194"/>
      <c r="AI113" s="194"/>
      <c r="AJ113" s="194"/>
      <c r="AK113" s="194"/>
      <c r="AL113" s="194"/>
      <c r="AM113" s="194"/>
      <c r="AN113" s="194"/>
      <c r="AO113" s="194"/>
      <c r="AP113" s="194"/>
      <c r="AQ113" s="194"/>
      <c r="AR113" s="194"/>
      <c r="AS113" s="194"/>
      <c r="AT113" s="194"/>
      <c r="AU113" s="194"/>
      <c r="AV113" s="194"/>
      <c r="AW113" s="194"/>
      <c r="AX113" s="194"/>
      <c r="AY113" s="194"/>
      <c r="AZ113" s="194"/>
      <c r="BA113" s="194"/>
      <c r="BB113" s="194"/>
      <c r="BC113" s="194"/>
      <c r="BD113" s="194"/>
      <c r="BE113" s="194"/>
      <c r="BF113" s="194"/>
      <c r="BG113" s="194"/>
      <c r="BH113" s="194"/>
      <c r="BI113" s="194"/>
      <c r="BJ113" s="194"/>
    </row>
    <row r="114" ht="15.75" customHeight="1">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c r="AA114" s="194"/>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94"/>
      <c r="AX114" s="194"/>
      <c r="AY114" s="194"/>
      <c r="AZ114" s="194"/>
      <c r="BA114" s="194"/>
      <c r="BB114" s="194"/>
      <c r="BC114" s="194"/>
      <c r="BD114" s="194"/>
      <c r="BE114" s="194"/>
      <c r="BF114" s="194"/>
      <c r="BG114" s="194"/>
      <c r="BH114" s="194"/>
      <c r="BI114" s="194"/>
      <c r="BJ114" s="194"/>
    </row>
    <row r="115" ht="15.75" customHeight="1">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c r="AA115" s="194"/>
      <c r="AB115" s="194"/>
      <c r="AC115" s="194"/>
      <c r="AD115" s="194"/>
      <c r="AE115" s="194"/>
      <c r="AF115" s="194"/>
      <c r="AG115" s="194"/>
      <c r="AH115" s="194"/>
      <c r="AI115" s="194"/>
      <c r="AJ115" s="194"/>
      <c r="AK115" s="194"/>
      <c r="AL115" s="194"/>
      <c r="AM115" s="194"/>
      <c r="AN115" s="194"/>
      <c r="AO115" s="194"/>
      <c r="AP115" s="194"/>
      <c r="AQ115" s="194"/>
      <c r="AR115" s="194"/>
      <c r="AS115" s="194"/>
      <c r="AT115" s="194"/>
      <c r="AU115" s="194"/>
      <c r="AV115" s="194"/>
      <c r="AW115" s="194"/>
      <c r="AX115" s="194"/>
      <c r="AY115" s="194"/>
      <c r="AZ115" s="194"/>
      <c r="BA115" s="194"/>
      <c r="BB115" s="194"/>
      <c r="BC115" s="194"/>
      <c r="BD115" s="194"/>
      <c r="BE115" s="194"/>
      <c r="BF115" s="194"/>
      <c r="BG115" s="194"/>
      <c r="BH115" s="194"/>
      <c r="BI115" s="194"/>
      <c r="BJ115" s="194"/>
    </row>
    <row r="116" ht="15.75" customHeight="1">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194"/>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94"/>
      <c r="AX116" s="194"/>
      <c r="AY116" s="194"/>
      <c r="AZ116" s="194"/>
      <c r="BA116" s="194"/>
      <c r="BB116" s="194"/>
      <c r="BC116" s="194"/>
      <c r="BD116" s="194"/>
      <c r="BE116" s="194"/>
      <c r="BF116" s="194"/>
      <c r="BG116" s="194"/>
      <c r="BH116" s="194"/>
      <c r="BI116" s="194"/>
      <c r="BJ116" s="194"/>
    </row>
    <row r="117" ht="15.75" customHeight="1">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c r="AA117" s="194"/>
      <c r="AB117" s="194"/>
      <c r="AC117" s="194"/>
      <c r="AD117" s="194"/>
      <c r="AE117" s="194"/>
      <c r="AF117" s="194"/>
      <c r="AG117" s="194"/>
      <c r="AH117" s="194"/>
      <c r="AI117" s="194"/>
      <c r="AJ117" s="194"/>
      <c r="AK117" s="194"/>
      <c r="AL117" s="194"/>
      <c r="AM117" s="194"/>
      <c r="AN117" s="194"/>
      <c r="AO117" s="194"/>
      <c r="AP117" s="194"/>
      <c r="AQ117" s="194"/>
      <c r="AR117" s="194"/>
      <c r="AS117" s="194"/>
      <c r="AT117" s="194"/>
      <c r="AU117" s="194"/>
      <c r="AV117" s="194"/>
      <c r="AW117" s="194"/>
      <c r="AX117" s="194"/>
      <c r="AY117" s="194"/>
      <c r="AZ117" s="194"/>
      <c r="BA117" s="194"/>
      <c r="BB117" s="194"/>
      <c r="BC117" s="194"/>
      <c r="BD117" s="194"/>
      <c r="BE117" s="194"/>
      <c r="BF117" s="194"/>
      <c r="BG117" s="194"/>
      <c r="BH117" s="194"/>
      <c r="BI117" s="194"/>
      <c r="BJ117" s="194"/>
    </row>
    <row r="118" ht="15.75" customHeight="1">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194"/>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94"/>
      <c r="AX118" s="194"/>
      <c r="AY118" s="194"/>
      <c r="AZ118" s="194"/>
      <c r="BA118" s="194"/>
      <c r="BB118" s="194"/>
      <c r="BC118" s="194"/>
      <c r="BD118" s="194"/>
      <c r="BE118" s="194"/>
      <c r="BF118" s="194"/>
      <c r="BG118" s="194"/>
      <c r="BH118" s="194"/>
      <c r="BI118" s="194"/>
      <c r="BJ118" s="194"/>
    </row>
    <row r="119" ht="15.75" customHeight="1">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c r="AA119" s="194"/>
      <c r="AB119" s="194"/>
      <c r="AC119" s="194"/>
      <c r="AD119" s="194"/>
      <c r="AE119" s="194"/>
      <c r="AF119" s="194"/>
      <c r="AG119" s="194"/>
      <c r="AH119" s="194"/>
      <c r="AI119" s="194"/>
      <c r="AJ119" s="194"/>
      <c r="AK119" s="194"/>
      <c r="AL119" s="194"/>
      <c r="AM119" s="194"/>
      <c r="AN119" s="194"/>
      <c r="AO119" s="194"/>
      <c r="AP119" s="194"/>
      <c r="AQ119" s="194"/>
      <c r="AR119" s="194"/>
      <c r="AS119" s="194"/>
      <c r="AT119" s="194"/>
      <c r="AU119" s="194"/>
      <c r="AV119" s="194"/>
      <c r="AW119" s="194"/>
      <c r="AX119" s="194"/>
      <c r="AY119" s="194"/>
      <c r="AZ119" s="194"/>
      <c r="BA119" s="194"/>
      <c r="BB119" s="194"/>
      <c r="BC119" s="194"/>
      <c r="BD119" s="194"/>
      <c r="BE119" s="194"/>
      <c r="BF119" s="194"/>
      <c r="BG119" s="194"/>
      <c r="BH119" s="194"/>
      <c r="BI119" s="194"/>
      <c r="BJ119" s="194"/>
    </row>
    <row r="120" ht="15.75" customHeight="1">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194"/>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94"/>
      <c r="AX120" s="194"/>
      <c r="AY120" s="194"/>
      <c r="AZ120" s="194"/>
      <c r="BA120" s="194"/>
      <c r="BB120" s="194"/>
      <c r="BC120" s="194"/>
      <c r="BD120" s="194"/>
      <c r="BE120" s="194"/>
      <c r="BF120" s="194"/>
      <c r="BG120" s="194"/>
      <c r="BH120" s="194"/>
      <c r="BI120" s="194"/>
      <c r="BJ120" s="194"/>
    </row>
    <row r="121" ht="15.75" customHeight="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c r="AA121" s="194"/>
      <c r="AB121" s="194"/>
      <c r="AC121" s="194"/>
      <c r="AD121" s="194"/>
      <c r="AE121" s="194"/>
      <c r="AF121" s="194"/>
      <c r="AG121" s="194"/>
      <c r="AH121" s="194"/>
      <c r="AI121" s="194"/>
      <c r="AJ121" s="194"/>
      <c r="AK121" s="194"/>
      <c r="AL121" s="194"/>
      <c r="AM121" s="194"/>
      <c r="AN121" s="194"/>
      <c r="AO121" s="194"/>
      <c r="AP121" s="194"/>
      <c r="AQ121" s="194"/>
      <c r="AR121" s="194"/>
      <c r="AS121" s="194"/>
      <c r="AT121" s="194"/>
      <c r="AU121" s="194"/>
      <c r="AV121" s="194"/>
      <c r="AW121" s="194"/>
      <c r="AX121" s="194"/>
      <c r="AY121" s="194"/>
      <c r="AZ121" s="194"/>
      <c r="BA121" s="194"/>
      <c r="BB121" s="194"/>
      <c r="BC121" s="194"/>
      <c r="BD121" s="194"/>
      <c r="BE121" s="194"/>
      <c r="BF121" s="194"/>
      <c r="BG121" s="194"/>
      <c r="BH121" s="194"/>
      <c r="BI121" s="194"/>
      <c r="BJ121" s="194"/>
    </row>
    <row r="122" ht="15.75" customHeight="1">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194"/>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94"/>
      <c r="AX122" s="194"/>
      <c r="AY122" s="194"/>
      <c r="AZ122" s="194"/>
      <c r="BA122" s="194"/>
      <c r="BB122" s="194"/>
      <c r="BC122" s="194"/>
      <c r="BD122" s="194"/>
      <c r="BE122" s="194"/>
      <c r="BF122" s="194"/>
      <c r="BG122" s="194"/>
      <c r="BH122" s="194"/>
      <c r="BI122" s="194"/>
      <c r="BJ122" s="194"/>
    </row>
    <row r="123" ht="15.75" customHeight="1">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c r="AA123" s="194"/>
      <c r="AB123" s="194"/>
      <c r="AC123" s="194"/>
      <c r="AD123" s="194"/>
      <c r="AE123" s="194"/>
      <c r="AF123" s="194"/>
      <c r="AG123" s="194"/>
      <c r="AH123" s="194"/>
      <c r="AI123" s="194"/>
      <c r="AJ123" s="194"/>
      <c r="AK123" s="194"/>
      <c r="AL123" s="194"/>
      <c r="AM123" s="194"/>
      <c r="AN123" s="194"/>
      <c r="AO123" s="194"/>
      <c r="AP123" s="194"/>
      <c r="AQ123" s="194"/>
      <c r="AR123" s="194"/>
      <c r="AS123" s="194"/>
      <c r="AT123" s="194"/>
      <c r="AU123" s="194"/>
      <c r="AV123" s="194"/>
      <c r="AW123" s="194"/>
      <c r="AX123" s="194"/>
      <c r="AY123" s="194"/>
      <c r="AZ123" s="194"/>
      <c r="BA123" s="194"/>
      <c r="BB123" s="194"/>
      <c r="BC123" s="194"/>
      <c r="BD123" s="194"/>
      <c r="BE123" s="194"/>
      <c r="BF123" s="194"/>
      <c r="BG123" s="194"/>
      <c r="BH123" s="194"/>
      <c r="BI123" s="194"/>
      <c r="BJ123" s="194"/>
    </row>
    <row r="124" ht="15.75" customHeight="1">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194"/>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94"/>
      <c r="AX124" s="194"/>
      <c r="AY124" s="194"/>
      <c r="AZ124" s="194"/>
      <c r="BA124" s="194"/>
      <c r="BB124" s="194"/>
      <c r="BC124" s="194"/>
      <c r="BD124" s="194"/>
      <c r="BE124" s="194"/>
      <c r="BF124" s="194"/>
      <c r="BG124" s="194"/>
      <c r="BH124" s="194"/>
      <c r="BI124" s="194"/>
      <c r="BJ124" s="194"/>
    </row>
    <row r="125" ht="15.75" customHeight="1">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c r="AA125" s="194"/>
      <c r="AB125" s="194"/>
      <c r="AC125" s="194"/>
      <c r="AD125" s="194"/>
      <c r="AE125" s="194"/>
      <c r="AF125" s="194"/>
      <c r="AG125" s="194"/>
      <c r="AH125" s="194"/>
      <c r="AI125" s="194"/>
      <c r="AJ125" s="194"/>
      <c r="AK125" s="194"/>
      <c r="AL125" s="194"/>
      <c r="AM125" s="194"/>
      <c r="AN125" s="194"/>
      <c r="AO125" s="194"/>
      <c r="AP125" s="194"/>
      <c r="AQ125" s="194"/>
      <c r="AR125" s="194"/>
      <c r="AS125" s="194"/>
      <c r="AT125" s="194"/>
      <c r="AU125" s="194"/>
      <c r="AV125" s="194"/>
      <c r="AW125" s="194"/>
      <c r="AX125" s="194"/>
      <c r="AY125" s="194"/>
      <c r="AZ125" s="194"/>
      <c r="BA125" s="194"/>
      <c r="BB125" s="194"/>
      <c r="BC125" s="194"/>
      <c r="BD125" s="194"/>
      <c r="BE125" s="194"/>
      <c r="BF125" s="194"/>
      <c r="BG125" s="194"/>
      <c r="BH125" s="194"/>
      <c r="BI125" s="194"/>
      <c r="BJ125" s="194"/>
    </row>
    <row r="126" ht="15.75" customHeight="1">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194"/>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94"/>
      <c r="AX126" s="194"/>
      <c r="AY126" s="194"/>
      <c r="AZ126" s="194"/>
      <c r="BA126" s="194"/>
      <c r="BB126" s="194"/>
      <c r="BC126" s="194"/>
      <c r="BD126" s="194"/>
      <c r="BE126" s="194"/>
      <c r="BF126" s="194"/>
      <c r="BG126" s="194"/>
      <c r="BH126" s="194"/>
      <c r="BI126" s="194"/>
      <c r="BJ126" s="194"/>
    </row>
    <row r="127" ht="15.75" customHeight="1">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c r="AA127" s="194"/>
      <c r="AB127" s="194"/>
      <c r="AC127" s="194"/>
      <c r="AD127" s="194"/>
      <c r="AE127" s="194"/>
      <c r="AF127" s="194"/>
      <c r="AG127" s="194"/>
      <c r="AH127" s="194"/>
      <c r="AI127" s="194"/>
      <c r="AJ127" s="194"/>
      <c r="AK127" s="194"/>
      <c r="AL127" s="194"/>
      <c r="AM127" s="194"/>
      <c r="AN127" s="194"/>
      <c r="AO127" s="194"/>
      <c r="AP127" s="194"/>
      <c r="AQ127" s="194"/>
      <c r="AR127" s="194"/>
      <c r="AS127" s="194"/>
      <c r="AT127" s="194"/>
      <c r="AU127" s="194"/>
      <c r="AV127" s="194"/>
      <c r="AW127" s="194"/>
      <c r="AX127" s="194"/>
      <c r="AY127" s="194"/>
      <c r="AZ127" s="194"/>
      <c r="BA127" s="194"/>
      <c r="BB127" s="194"/>
      <c r="BC127" s="194"/>
      <c r="BD127" s="194"/>
      <c r="BE127" s="194"/>
      <c r="BF127" s="194"/>
      <c r="BG127" s="194"/>
      <c r="BH127" s="194"/>
      <c r="BI127" s="194"/>
      <c r="BJ127" s="194"/>
    </row>
    <row r="128" ht="15.75" customHeight="1">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194"/>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94"/>
      <c r="AX128" s="194"/>
      <c r="AY128" s="194"/>
      <c r="AZ128" s="194"/>
      <c r="BA128" s="194"/>
      <c r="BB128" s="194"/>
      <c r="BC128" s="194"/>
      <c r="BD128" s="194"/>
      <c r="BE128" s="194"/>
      <c r="BF128" s="194"/>
      <c r="BG128" s="194"/>
      <c r="BH128" s="194"/>
      <c r="BI128" s="194"/>
      <c r="BJ128" s="194"/>
    </row>
    <row r="129" ht="15.75" customHeight="1">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c r="AA129" s="194"/>
      <c r="AB129" s="194"/>
      <c r="AC129" s="194"/>
      <c r="AD129" s="194"/>
      <c r="AE129" s="194"/>
      <c r="AF129" s="194"/>
      <c r="AG129" s="194"/>
      <c r="AH129" s="194"/>
      <c r="AI129" s="194"/>
      <c r="AJ129" s="194"/>
      <c r="AK129" s="194"/>
      <c r="AL129" s="194"/>
      <c r="AM129" s="194"/>
      <c r="AN129" s="194"/>
      <c r="AO129" s="194"/>
      <c r="AP129" s="194"/>
      <c r="AQ129" s="194"/>
      <c r="AR129" s="194"/>
      <c r="AS129" s="194"/>
      <c r="AT129" s="194"/>
      <c r="AU129" s="194"/>
      <c r="AV129" s="194"/>
      <c r="AW129" s="194"/>
      <c r="AX129" s="194"/>
      <c r="AY129" s="194"/>
      <c r="AZ129" s="194"/>
      <c r="BA129" s="194"/>
      <c r="BB129" s="194"/>
      <c r="BC129" s="194"/>
      <c r="BD129" s="194"/>
      <c r="BE129" s="194"/>
      <c r="BF129" s="194"/>
      <c r="BG129" s="194"/>
      <c r="BH129" s="194"/>
      <c r="BI129" s="194"/>
      <c r="BJ129" s="194"/>
    </row>
    <row r="130" ht="15.75" customHeight="1">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194"/>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94"/>
      <c r="AX130" s="194"/>
      <c r="AY130" s="194"/>
      <c r="AZ130" s="194"/>
      <c r="BA130" s="194"/>
      <c r="BB130" s="194"/>
      <c r="BC130" s="194"/>
      <c r="BD130" s="194"/>
      <c r="BE130" s="194"/>
      <c r="BF130" s="194"/>
      <c r="BG130" s="194"/>
      <c r="BH130" s="194"/>
      <c r="BI130" s="194"/>
      <c r="BJ130" s="194"/>
    </row>
    <row r="131" ht="15.75" customHeight="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c r="AA131" s="194"/>
      <c r="AB131" s="194"/>
      <c r="AC131" s="194"/>
      <c r="AD131" s="194"/>
      <c r="AE131" s="194"/>
      <c r="AF131" s="194"/>
      <c r="AG131" s="194"/>
      <c r="AH131" s="194"/>
      <c r="AI131" s="194"/>
      <c r="AJ131" s="194"/>
      <c r="AK131" s="194"/>
      <c r="AL131" s="194"/>
      <c r="AM131" s="194"/>
      <c r="AN131" s="194"/>
      <c r="AO131" s="194"/>
      <c r="AP131" s="194"/>
      <c r="AQ131" s="194"/>
      <c r="AR131" s="194"/>
      <c r="AS131" s="194"/>
      <c r="AT131" s="194"/>
      <c r="AU131" s="194"/>
      <c r="AV131" s="194"/>
      <c r="AW131" s="194"/>
      <c r="AX131" s="194"/>
      <c r="AY131" s="194"/>
      <c r="AZ131" s="194"/>
      <c r="BA131" s="194"/>
      <c r="BB131" s="194"/>
      <c r="BC131" s="194"/>
      <c r="BD131" s="194"/>
      <c r="BE131" s="194"/>
      <c r="BF131" s="194"/>
      <c r="BG131" s="194"/>
      <c r="BH131" s="194"/>
      <c r="BI131" s="194"/>
      <c r="BJ131" s="194"/>
    </row>
    <row r="132" ht="15.75" customHeight="1">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194"/>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94"/>
      <c r="AX132" s="194"/>
      <c r="AY132" s="194"/>
      <c r="AZ132" s="194"/>
      <c r="BA132" s="194"/>
      <c r="BB132" s="194"/>
      <c r="BC132" s="194"/>
      <c r="BD132" s="194"/>
      <c r="BE132" s="194"/>
      <c r="BF132" s="194"/>
      <c r="BG132" s="194"/>
      <c r="BH132" s="194"/>
      <c r="BI132" s="194"/>
      <c r="BJ132" s="194"/>
    </row>
    <row r="133" ht="15.75" customHeight="1">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c r="AA133" s="194"/>
      <c r="AB133" s="194"/>
      <c r="AC133" s="194"/>
      <c r="AD133" s="194"/>
      <c r="AE133" s="194"/>
      <c r="AF133" s="194"/>
      <c r="AG133" s="194"/>
      <c r="AH133" s="194"/>
      <c r="AI133" s="194"/>
      <c r="AJ133" s="194"/>
      <c r="AK133" s="194"/>
      <c r="AL133" s="194"/>
      <c r="AM133" s="194"/>
      <c r="AN133" s="194"/>
      <c r="AO133" s="194"/>
      <c r="AP133" s="194"/>
      <c r="AQ133" s="194"/>
      <c r="AR133" s="194"/>
      <c r="AS133" s="194"/>
      <c r="AT133" s="194"/>
      <c r="AU133" s="194"/>
      <c r="AV133" s="194"/>
      <c r="AW133" s="194"/>
      <c r="AX133" s="194"/>
      <c r="AY133" s="194"/>
      <c r="AZ133" s="194"/>
      <c r="BA133" s="194"/>
      <c r="BB133" s="194"/>
      <c r="BC133" s="194"/>
      <c r="BD133" s="194"/>
      <c r="BE133" s="194"/>
      <c r="BF133" s="194"/>
      <c r="BG133" s="194"/>
      <c r="BH133" s="194"/>
      <c r="BI133" s="194"/>
      <c r="BJ133" s="194"/>
    </row>
    <row r="134" ht="15.75" customHeight="1">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194"/>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94"/>
      <c r="AX134" s="194"/>
      <c r="AY134" s="194"/>
      <c r="AZ134" s="194"/>
      <c r="BA134" s="194"/>
      <c r="BB134" s="194"/>
      <c r="BC134" s="194"/>
      <c r="BD134" s="194"/>
      <c r="BE134" s="194"/>
      <c r="BF134" s="194"/>
      <c r="BG134" s="194"/>
      <c r="BH134" s="194"/>
      <c r="BI134" s="194"/>
      <c r="BJ134" s="194"/>
    </row>
    <row r="135" ht="15.75" customHeight="1">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c r="AA135" s="194"/>
      <c r="AB135" s="194"/>
      <c r="AC135" s="194"/>
      <c r="AD135" s="194"/>
      <c r="AE135" s="194"/>
      <c r="AF135" s="194"/>
      <c r="AG135" s="194"/>
      <c r="AH135" s="194"/>
      <c r="AI135" s="194"/>
      <c r="AJ135" s="194"/>
      <c r="AK135" s="194"/>
      <c r="AL135" s="194"/>
      <c r="AM135" s="194"/>
      <c r="AN135" s="194"/>
      <c r="AO135" s="194"/>
      <c r="AP135" s="194"/>
      <c r="AQ135" s="194"/>
      <c r="AR135" s="194"/>
      <c r="AS135" s="194"/>
      <c r="AT135" s="194"/>
      <c r="AU135" s="194"/>
      <c r="AV135" s="194"/>
      <c r="AW135" s="194"/>
      <c r="AX135" s="194"/>
      <c r="AY135" s="194"/>
      <c r="AZ135" s="194"/>
      <c r="BA135" s="194"/>
      <c r="BB135" s="194"/>
      <c r="BC135" s="194"/>
      <c r="BD135" s="194"/>
      <c r="BE135" s="194"/>
      <c r="BF135" s="194"/>
      <c r="BG135" s="194"/>
      <c r="BH135" s="194"/>
      <c r="BI135" s="194"/>
      <c r="BJ135" s="194"/>
    </row>
    <row r="136" ht="15.75" customHeight="1">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194"/>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94"/>
      <c r="AX136" s="194"/>
      <c r="AY136" s="194"/>
      <c r="AZ136" s="194"/>
      <c r="BA136" s="194"/>
      <c r="BB136" s="194"/>
      <c r="BC136" s="194"/>
      <c r="BD136" s="194"/>
      <c r="BE136" s="194"/>
      <c r="BF136" s="194"/>
      <c r="BG136" s="194"/>
      <c r="BH136" s="194"/>
      <c r="BI136" s="194"/>
      <c r="BJ136" s="194"/>
    </row>
    <row r="137" ht="15.75" customHeight="1">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c r="AA137" s="194"/>
      <c r="AB137" s="194"/>
      <c r="AC137" s="194"/>
      <c r="AD137" s="194"/>
      <c r="AE137" s="194"/>
      <c r="AF137" s="194"/>
      <c r="AG137" s="194"/>
      <c r="AH137" s="194"/>
      <c r="AI137" s="194"/>
      <c r="AJ137" s="194"/>
      <c r="AK137" s="194"/>
      <c r="AL137" s="194"/>
      <c r="AM137" s="194"/>
      <c r="AN137" s="194"/>
      <c r="AO137" s="194"/>
      <c r="AP137" s="194"/>
      <c r="AQ137" s="194"/>
      <c r="AR137" s="194"/>
      <c r="AS137" s="194"/>
      <c r="AT137" s="194"/>
      <c r="AU137" s="194"/>
      <c r="AV137" s="194"/>
      <c r="AW137" s="194"/>
      <c r="AX137" s="194"/>
      <c r="AY137" s="194"/>
      <c r="AZ137" s="194"/>
      <c r="BA137" s="194"/>
      <c r="BB137" s="194"/>
      <c r="BC137" s="194"/>
      <c r="BD137" s="194"/>
      <c r="BE137" s="194"/>
      <c r="BF137" s="194"/>
      <c r="BG137" s="194"/>
      <c r="BH137" s="194"/>
      <c r="BI137" s="194"/>
      <c r="BJ137" s="194"/>
    </row>
    <row r="138" ht="15.75" customHeight="1">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194"/>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94"/>
      <c r="AX138" s="194"/>
      <c r="AY138" s="194"/>
      <c r="AZ138" s="194"/>
      <c r="BA138" s="194"/>
      <c r="BB138" s="194"/>
      <c r="BC138" s="194"/>
      <c r="BD138" s="194"/>
      <c r="BE138" s="194"/>
      <c r="BF138" s="194"/>
      <c r="BG138" s="194"/>
      <c r="BH138" s="194"/>
      <c r="BI138" s="194"/>
      <c r="BJ138" s="194"/>
    </row>
    <row r="139" ht="15.75" customHeight="1">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c r="AA139" s="194"/>
      <c r="AB139" s="194"/>
      <c r="AC139" s="194"/>
      <c r="AD139" s="194"/>
      <c r="AE139" s="194"/>
      <c r="AF139" s="194"/>
      <c r="AG139" s="194"/>
      <c r="AH139" s="194"/>
      <c r="AI139" s="194"/>
      <c r="AJ139" s="194"/>
      <c r="AK139" s="194"/>
      <c r="AL139" s="194"/>
      <c r="AM139" s="194"/>
      <c r="AN139" s="194"/>
      <c r="AO139" s="194"/>
      <c r="AP139" s="194"/>
      <c r="AQ139" s="194"/>
      <c r="AR139" s="194"/>
      <c r="AS139" s="194"/>
      <c r="AT139" s="194"/>
      <c r="AU139" s="194"/>
      <c r="AV139" s="194"/>
      <c r="AW139" s="194"/>
      <c r="AX139" s="194"/>
      <c r="AY139" s="194"/>
      <c r="AZ139" s="194"/>
      <c r="BA139" s="194"/>
      <c r="BB139" s="194"/>
      <c r="BC139" s="194"/>
      <c r="BD139" s="194"/>
      <c r="BE139" s="194"/>
      <c r="BF139" s="194"/>
      <c r="BG139" s="194"/>
      <c r="BH139" s="194"/>
      <c r="BI139" s="194"/>
      <c r="BJ139" s="194"/>
    </row>
    <row r="140" ht="15.75" customHeight="1">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194"/>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94"/>
      <c r="AX140" s="194"/>
      <c r="AY140" s="194"/>
      <c r="AZ140" s="194"/>
      <c r="BA140" s="194"/>
      <c r="BB140" s="194"/>
      <c r="BC140" s="194"/>
      <c r="BD140" s="194"/>
      <c r="BE140" s="194"/>
      <c r="BF140" s="194"/>
      <c r="BG140" s="194"/>
      <c r="BH140" s="194"/>
      <c r="BI140" s="194"/>
      <c r="BJ140" s="194"/>
    </row>
    <row r="141" ht="15.75" customHeight="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c r="AA141" s="194"/>
      <c r="AB141" s="194"/>
      <c r="AC141" s="194"/>
      <c r="AD141" s="194"/>
      <c r="AE141" s="194"/>
      <c r="AF141" s="194"/>
      <c r="AG141" s="194"/>
      <c r="AH141" s="194"/>
      <c r="AI141" s="194"/>
      <c r="AJ141" s="194"/>
      <c r="AK141" s="194"/>
      <c r="AL141" s="194"/>
      <c r="AM141" s="194"/>
      <c r="AN141" s="194"/>
      <c r="AO141" s="194"/>
      <c r="AP141" s="194"/>
      <c r="AQ141" s="194"/>
      <c r="AR141" s="194"/>
      <c r="AS141" s="194"/>
      <c r="AT141" s="194"/>
      <c r="AU141" s="194"/>
      <c r="AV141" s="194"/>
      <c r="AW141" s="194"/>
      <c r="AX141" s="194"/>
      <c r="AY141" s="194"/>
      <c r="AZ141" s="194"/>
      <c r="BA141" s="194"/>
      <c r="BB141" s="194"/>
      <c r="BC141" s="194"/>
      <c r="BD141" s="194"/>
      <c r="BE141" s="194"/>
      <c r="BF141" s="194"/>
      <c r="BG141" s="194"/>
      <c r="BH141" s="194"/>
      <c r="BI141" s="194"/>
      <c r="BJ141" s="194"/>
    </row>
    <row r="142" ht="15.75" customHeight="1">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194"/>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94"/>
      <c r="AX142" s="194"/>
      <c r="AY142" s="194"/>
      <c r="AZ142" s="194"/>
      <c r="BA142" s="194"/>
      <c r="BB142" s="194"/>
      <c r="BC142" s="194"/>
      <c r="BD142" s="194"/>
      <c r="BE142" s="194"/>
      <c r="BF142" s="194"/>
      <c r="BG142" s="194"/>
      <c r="BH142" s="194"/>
      <c r="BI142" s="194"/>
      <c r="BJ142" s="194"/>
    </row>
    <row r="143" ht="15.75" customHeight="1">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c r="AA143" s="194"/>
      <c r="AB143" s="194"/>
      <c r="AC143" s="194"/>
      <c r="AD143" s="194"/>
      <c r="AE143" s="194"/>
      <c r="AF143" s="194"/>
      <c r="AG143" s="194"/>
      <c r="AH143" s="194"/>
      <c r="AI143" s="194"/>
      <c r="AJ143" s="194"/>
      <c r="AK143" s="194"/>
      <c r="AL143" s="194"/>
      <c r="AM143" s="194"/>
      <c r="AN143" s="194"/>
      <c r="AO143" s="194"/>
      <c r="AP143" s="194"/>
      <c r="AQ143" s="194"/>
      <c r="AR143" s="194"/>
      <c r="AS143" s="194"/>
      <c r="AT143" s="194"/>
      <c r="AU143" s="194"/>
      <c r="AV143" s="194"/>
      <c r="AW143" s="194"/>
      <c r="AX143" s="194"/>
      <c r="AY143" s="194"/>
      <c r="AZ143" s="194"/>
      <c r="BA143" s="194"/>
      <c r="BB143" s="194"/>
      <c r="BC143" s="194"/>
      <c r="BD143" s="194"/>
      <c r="BE143" s="194"/>
      <c r="BF143" s="194"/>
      <c r="BG143" s="194"/>
      <c r="BH143" s="194"/>
      <c r="BI143" s="194"/>
      <c r="BJ143" s="194"/>
    </row>
    <row r="144" ht="15.75" customHeight="1">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194"/>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94"/>
      <c r="AX144" s="194"/>
      <c r="AY144" s="194"/>
      <c r="AZ144" s="194"/>
      <c r="BA144" s="194"/>
      <c r="BB144" s="194"/>
      <c r="BC144" s="194"/>
      <c r="BD144" s="194"/>
      <c r="BE144" s="194"/>
      <c r="BF144" s="194"/>
      <c r="BG144" s="194"/>
      <c r="BH144" s="194"/>
      <c r="BI144" s="194"/>
      <c r="BJ144" s="194"/>
    </row>
    <row r="145" ht="15.75" customHeight="1">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c r="AA145" s="194"/>
      <c r="AB145" s="194"/>
      <c r="AC145" s="194"/>
      <c r="AD145" s="194"/>
      <c r="AE145" s="194"/>
      <c r="AF145" s="194"/>
      <c r="AG145" s="194"/>
      <c r="AH145" s="194"/>
      <c r="AI145" s="194"/>
      <c r="AJ145" s="194"/>
      <c r="AK145" s="194"/>
      <c r="AL145" s="194"/>
      <c r="AM145" s="194"/>
      <c r="AN145" s="194"/>
      <c r="AO145" s="194"/>
      <c r="AP145" s="194"/>
      <c r="AQ145" s="194"/>
      <c r="AR145" s="194"/>
      <c r="AS145" s="194"/>
      <c r="AT145" s="194"/>
      <c r="AU145" s="194"/>
      <c r="AV145" s="194"/>
      <c r="AW145" s="194"/>
      <c r="AX145" s="194"/>
      <c r="AY145" s="194"/>
      <c r="AZ145" s="194"/>
      <c r="BA145" s="194"/>
      <c r="BB145" s="194"/>
      <c r="BC145" s="194"/>
      <c r="BD145" s="194"/>
      <c r="BE145" s="194"/>
      <c r="BF145" s="194"/>
      <c r="BG145" s="194"/>
      <c r="BH145" s="194"/>
      <c r="BI145" s="194"/>
      <c r="BJ145" s="194"/>
    </row>
    <row r="146" ht="15.75" customHeight="1">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94"/>
      <c r="AX146" s="194"/>
      <c r="AY146" s="194"/>
      <c r="AZ146" s="194"/>
      <c r="BA146" s="194"/>
      <c r="BB146" s="194"/>
      <c r="BC146" s="194"/>
      <c r="BD146" s="194"/>
      <c r="BE146" s="194"/>
      <c r="BF146" s="194"/>
      <c r="BG146" s="194"/>
      <c r="BH146" s="194"/>
      <c r="BI146" s="194"/>
      <c r="BJ146" s="194"/>
    </row>
    <row r="147" ht="15.75" customHeight="1">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c r="AA147" s="194"/>
      <c r="AB147" s="194"/>
      <c r="AC147" s="194"/>
      <c r="AD147" s="194"/>
      <c r="AE147" s="194"/>
      <c r="AF147" s="194"/>
      <c r="AG147" s="194"/>
      <c r="AH147" s="194"/>
      <c r="AI147" s="194"/>
      <c r="AJ147" s="194"/>
      <c r="AK147" s="194"/>
      <c r="AL147" s="194"/>
      <c r="AM147" s="194"/>
      <c r="AN147" s="194"/>
      <c r="AO147" s="194"/>
      <c r="AP147" s="194"/>
      <c r="AQ147" s="194"/>
      <c r="AR147" s="194"/>
      <c r="AS147" s="194"/>
      <c r="AT147" s="194"/>
      <c r="AU147" s="194"/>
      <c r="AV147" s="194"/>
      <c r="AW147" s="194"/>
      <c r="AX147" s="194"/>
      <c r="AY147" s="194"/>
      <c r="AZ147" s="194"/>
      <c r="BA147" s="194"/>
      <c r="BB147" s="194"/>
      <c r="BC147" s="194"/>
      <c r="BD147" s="194"/>
      <c r="BE147" s="194"/>
      <c r="BF147" s="194"/>
      <c r="BG147" s="194"/>
      <c r="BH147" s="194"/>
      <c r="BI147" s="194"/>
      <c r="BJ147" s="194"/>
    </row>
    <row r="148" ht="15.75" customHeight="1">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194"/>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94"/>
      <c r="AX148" s="194"/>
      <c r="AY148" s="194"/>
      <c r="AZ148" s="194"/>
      <c r="BA148" s="194"/>
      <c r="BB148" s="194"/>
      <c r="BC148" s="194"/>
      <c r="BD148" s="194"/>
      <c r="BE148" s="194"/>
      <c r="BF148" s="194"/>
      <c r="BG148" s="194"/>
      <c r="BH148" s="194"/>
      <c r="BI148" s="194"/>
      <c r="BJ148" s="194"/>
    </row>
    <row r="149" ht="15.75" customHeight="1">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c r="AA149" s="194"/>
      <c r="AB149" s="194"/>
      <c r="AC149" s="194"/>
      <c r="AD149" s="194"/>
      <c r="AE149" s="194"/>
      <c r="AF149" s="194"/>
      <c r="AG149" s="194"/>
      <c r="AH149" s="194"/>
      <c r="AI149" s="194"/>
      <c r="AJ149" s="194"/>
      <c r="AK149" s="194"/>
      <c r="AL149" s="194"/>
      <c r="AM149" s="194"/>
      <c r="AN149" s="194"/>
      <c r="AO149" s="194"/>
      <c r="AP149" s="194"/>
      <c r="AQ149" s="194"/>
      <c r="AR149" s="194"/>
      <c r="AS149" s="194"/>
      <c r="AT149" s="194"/>
      <c r="AU149" s="194"/>
      <c r="AV149" s="194"/>
      <c r="AW149" s="194"/>
      <c r="AX149" s="194"/>
      <c r="AY149" s="194"/>
      <c r="AZ149" s="194"/>
      <c r="BA149" s="194"/>
      <c r="BB149" s="194"/>
      <c r="BC149" s="194"/>
      <c r="BD149" s="194"/>
      <c r="BE149" s="194"/>
      <c r="BF149" s="194"/>
      <c r="BG149" s="194"/>
      <c r="BH149" s="194"/>
      <c r="BI149" s="194"/>
      <c r="BJ149" s="194"/>
    </row>
    <row r="150" ht="15.75" customHeight="1">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194"/>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94"/>
      <c r="AX150" s="194"/>
      <c r="AY150" s="194"/>
      <c r="AZ150" s="194"/>
      <c r="BA150" s="194"/>
      <c r="BB150" s="194"/>
      <c r="BC150" s="194"/>
      <c r="BD150" s="194"/>
      <c r="BE150" s="194"/>
      <c r="BF150" s="194"/>
      <c r="BG150" s="194"/>
      <c r="BH150" s="194"/>
      <c r="BI150" s="194"/>
      <c r="BJ150" s="194"/>
    </row>
    <row r="151" ht="15.75" customHeight="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c r="AA151" s="194"/>
      <c r="AB151" s="194"/>
      <c r="AC151" s="194"/>
      <c r="AD151" s="194"/>
      <c r="AE151" s="194"/>
      <c r="AF151" s="194"/>
      <c r="AG151" s="194"/>
      <c r="AH151" s="194"/>
      <c r="AI151" s="194"/>
      <c r="AJ151" s="194"/>
      <c r="AK151" s="194"/>
      <c r="AL151" s="194"/>
      <c r="AM151" s="194"/>
      <c r="AN151" s="194"/>
      <c r="AO151" s="194"/>
      <c r="AP151" s="194"/>
      <c r="AQ151" s="194"/>
      <c r="AR151" s="194"/>
      <c r="AS151" s="194"/>
      <c r="AT151" s="194"/>
      <c r="AU151" s="194"/>
      <c r="AV151" s="194"/>
      <c r="AW151" s="194"/>
      <c r="AX151" s="194"/>
      <c r="AY151" s="194"/>
      <c r="AZ151" s="194"/>
      <c r="BA151" s="194"/>
      <c r="BB151" s="194"/>
      <c r="BC151" s="194"/>
      <c r="BD151" s="194"/>
      <c r="BE151" s="194"/>
      <c r="BF151" s="194"/>
      <c r="BG151" s="194"/>
      <c r="BH151" s="194"/>
      <c r="BI151" s="194"/>
      <c r="BJ151" s="194"/>
    </row>
    <row r="152" ht="15.75" customHeight="1">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194"/>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94"/>
      <c r="AX152" s="194"/>
      <c r="AY152" s="194"/>
      <c r="AZ152" s="194"/>
      <c r="BA152" s="194"/>
      <c r="BB152" s="194"/>
      <c r="BC152" s="194"/>
      <c r="BD152" s="194"/>
      <c r="BE152" s="194"/>
      <c r="BF152" s="194"/>
      <c r="BG152" s="194"/>
      <c r="BH152" s="194"/>
      <c r="BI152" s="194"/>
      <c r="BJ152" s="194"/>
    </row>
    <row r="153" ht="15.75" customHeight="1">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c r="AA153" s="194"/>
      <c r="AB153" s="194"/>
      <c r="AC153" s="194"/>
      <c r="AD153" s="194"/>
      <c r="AE153" s="194"/>
      <c r="AF153" s="194"/>
      <c r="AG153" s="194"/>
      <c r="AH153" s="194"/>
      <c r="AI153" s="194"/>
      <c r="AJ153" s="194"/>
      <c r="AK153" s="194"/>
      <c r="AL153" s="194"/>
      <c r="AM153" s="194"/>
      <c r="AN153" s="194"/>
      <c r="AO153" s="194"/>
      <c r="AP153" s="194"/>
      <c r="AQ153" s="194"/>
      <c r="AR153" s="194"/>
      <c r="AS153" s="194"/>
      <c r="AT153" s="194"/>
      <c r="AU153" s="194"/>
      <c r="AV153" s="194"/>
      <c r="AW153" s="194"/>
      <c r="AX153" s="194"/>
      <c r="AY153" s="194"/>
      <c r="AZ153" s="194"/>
      <c r="BA153" s="194"/>
      <c r="BB153" s="194"/>
      <c r="BC153" s="194"/>
      <c r="BD153" s="194"/>
      <c r="BE153" s="194"/>
      <c r="BF153" s="194"/>
      <c r="BG153" s="194"/>
      <c r="BH153" s="194"/>
      <c r="BI153" s="194"/>
      <c r="BJ153" s="194"/>
    </row>
    <row r="154" ht="15.75" customHeight="1">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194"/>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94"/>
      <c r="AX154" s="194"/>
      <c r="AY154" s="194"/>
      <c r="AZ154" s="194"/>
      <c r="BA154" s="194"/>
      <c r="BB154" s="194"/>
      <c r="BC154" s="194"/>
      <c r="BD154" s="194"/>
      <c r="BE154" s="194"/>
      <c r="BF154" s="194"/>
      <c r="BG154" s="194"/>
      <c r="BH154" s="194"/>
      <c r="BI154" s="194"/>
      <c r="BJ154" s="194"/>
    </row>
    <row r="155" ht="15.75" customHeight="1">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c r="AA155" s="194"/>
      <c r="AB155" s="194"/>
      <c r="AC155" s="194"/>
      <c r="AD155" s="194"/>
      <c r="AE155" s="194"/>
      <c r="AF155" s="194"/>
      <c r="AG155" s="194"/>
      <c r="AH155" s="194"/>
      <c r="AI155" s="194"/>
      <c r="AJ155" s="194"/>
      <c r="AK155" s="194"/>
      <c r="AL155" s="194"/>
      <c r="AM155" s="194"/>
      <c r="AN155" s="194"/>
      <c r="AO155" s="194"/>
      <c r="AP155" s="194"/>
      <c r="AQ155" s="194"/>
      <c r="AR155" s="194"/>
      <c r="AS155" s="194"/>
      <c r="AT155" s="194"/>
      <c r="AU155" s="194"/>
      <c r="AV155" s="194"/>
      <c r="AW155" s="194"/>
      <c r="AX155" s="194"/>
      <c r="AY155" s="194"/>
      <c r="AZ155" s="194"/>
      <c r="BA155" s="194"/>
      <c r="BB155" s="194"/>
      <c r="BC155" s="194"/>
      <c r="BD155" s="194"/>
      <c r="BE155" s="194"/>
      <c r="BF155" s="194"/>
      <c r="BG155" s="194"/>
      <c r="BH155" s="194"/>
      <c r="BI155" s="194"/>
      <c r="BJ155" s="194"/>
    </row>
    <row r="156" ht="15.75" customHeight="1">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194"/>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94"/>
      <c r="AX156" s="194"/>
      <c r="AY156" s="194"/>
      <c r="AZ156" s="194"/>
      <c r="BA156" s="194"/>
      <c r="BB156" s="194"/>
      <c r="BC156" s="194"/>
      <c r="BD156" s="194"/>
      <c r="BE156" s="194"/>
      <c r="BF156" s="194"/>
      <c r="BG156" s="194"/>
      <c r="BH156" s="194"/>
      <c r="BI156" s="194"/>
      <c r="BJ156" s="194"/>
    </row>
    <row r="157" ht="15.75" customHeight="1">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c r="AA157" s="194"/>
      <c r="AB157" s="194"/>
      <c r="AC157" s="194"/>
      <c r="AD157" s="194"/>
      <c r="AE157" s="194"/>
      <c r="AF157" s="194"/>
      <c r="AG157" s="194"/>
      <c r="AH157" s="194"/>
      <c r="AI157" s="194"/>
      <c r="AJ157" s="194"/>
      <c r="AK157" s="194"/>
      <c r="AL157" s="194"/>
      <c r="AM157" s="194"/>
      <c r="AN157" s="194"/>
      <c r="AO157" s="194"/>
      <c r="AP157" s="194"/>
      <c r="AQ157" s="194"/>
      <c r="AR157" s="194"/>
      <c r="AS157" s="194"/>
      <c r="AT157" s="194"/>
      <c r="AU157" s="194"/>
      <c r="AV157" s="194"/>
      <c r="AW157" s="194"/>
      <c r="AX157" s="194"/>
      <c r="AY157" s="194"/>
      <c r="AZ157" s="194"/>
      <c r="BA157" s="194"/>
      <c r="BB157" s="194"/>
      <c r="BC157" s="194"/>
      <c r="BD157" s="194"/>
      <c r="BE157" s="194"/>
      <c r="BF157" s="194"/>
      <c r="BG157" s="194"/>
      <c r="BH157" s="194"/>
      <c r="BI157" s="194"/>
      <c r="BJ157" s="194"/>
    </row>
    <row r="158" ht="15.75" customHeight="1">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194"/>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94"/>
      <c r="AX158" s="194"/>
      <c r="AY158" s="194"/>
      <c r="AZ158" s="194"/>
      <c r="BA158" s="194"/>
      <c r="BB158" s="194"/>
      <c r="BC158" s="194"/>
      <c r="BD158" s="194"/>
      <c r="BE158" s="194"/>
      <c r="BF158" s="194"/>
      <c r="BG158" s="194"/>
      <c r="BH158" s="194"/>
      <c r="BI158" s="194"/>
      <c r="BJ158" s="194"/>
    </row>
    <row r="159" ht="15.75" customHeight="1">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c r="AA159" s="194"/>
      <c r="AB159" s="194"/>
      <c r="AC159" s="194"/>
      <c r="AD159" s="194"/>
      <c r="AE159" s="194"/>
      <c r="AF159" s="194"/>
      <c r="AG159" s="194"/>
      <c r="AH159" s="194"/>
      <c r="AI159" s="194"/>
      <c r="AJ159" s="194"/>
      <c r="AK159" s="194"/>
      <c r="AL159" s="194"/>
      <c r="AM159" s="194"/>
      <c r="AN159" s="194"/>
      <c r="AO159" s="194"/>
      <c r="AP159" s="194"/>
      <c r="AQ159" s="194"/>
      <c r="AR159" s="194"/>
      <c r="AS159" s="194"/>
      <c r="AT159" s="194"/>
      <c r="AU159" s="194"/>
      <c r="AV159" s="194"/>
      <c r="AW159" s="194"/>
      <c r="AX159" s="194"/>
      <c r="AY159" s="194"/>
      <c r="AZ159" s="194"/>
      <c r="BA159" s="194"/>
      <c r="BB159" s="194"/>
      <c r="BC159" s="194"/>
      <c r="BD159" s="194"/>
      <c r="BE159" s="194"/>
      <c r="BF159" s="194"/>
      <c r="BG159" s="194"/>
      <c r="BH159" s="194"/>
      <c r="BI159" s="194"/>
      <c r="BJ159" s="194"/>
    </row>
    <row r="160" ht="15.75" customHeight="1">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194"/>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94"/>
      <c r="AX160" s="194"/>
      <c r="AY160" s="194"/>
      <c r="AZ160" s="194"/>
      <c r="BA160" s="194"/>
      <c r="BB160" s="194"/>
      <c r="BC160" s="194"/>
      <c r="BD160" s="194"/>
      <c r="BE160" s="194"/>
      <c r="BF160" s="194"/>
      <c r="BG160" s="194"/>
      <c r="BH160" s="194"/>
      <c r="BI160" s="194"/>
      <c r="BJ160" s="194"/>
    </row>
    <row r="161" ht="15.75" customHeight="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c r="AA161" s="194"/>
      <c r="AB161" s="194"/>
      <c r="AC161" s="194"/>
      <c r="AD161" s="194"/>
      <c r="AE161" s="194"/>
      <c r="AF161" s="194"/>
      <c r="AG161" s="194"/>
      <c r="AH161" s="194"/>
      <c r="AI161" s="194"/>
      <c r="AJ161" s="194"/>
      <c r="AK161" s="194"/>
      <c r="AL161" s="194"/>
      <c r="AM161" s="194"/>
      <c r="AN161" s="194"/>
      <c r="AO161" s="194"/>
      <c r="AP161" s="194"/>
      <c r="AQ161" s="194"/>
      <c r="AR161" s="194"/>
      <c r="AS161" s="194"/>
      <c r="AT161" s="194"/>
      <c r="AU161" s="194"/>
      <c r="AV161" s="194"/>
      <c r="AW161" s="194"/>
      <c r="AX161" s="194"/>
      <c r="AY161" s="194"/>
      <c r="AZ161" s="194"/>
      <c r="BA161" s="194"/>
      <c r="BB161" s="194"/>
      <c r="BC161" s="194"/>
      <c r="BD161" s="194"/>
      <c r="BE161" s="194"/>
      <c r="BF161" s="194"/>
      <c r="BG161" s="194"/>
      <c r="BH161" s="194"/>
      <c r="BI161" s="194"/>
      <c r="BJ161" s="194"/>
    </row>
    <row r="162" ht="15.75" customHeight="1">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194"/>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94"/>
      <c r="AX162" s="194"/>
      <c r="AY162" s="194"/>
      <c r="AZ162" s="194"/>
      <c r="BA162" s="194"/>
      <c r="BB162" s="194"/>
      <c r="BC162" s="194"/>
      <c r="BD162" s="194"/>
      <c r="BE162" s="194"/>
      <c r="BF162" s="194"/>
      <c r="BG162" s="194"/>
      <c r="BH162" s="194"/>
      <c r="BI162" s="194"/>
      <c r="BJ162" s="194"/>
    </row>
    <row r="163" ht="15.75" customHeight="1">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c r="AA163" s="194"/>
      <c r="AB163" s="194"/>
      <c r="AC163" s="194"/>
      <c r="AD163" s="194"/>
      <c r="AE163" s="194"/>
      <c r="AF163" s="194"/>
      <c r="AG163" s="194"/>
      <c r="AH163" s="194"/>
      <c r="AI163" s="194"/>
      <c r="AJ163" s="194"/>
      <c r="AK163" s="194"/>
      <c r="AL163" s="194"/>
      <c r="AM163" s="194"/>
      <c r="AN163" s="194"/>
      <c r="AO163" s="194"/>
      <c r="AP163" s="194"/>
      <c r="AQ163" s="194"/>
      <c r="AR163" s="194"/>
      <c r="AS163" s="194"/>
      <c r="AT163" s="194"/>
      <c r="AU163" s="194"/>
      <c r="AV163" s="194"/>
      <c r="AW163" s="194"/>
      <c r="AX163" s="194"/>
      <c r="AY163" s="194"/>
      <c r="AZ163" s="194"/>
      <c r="BA163" s="194"/>
      <c r="BB163" s="194"/>
      <c r="BC163" s="194"/>
      <c r="BD163" s="194"/>
      <c r="BE163" s="194"/>
      <c r="BF163" s="194"/>
      <c r="BG163" s="194"/>
      <c r="BH163" s="194"/>
      <c r="BI163" s="194"/>
      <c r="BJ163" s="194"/>
    </row>
    <row r="164" ht="15.75" customHeight="1">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194"/>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94"/>
      <c r="AX164" s="194"/>
      <c r="AY164" s="194"/>
      <c r="AZ164" s="194"/>
      <c r="BA164" s="194"/>
      <c r="BB164" s="194"/>
      <c r="BC164" s="194"/>
      <c r="BD164" s="194"/>
      <c r="BE164" s="194"/>
      <c r="BF164" s="194"/>
      <c r="BG164" s="194"/>
      <c r="BH164" s="194"/>
      <c r="BI164" s="194"/>
      <c r="BJ164" s="194"/>
    </row>
    <row r="165" ht="15.75" customHeight="1">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c r="AA165" s="194"/>
      <c r="AB165" s="194"/>
      <c r="AC165" s="194"/>
      <c r="AD165" s="194"/>
      <c r="AE165" s="194"/>
      <c r="AF165" s="194"/>
      <c r="AG165" s="194"/>
      <c r="AH165" s="194"/>
      <c r="AI165" s="194"/>
      <c r="AJ165" s="194"/>
      <c r="AK165" s="194"/>
      <c r="AL165" s="194"/>
      <c r="AM165" s="194"/>
      <c r="AN165" s="194"/>
      <c r="AO165" s="194"/>
      <c r="AP165" s="194"/>
      <c r="AQ165" s="194"/>
      <c r="AR165" s="194"/>
      <c r="AS165" s="194"/>
      <c r="AT165" s="194"/>
      <c r="AU165" s="194"/>
      <c r="AV165" s="194"/>
      <c r="AW165" s="194"/>
      <c r="AX165" s="194"/>
      <c r="AY165" s="194"/>
      <c r="AZ165" s="194"/>
      <c r="BA165" s="194"/>
      <c r="BB165" s="194"/>
      <c r="BC165" s="194"/>
      <c r="BD165" s="194"/>
      <c r="BE165" s="194"/>
      <c r="BF165" s="194"/>
      <c r="BG165" s="194"/>
      <c r="BH165" s="194"/>
      <c r="BI165" s="194"/>
      <c r="BJ165" s="194"/>
    </row>
    <row r="166" ht="15.75" customHeight="1">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194"/>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94"/>
      <c r="AX166" s="194"/>
      <c r="AY166" s="194"/>
      <c r="AZ166" s="194"/>
      <c r="BA166" s="194"/>
      <c r="BB166" s="194"/>
      <c r="BC166" s="194"/>
      <c r="BD166" s="194"/>
      <c r="BE166" s="194"/>
      <c r="BF166" s="194"/>
      <c r="BG166" s="194"/>
      <c r="BH166" s="194"/>
      <c r="BI166" s="194"/>
      <c r="BJ166" s="194"/>
    </row>
    <row r="167" ht="15.75" customHeight="1">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c r="AA167" s="194"/>
      <c r="AB167" s="194"/>
      <c r="AC167" s="194"/>
      <c r="AD167" s="194"/>
      <c r="AE167" s="194"/>
      <c r="AF167" s="194"/>
      <c r="AG167" s="194"/>
      <c r="AH167" s="194"/>
      <c r="AI167" s="194"/>
      <c r="AJ167" s="194"/>
      <c r="AK167" s="194"/>
      <c r="AL167" s="194"/>
      <c r="AM167" s="194"/>
      <c r="AN167" s="194"/>
      <c r="AO167" s="194"/>
      <c r="AP167" s="194"/>
      <c r="AQ167" s="194"/>
      <c r="AR167" s="194"/>
      <c r="AS167" s="194"/>
      <c r="AT167" s="194"/>
      <c r="AU167" s="194"/>
      <c r="AV167" s="194"/>
      <c r="AW167" s="194"/>
      <c r="AX167" s="194"/>
      <c r="AY167" s="194"/>
      <c r="AZ167" s="194"/>
      <c r="BA167" s="194"/>
      <c r="BB167" s="194"/>
      <c r="BC167" s="194"/>
      <c r="BD167" s="194"/>
      <c r="BE167" s="194"/>
      <c r="BF167" s="194"/>
      <c r="BG167" s="194"/>
      <c r="BH167" s="194"/>
      <c r="BI167" s="194"/>
      <c r="BJ167" s="194"/>
    </row>
    <row r="168" ht="15.75" customHeight="1">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194"/>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94"/>
      <c r="AX168" s="194"/>
      <c r="AY168" s="194"/>
      <c r="AZ168" s="194"/>
      <c r="BA168" s="194"/>
      <c r="BB168" s="194"/>
      <c r="BC168" s="194"/>
      <c r="BD168" s="194"/>
      <c r="BE168" s="194"/>
      <c r="BF168" s="194"/>
      <c r="BG168" s="194"/>
      <c r="BH168" s="194"/>
      <c r="BI168" s="194"/>
      <c r="BJ168" s="194"/>
    </row>
    <row r="169" ht="15.75" customHeight="1">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c r="AA169" s="194"/>
      <c r="AB169" s="194"/>
      <c r="AC169" s="194"/>
      <c r="AD169" s="194"/>
      <c r="AE169" s="194"/>
      <c r="AF169" s="194"/>
      <c r="AG169" s="194"/>
      <c r="AH169" s="194"/>
      <c r="AI169" s="194"/>
      <c r="AJ169" s="194"/>
      <c r="AK169" s="194"/>
      <c r="AL169" s="194"/>
      <c r="AM169" s="194"/>
      <c r="AN169" s="194"/>
      <c r="AO169" s="194"/>
      <c r="AP169" s="194"/>
      <c r="AQ169" s="194"/>
      <c r="AR169" s="194"/>
      <c r="AS169" s="194"/>
      <c r="AT169" s="194"/>
      <c r="AU169" s="194"/>
      <c r="AV169" s="194"/>
      <c r="AW169" s="194"/>
      <c r="AX169" s="194"/>
      <c r="AY169" s="194"/>
      <c r="AZ169" s="194"/>
      <c r="BA169" s="194"/>
      <c r="BB169" s="194"/>
      <c r="BC169" s="194"/>
      <c r="BD169" s="194"/>
      <c r="BE169" s="194"/>
      <c r="BF169" s="194"/>
      <c r="BG169" s="194"/>
      <c r="BH169" s="194"/>
      <c r="BI169" s="194"/>
      <c r="BJ169" s="194"/>
    </row>
    <row r="170" ht="15.75" customHeight="1">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194"/>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94"/>
      <c r="AX170" s="194"/>
      <c r="AY170" s="194"/>
      <c r="AZ170" s="194"/>
      <c r="BA170" s="194"/>
      <c r="BB170" s="194"/>
      <c r="BC170" s="194"/>
      <c r="BD170" s="194"/>
      <c r="BE170" s="194"/>
      <c r="BF170" s="194"/>
      <c r="BG170" s="194"/>
      <c r="BH170" s="194"/>
      <c r="BI170" s="194"/>
      <c r="BJ170" s="194"/>
    </row>
    <row r="171" ht="15.75" customHeight="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c r="AA171" s="194"/>
      <c r="AB171" s="194"/>
      <c r="AC171" s="194"/>
      <c r="AD171" s="194"/>
      <c r="AE171" s="194"/>
      <c r="AF171" s="194"/>
      <c r="AG171" s="194"/>
      <c r="AH171" s="194"/>
      <c r="AI171" s="194"/>
      <c r="AJ171" s="194"/>
      <c r="AK171" s="194"/>
      <c r="AL171" s="194"/>
      <c r="AM171" s="194"/>
      <c r="AN171" s="194"/>
      <c r="AO171" s="194"/>
      <c r="AP171" s="194"/>
      <c r="AQ171" s="194"/>
      <c r="AR171" s="194"/>
      <c r="AS171" s="194"/>
      <c r="AT171" s="194"/>
      <c r="AU171" s="194"/>
      <c r="AV171" s="194"/>
      <c r="AW171" s="194"/>
      <c r="AX171" s="194"/>
      <c r="AY171" s="194"/>
      <c r="AZ171" s="194"/>
      <c r="BA171" s="194"/>
      <c r="BB171" s="194"/>
      <c r="BC171" s="194"/>
      <c r="BD171" s="194"/>
      <c r="BE171" s="194"/>
      <c r="BF171" s="194"/>
      <c r="BG171" s="194"/>
      <c r="BH171" s="194"/>
      <c r="BI171" s="194"/>
      <c r="BJ171" s="194"/>
    </row>
    <row r="172" ht="15.75" customHeight="1">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194"/>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94"/>
      <c r="AX172" s="194"/>
      <c r="AY172" s="194"/>
      <c r="AZ172" s="194"/>
      <c r="BA172" s="194"/>
      <c r="BB172" s="194"/>
      <c r="BC172" s="194"/>
      <c r="BD172" s="194"/>
      <c r="BE172" s="194"/>
      <c r="BF172" s="194"/>
      <c r="BG172" s="194"/>
      <c r="BH172" s="194"/>
      <c r="BI172" s="194"/>
      <c r="BJ172" s="194"/>
    </row>
    <row r="173" ht="15.75" customHeight="1">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c r="AA173" s="194"/>
      <c r="AB173" s="194"/>
      <c r="AC173" s="194"/>
      <c r="AD173" s="194"/>
      <c r="AE173" s="194"/>
      <c r="AF173" s="194"/>
      <c r="AG173" s="194"/>
      <c r="AH173" s="194"/>
      <c r="AI173" s="194"/>
      <c r="AJ173" s="194"/>
      <c r="AK173" s="194"/>
      <c r="AL173" s="194"/>
      <c r="AM173" s="194"/>
      <c r="AN173" s="194"/>
      <c r="AO173" s="194"/>
      <c r="AP173" s="194"/>
      <c r="AQ173" s="194"/>
      <c r="AR173" s="194"/>
      <c r="AS173" s="194"/>
      <c r="AT173" s="194"/>
      <c r="AU173" s="194"/>
      <c r="AV173" s="194"/>
      <c r="AW173" s="194"/>
      <c r="AX173" s="194"/>
      <c r="AY173" s="194"/>
      <c r="AZ173" s="194"/>
      <c r="BA173" s="194"/>
      <c r="BB173" s="194"/>
      <c r="BC173" s="194"/>
      <c r="BD173" s="194"/>
      <c r="BE173" s="194"/>
      <c r="BF173" s="194"/>
      <c r="BG173" s="194"/>
      <c r="BH173" s="194"/>
      <c r="BI173" s="194"/>
      <c r="BJ173" s="194"/>
    </row>
    <row r="174" ht="15.75" customHeight="1">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194"/>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94"/>
      <c r="AX174" s="194"/>
      <c r="AY174" s="194"/>
      <c r="AZ174" s="194"/>
      <c r="BA174" s="194"/>
      <c r="BB174" s="194"/>
      <c r="BC174" s="194"/>
      <c r="BD174" s="194"/>
      <c r="BE174" s="194"/>
      <c r="BF174" s="194"/>
      <c r="BG174" s="194"/>
      <c r="BH174" s="194"/>
      <c r="BI174" s="194"/>
      <c r="BJ174" s="194"/>
    </row>
    <row r="175" ht="15.75" customHeight="1">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c r="AA175" s="194"/>
      <c r="AB175" s="194"/>
      <c r="AC175" s="194"/>
      <c r="AD175" s="194"/>
      <c r="AE175" s="194"/>
      <c r="AF175" s="194"/>
      <c r="AG175" s="194"/>
      <c r="AH175" s="194"/>
      <c r="AI175" s="194"/>
      <c r="AJ175" s="194"/>
      <c r="AK175" s="194"/>
      <c r="AL175" s="194"/>
      <c r="AM175" s="194"/>
      <c r="AN175" s="194"/>
      <c r="AO175" s="194"/>
      <c r="AP175" s="194"/>
      <c r="AQ175" s="194"/>
      <c r="AR175" s="194"/>
      <c r="AS175" s="194"/>
      <c r="AT175" s="194"/>
      <c r="AU175" s="194"/>
      <c r="AV175" s="194"/>
      <c r="AW175" s="194"/>
      <c r="AX175" s="194"/>
      <c r="AY175" s="194"/>
      <c r="AZ175" s="194"/>
      <c r="BA175" s="194"/>
      <c r="BB175" s="194"/>
      <c r="BC175" s="194"/>
      <c r="BD175" s="194"/>
      <c r="BE175" s="194"/>
      <c r="BF175" s="194"/>
      <c r="BG175" s="194"/>
      <c r="BH175" s="194"/>
      <c r="BI175" s="194"/>
      <c r="BJ175" s="194"/>
    </row>
    <row r="176" ht="15.75" customHeight="1">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194"/>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94"/>
      <c r="AX176" s="194"/>
      <c r="AY176" s="194"/>
      <c r="AZ176" s="194"/>
      <c r="BA176" s="194"/>
      <c r="BB176" s="194"/>
      <c r="BC176" s="194"/>
      <c r="BD176" s="194"/>
      <c r="BE176" s="194"/>
      <c r="BF176" s="194"/>
      <c r="BG176" s="194"/>
      <c r="BH176" s="194"/>
      <c r="BI176" s="194"/>
      <c r="BJ176" s="194"/>
    </row>
    <row r="177" ht="15.75" customHeight="1">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c r="AA177" s="194"/>
      <c r="AB177" s="194"/>
      <c r="AC177" s="194"/>
      <c r="AD177" s="194"/>
      <c r="AE177" s="194"/>
      <c r="AF177" s="194"/>
      <c r="AG177" s="194"/>
      <c r="AH177" s="194"/>
      <c r="AI177" s="194"/>
      <c r="AJ177" s="194"/>
      <c r="AK177" s="194"/>
      <c r="AL177" s="194"/>
      <c r="AM177" s="194"/>
      <c r="AN177" s="194"/>
      <c r="AO177" s="194"/>
      <c r="AP177" s="194"/>
      <c r="AQ177" s="194"/>
      <c r="AR177" s="194"/>
      <c r="AS177" s="194"/>
      <c r="AT177" s="194"/>
      <c r="AU177" s="194"/>
      <c r="AV177" s="194"/>
      <c r="AW177" s="194"/>
      <c r="AX177" s="194"/>
      <c r="AY177" s="194"/>
      <c r="AZ177" s="194"/>
      <c r="BA177" s="194"/>
      <c r="BB177" s="194"/>
      <c r="BC177" s="194"/>
      <c r="BD177" s="194"/>
      <c r="BE177" s="194"/>
      <c r="BF177" s="194"/>
      <c r="BG177" s="194"/>
      <c r="BH177" s="194"/>
      <c r="BI177" s="194"/>
      <c r="BJ177" s="194"/>
    </row>
    <row r="178" ht="15.75" customHeight="1">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194"/>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94"/>
      <c r="AX178" s="194"/>
      <c r="AY178" s="194"/>
      <c r="AZ178" s="194"/>
      <c r="BA178" s="194"/>
      <c r="BB178" s="194"/>
      <c r="BC178" s="194"/>
      <c r="BD178" s="194"/>
      <c r="BE178" s="194"/>
      <c r="BF178" s="194"/>
      <c r="BG178" s="194"/>
      <c r="BH178" s="194"/>
      <c r="BI178" s="194"/>
      <c r="BJ178" s="194"/>
    </row>
    <row r="179" ht="15.75" customHeight="1">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c r="AA179" s="194"/>
      <c r="AB179" s="194"/>
      <c r="AC179" s="194"/>
      <c r="AD179" s="194"/>
      <c r="AE179" s="194"/>
      <c r="AF179" s="194"/>
      <c r="AG179" s="194"/>
      <c r="AH179" s="194"/>
      <c r="AI179" s="194"/>
      <c r="AJ179" s="194"/>
      <c r="AK179" s="194"/>
      <c r="AL179" s="194"/>
      <c r="AM179" s="194"/>
      <c r="AN179" s="194"/>
      <c r="AO179" s="194"/>
      <c r="AP179" s="194"/>
      <c r="AQ179" s="194"/>
      <c r="AR179" s="194"/>
      <c r="AS179" s="194"/>
      <c r="AT179" s="194"/>
      <c r="AU179" s="194"/>
      <c r="AV179" s="194"/>
      <c r="AW179" s="194"/>
      <c r="AX179" s="194"/>
      <c r="AY179" s="194"/>
      <c r="AZ179" s="194"/>
      <c r="BA179" s="194"/>
      <c r="BB179" s="194"/>
      <c r="BC179" s="194"/>
      <c r="BD179" s="194"/>
      <c r="BE179" s="194"/>
      <c r="BF179" s="194"/>
      <c r="BG179" s="194"/>
      <c r="BH179" s="194"/>
      <c r="BI179" s="194"/>
      <c r="BJ179" s="194"/>
    </row>
    <row r="180" ht="15.75" customHeight="1">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194"/>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94"/>
      <c r="AX180" s="194"/>
      <c r="AY180" s="194"/>
      <c r="AZ180" s="194"/>
      <c r="BA180" s="194"/>
      <c r="BB180" s="194"/>
      <c r="BC180" s="194"/>
      <c r="BD180" s="194"/>
      <c r="BE180" s="194"/>
      <c r="BF180" s="194"/>
      <c r="BG180" s="194"/>
      <c r="BH180" s="194"/>
      <c r="BI180" s="194"/>
      <c r="BJ180" s="194"/>
    </row>
    <row r="181" ht="15.75" customHeight="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c r="AA181" s="194"/>
      <c r="AB181" s="194"/>
      <c r="AC181" s="194"/>
      <c r="AD181" s="194"/>
      <c r="AE181" s="194"/>
      <c r="AF181" s="194"/>
      <c r="AG181" s="194"/>
      <c r="AH181" s="194"/>
      <c r="AI181" s="194"/>
      <c r="AJ181" s="194"/>
      <c r="AK181" s="194"/>
      <c r="AL181" s="194"/>
      <c r="AM181" s="194"/>
      <c r="AN181" s="194"/>
      <c r="AO181" s="194"/>
      <c r="AP181" s="194"/>
      <c r="AQ181" s="194"/>
      <c r="AR181" s="194"/>
      <c r="AS181" s="194"/>
      <c r="AT181" s="194"/>
      <c r="AU181" s="194"/>
      <c r="AV181" s="194"/>
      <c r="AW181" s="194"/>
      <c r="AX181" s="194"/>
      <c r="AY181" s="194"/>
      <c r="AZ181" s="194"/>
      <c r="BA181" s="194"/>
      <c r="BB181" s="194"/>
      <c r="BC181" s="194"/>
      <c r="BD181" s="194"/>
      <c r="BE181" s="194"/>
      <c r="BF181" s="194"/>
      <c r="BG181" s="194"/>
      <c r="BH181" s="194"/>
      <c r="BI181" s="194"/>
      <c r="BJ181" s="194"/>
    </row>
    <row r="182" ht="15.75" customHeight="1">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194"/>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94"/>
      <c r="AX182" s="194"/>
      <c r="AY182" s="194"/>
      <c r="AZ182" s="194"/>
      <c r="BA182" s="194"/>
      <c r="BB182" s="194"/>
      <c r="BC182" s="194"/>
      <c r="BD182" s="194"/>
      <c r="BE182" s="194"/>
      <c r="BF182" s="194"/>
      <c r="BG182" s="194"/>
      <c r="BH182" s="194"/>
      <c r="BI182" s="194"/>
      <c r="BJ182" s="194"/>
    </row>
    <row r="183" ht="15.75" customHeight="1">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c r="AA183" s="194"/>
      <c r="AB183" s="194"/>
      <c r="AC183" s="194"/>
      <c r="AD183" s="194"/>
      <c r="AE183" s="194"/>
      <c r="AF183" s="194"/>
      <c r="AG183" s="194"/>
      <c r="AH183" s="194"/>
      <c r="AI183" s="194"/>
      <c r="AJ183" s="194"/>
      <c r="AK183" s="194"/>
      <c r="AL183" s="194"/>
      <c r="AM183" s="194"/>
      <c r="AN183" s="194"/>
      <c r="AO183" s="194"/>
      <c r="AP183" s="194"/>
      <c r="AQ183" s="194"/>
      <c r="AR183" s="194"/>
      <c r="AS183" s="194"/>
      <c r="AT183" s="194"/>
      <c r="AU183" s="194"/>
      <c r="AV183" s="194"/>
      <c r="AW183" s="194"/>
      <c r="AX183" s="194"/>
      <c r="AY183" s="194"/>
      <c r="AZ183" s="194"/>
      <c r="BA183" s="194"/>
      <c r="BB183" s="194"/>
      <c r="BC183" s="194"/>
      <c r="BD183" s="194"/>
      <c r="BE183" s="194"/>
      <c r="BF183" s="194"/>
      <c r="BG183" s="194"/>
      <c r="BH183" s="194"/>
      <c r="BI183" s="194"/>
      <c r="BJ183" s="194"/>
    </row>
    <row r="184" ht="15.75" customHeight="1">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194"/>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94"/>
      <c r="AX184" s="194"/>
      <c r="AY184" s="194"/>
      <c r="AZ184" s="194"/>
      <c r="BA184" s="194"/>
      <c r="BB184" s="194"/>
      <c r="BC184" s="194"/>
      <c r="BD184" s="194"/>
      <c r="BE184" s="194"/>
      <c r="BF184" s="194"/>
      <c r="BG184" s="194"/>
      <c r="BH184" s="194"/>
      <c r="BI184" s="194"/>
      <c r="BJ184" s="194"/>
    </row>
    <row r="185" ht="15.75" customHeight="1">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c r="AA185" s="194"/>
      <c r="AB185" s="194"/>
      <c r="AC185" s="194"/>
      <c r="AD185" s="194"/>
      <c r="AE185" s="194"/>
      <c r="AF185" s="194"/>
      <c r="AG185" s="194"/>
      <c r="AH185" s="194"/>
      <c r="AI185" s="194"/>
      <c r="AJ185" s="194"/>
      <c r="AK185" s="194"/>
      <c r="AL185" s="194"/>
      <c r="AM185" s="194"/>
      <c r="AN185" s="194"/>
      <c r="AO185" s="194"/>
      <c r="AP185" s="194"/>
      <c r="AQ185" s="194"/>
      <c r="AR185" s="194"/>
      <c r="AS185" s="194"/>
      <c r="AT185" s="194"/>
      <c r="AU185" s="194"/>
      <c r="AV185" s="194"/>
      <c r="AW185" s="194"/>
      <c r="AX185" s="194"/>
      <c r="AY185" s="194"/>
      <c r="AZ185" s="194"/>
      <c r="BA185" s="194"/>
      <c r="BB185" s="194"/>
      <c r="BC185" s="194"/>
      <c r="BD185" s="194"/>
      <c r="BE185" s="194"/>
      <c r="BF185" s="194"/>
      <c r="BG185" s="194"/>
      <c r="BH185" s="194"/>
      <c r="BI185" s="194"/>
      <c r="BJ185" s="194"/>
    </row>
    <row r="186" ht="15.75" customHeight="1">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194"/>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94"/>
      <c r="AX186" s="194"/>
      <c r="AY186" s="194"/>
      <c r="AZ186" s="194"/>
      <c r="BA186" s="194"/>
      <c r="BB186" s="194"/>
      <c r="BC186" s="194"/>
      <c r="BD186" s="194"/>
      <c r="BE186" s="194"/>
      <c r="BF186" s="194"/>
      <c r="BG186" s="194"/>
      <c r="BH186" s="194"/>
      <c r="BI186" s="194"/>
      <c r="BJ186" s="194"/>
    </row>
    <row r="187" ht="15.75" customHeight="1">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c r="AA187" s="194"/>
      <c r="AB187" s="194"/>
      <c r="AC187" s="194"/>
      <c r="AD187" s="194"/>
      <c r="AE187" s="194"/>
      <c r="AF187" s="194"/>
      <c r="AG187" s="194"/>
      <c r="AH187" s="194"/>
      <c r="AI187" s="194"/>
      <c r="AJ187" s="194"/>
      <c r="AK187" s="194"/>
      <c r="AL187" s="194"/>
      <c r="AM187" s="194"/>
      <c r="AN187" s="194"/>
      <c r="AO187" s="194"/>
      <c r="AP187" s="194"/>
      <c r="AQ187" s="194"/>
      <c r="AR187" s="194"/>
      <c r="AS187" s="194"/>
      <c r="AT187" s="194"/>
      <c r="AU187" s="194"/>
      <c r="AV187" s="194"/>
      <c r="AW187" s="194"/>
      <c r="AX187" s="194"/>
      <c r="AY187" s="194"/>
      <c r="AZ187" s="194"/>
      <c r="BA187" s="194"/>
      <c r="BB187" s="194"/>
      <c r="BC187" s="194"/>
      <c r="BD187" s="194"/>
      <c r="BE187" s="194"/>
      <c r="BF187" s="194"/>
      <c r="BG187" s="194"/>
      <c r="BH187" s="194"/>
      <c r="BI187" s="194"/>
      <c r="BJ187" s="194"/>
    </row>
    <row r="188" ht="15.75" customHeight="1">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194"/>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94"/>
      <c r="AX188" s="194"/>
      <c r="AY188" s="194"/>
      <c r="AZ188" s="194"/>
      <c r="BA188" s="194"/>
      <c r="BB188" s="194"/>
      <c r="BC188" s="194"/>
      <c r="BD188" s="194"/>
      <c r="BE188" s="194"/>
      <c r="BF188" s="194"/>
      <c r="BG188" s="194"/>
      <c r="BH188" s="194"/>
      <c r="BI188" s="194"/>
      <c r="BJ188" s="194"/>
    </row>
    <row r="189" ht="15.75" customHeight="1">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c r="AA189" s="194"/>
      <c r="AB189" s="194"/>
      <c r="AC189" s="194"/>
      <c r="AD189" s="194"/>
      <c r="AE189" s="194"/>
      <c r="AF189" s="194"/>
      <c r="AG189" s="194"/>
      <c r="AH189" s="194"/>
      <c r="AI189" s="194"/>
      <c r="AJ189" s="194"/>
      <c r="AK189" s="194"/>
      <c r="AL189" s="194"/>
      <c r="AM189" s="194"/>
      <c r="AN189" s="194"/>
      <c r="AO189" s="194"/>
      <c r="AP189" s="194"/>
      <c r="AQ189" s="194"/>
      <c r="AR189" s="194"/>
      <c r="AS189" s="194"/>
      <c r="AT189" s="194"/>
      <c r="AU189" s="194"/>
      <c r="AV189" s="194"/>
      <c r="AW189" s="194"/>
      <c r="AX189" s="194"/>
      <c r="AY189" s="194"/>
      <c r="AZ189" s="194"/>
      <c r="BA189" s="194"/>
      <c r="BB189" s="194"/>
      <c r="BC189" s="194"/>
      <c r="BD189" s="194"/>
      <c r="BE189" s="194"/>
      <c r="BF189" s="194"/>
      <c r="BG189" s="194"/>
      <c r="BH189" s="194"/>
      <c r="BI189" s="194"/>
      <c r="BJ189" s="194"/>
    </row>
    <row r="190" ht="15.75" customHeight="1">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194"/>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94"/>
      <c r="AX190" s="194"/>
      <c r="AY190" s="194"/>
      <c r="AZ190" s="194"/>
      <c r="BA190" s="194"/>
      <c r="BB190" s="194"/>
      <c r="BC190" s="194"/>
      <c r="BD190" s="194"/>
      <c r="BE190" s="194"/>
      <c r="BF190" s="194"/>
      <c r="BG190" s="194"/>
      <c r="BH190" s="194"/>
      <c r="BI190" s="194"/>
      <c r="BJ190" s="194"/>
    </row>
    <row r="191" ht="15.75" customHeight="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c r="AA191" s="194"/>
      <c r="AB191" s="194"/>
      <c r="AC191" s="194"/>
      <c r="AD191" s="194"/>
      <c r="AE191" s="194"/>
      <c r="AF191" s="194"/>
      <c r="AG191" s="194"/>
      <c r="AH191" s="194"/>
      <c r="AI191" s="194"/>
      <c r="AJ191" s="194"/>
      <c r="AK191" s="194"/>
      <c r="AL191" s="194"/>
      <c r="AM191" s="194"/>
      <c r="AN191" s="194"/>
      <c r="AO191" s="194"/>
      <c r="AP191" s="194"/>
      <c r="AQ191" s="194"/>
      <c r="AR191" s="194"/>
      <c r="AS191" s="194"/>
      <c r="AT191" s="194"/>
      <c r="AU191" s="194"/>
      <c r="AV191" s="194"/>
      <c r="AW191" s="194"/>
      <c r="AX191" s="194"/>
      <c r="AY191" s="194"/>
      <c r="AZ191" s="194"/>
      <c r="BA191" s="194"/>
      <c r="BB191" s="194"/>
      <c r="BC191" s="194"/>
      <c r="BD191" s="194"/>
      <c r="BE191" s="194"/>
      <c r="BF191" s="194"/>
      <c r="BG191" s="194"/>
      <c r="BH191" s="194"/>
      <c r="BI191" s="194"/>
      <c r="BJ191" s="194"/>
    </row>
    <row r="192" ht="15.75" customHeight="1">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194"/>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94"/>
      <c r="AX192" s="194"/>
      <c r="AY192" s="194"/>
      <c r="AZ192" s="194"/>
      <c r="BA192" s="194"/>
      <c r="BB192" s="194"/>
      <c r="BC192" s="194"/>
      <c r="BD192" s="194"/>
      <c r="BE192" s="194"/>
      <c r="BF192" s="194"/>
      <c r="BG192" s="194"/>
      <c r="BH192" s="194"/>
      <c r="BI192" s="194"/>
      <c r="BJ192" s="194"/>
    </row>
    <row r="193" ht="15.75" customHeight="1">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c r="AA193" s="194"/>
      <c r="AB193" s="194"/>
      <c r="AC193" s="194"/>
      <c r="AD193" s="194"/>
      <c r="AE193" s="194"/>
      <c r="AF193" s="194"/>
      <c r="AG193" s="194"/>
      <c r="AH193" s="194"/>
      <c r="AI193" s="194"/>
      <c r="AJ193" s="194"/>
      <c r="AK193" s="194"/>
      <c r="AL193" s="194"/>
      <c r="AM193" s="194"/>
      <c r="AN193" s="194"/>
      <c r="AO193" s="194"/>
      <c r="AP193" s="194"/>
      <c r="AQ193" s="194"/>
      <c r="AR193" s="194"/>
      <c r="AS193" s="194"/>
      <c r="AT193" s="194"/>
      <c r="AU193" s="194"/>
      <c r="AV193" s="194"/>
      <c r="AW193" s="194"/>
      <c r="AX193" s="194"/>
      <c r="AY193" s="194"/>
      <c r="AZ193" s="194"/>
      <c r="BA193" s="194"/>
      <c r="BB193" s="194"/>
      <c r="BC193" s="194"/>
      <c r="BD193" s="194"/>
      <c r="BE193" s="194"/>
      <c r="BF193" s="194"/>
      <c r="BG193" s="194"/>
      <c r="BH193" s="194"/>
      <c r="BI193" s="194"/>
      <c r="BJ193" s="194"/>
    </row>
    <row r="194" ht="15.75" customHeight="1">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194"/>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94"/>
      <c r="AX194" s="194"/>
      <c r="AY194" s="194"/>
      <c r="AZ194" s="194"/>
      <c r="BA194" s="194"/>
      <c r="BB194" s="194"/>
      <c r="BC194" s="194"/>
      <c r="BD194" s="194"/>
      <c r="BE194" s="194"/>
      <c r="BF194" s="194"/>
      <c r="BG194" s="194"/>
      <c r="BH194" s="194"/>
      <c r="BI194" s="194"/>
      <c r="BJ194" s="194"/>
    </row>
    <row r="195" ht="15.75" customHeight="1">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c r="AA195" s="194"/>
      <c r="AB195" s="194"/>
      <c r="AC195" s="194"/>
      <c r="AD195" s="194"/>
      <c r="AE195" s="194"/>
      <c r="AF195" s="194"/>
      <c r="AG195" s="194"/>
      <c r="AH195" s="194"/>
      <c r="AI195" s="194"/>
      <c r="AJ195" s="194"/>
      <c r="AK195" s="194"/>
      <c r="AL195" s="194"/>
      <c r="AM195" s="194"/>
      <c r="AN195" s="194"/>
      <c r="AO195" s="194"/>
      <c r="AP195" s="194"/>
      <c r="AQ195" s="194"/>
      <c r="AR195" s="194"/>
      <c r="AS195" s="194"/>
      <c r="AT195" s="194"/>
      <c r="AU195" s="194"/>
      <c r="AV195" s="194"/>
      <c r="AW195" s="194"/>
      <c r="AX195" s="194"/>
      <c r="AY195" s="194"/>
      <c r="AZ195" s="194"/>
      <c r="BA195" s="194"/>
      <c r="BB195" s="194"/>
      <c r="BC195" s="194"/>
      <c r="BD195" s="194"/>
      <c r="BE195" s="194"/>
      <c r="BF195" s="194"/>
      <c r="BG195" s="194"/>
      <c r="BH195" s="194"/>
      <c r="BI195" s="194"/>
      <c r="BJ195" s="194"/>
    </row>
    <row r="196" ht="15.75" customHeight="1">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194"/>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94"/>
      <c r="AX196" s="194"/>
      <c r="AY196" s="194"/>
      <c r="AZ196" s="194"/>
      <c r="BA196" s="194"/>
      <c r="BB196" s="194"/>
      <c r="BC196" s="194"/>
      <c r="BD196" s="194"/>
      <c r="BE196" s="194"/>
      <c r="BF196" s="194"/>
      <c r="BG196" s="194"/>
      <c r="BH196" s="194"/>
      <c r="BI196" s="194"/>
      <c r="BJ196" s="194"/>
    </row>
    <row r="197" ht="15.75" customHeight="1">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c r="AA197" s="194"/>
      <c r="AB197" s="194"/>
      <c r="AC197" s="194"/>
      <c r="AD197" s="194"/>
      <c r="AE197" s="194"/>
      <c r="AF197" s="194"/>
      <c r="AG197" s="194"/>
      <c r="AH197" s="194"/>
      <c r="AI197" s="194"/>
      <c r="AJ197" s="194"/>
      <c r="AK197" s="194"/>
      <c r="AL197" s="194"/>
      <c r="AM197" s="194"/>
      <c r="AN197" s="194"/>
      <c r="AO197" s="194"/>
      <c r="AP197" s="194"/>
      <c r="AQ197" s="194"/>
      <c r="AR197" s="194"/>
      <c r="AS197" s="194"/>
      <c r="AT197" s="194"/>
      <c r="AU197" s="194"/>
      <c r="AV197" s="194"/>
      <c r="AW197" s="194"/>
      <c r="AX197" s="194"/>
      <c r="AY197" s="194"/>
      <c r="AZ197" s="194"/>
      <c r="BA197" s="194"/>
      <c r="BB197" s="194"/>
      <c r="BC197" s="194"/>
      <c r="BD197" s="194"/>
      <c r="BE197" s="194"/>
      <c r="BF197" s="194"/>
      <c r="BG197" s="194"/>
      <c r="BH197" s="194"/>
      <c r="BI197" s="194"/>
      <c r="BJ197" s="194"/>
    </row>
    <row r="198" ht="15.75" customHeight="1">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194"/>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94"/>
      <c r="AX198" s="194"/>
      <c r="AY198" s="194"/>
      <c r="AZ198" s="194"/>
      <c r="BA198" s="194"/>
      <c r="BB198" s="194"/>
      <c r="BC198" s="194"/>
      <c r="BD198" s="194"/>
      <c r="BE198" s="194"/>
      <c r="BF198" s="194"/>
      <c r="BG198" s="194"/>
      <c r="BH198" s="194"/>
      <c r="BI198" s="194"/>
      <c r="BJ198" s="194"/>
    </row>
    <row r="199" ht="15.75" customHeight="1">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c r="AA199" s="194"/>
      <c r="AB199" s="194"/>
      <c r="AC199" s="194"/>
      <c r="AD199" s="194"/>
      <c r="AE199" s="194"/>
      <c r="AF199" s="194"/>
      <c r="AG199" s="194"/>
      <c r="AH199" s="194"/>
      <c r="AI199" s="194"/>
      <c r="AJ199" s="194"/>
      <c r="AK199" s="194"/>
      <c r="AL199" s="194"/>
      <c r="AM199" s="194"/>
      <c r="AN199" s="194"/>
      <c r="AO199" s="194"/>
      <c r="AP199" s="194"/>
      <c r="AQ199" s="194"/>
      <c r="AR199" s="194"/>
      <c r="AS199" s="194"/>
      <c r="AT199" s="194"/>
      <c r="AU199" s="194"/>
      <c r="AV199" s="194"/>
      <c r="AW199" s="194"/>
      <c r="AX199" s="194"/>
      <c r="AY199" s="194"/>
      <c r="AZ199" s="194"/>
      <c r="BA199" s="194"/>
      <c r="BB199" s="194"/>
      <c r="BC199" s="194"/>
      <c r="BD199" s="194"/>
      <c r="BE199" s="194"/>
      <c r="BF199" s="194"/>
      <c r="BG199" s="194"/>
      <c r="BH199" s="194"/>
      <c r="BI199" s="194"/>
      <c r="BJ199" s="194"/>
    </row>
    <row r="200" ht="15.75" customHeight="1">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c r="AA200" s="194"/>
      <c r="AB200" s="194"/>
      <c r="AC200" s="194"/>
      <c r="AD200" s="194"/>
      <c r="AE200" s="194"/>
      <c r="AF200" s="194"/>
      <c r="AG200" s="194"/>
      <c r="AH200" s="194"/>
      <c r="AI200" s="194"/>
      <c r="AJ200" s="194"/>
      <c r="AK200" s="194"/>
      <c r="AL200" s="194"/>
      <c r="AM200" s="194"/>
      <c r="AN200" s="194"/>
      <c r="AO200" s="194"/>
      <c r="AP200" s="194"/>
      <c r="AQ200" s="194"/>
      <c r="AR200" s="194"/>
      <c r="AS200" s="194"/>
      <c r="AT200" s="194"/>
      <c r="AU200" s="194"/>
      <c r="AV200" s="194"/>
      <c r="AW200" s="194"/>
      <c r="AX200" s="194"/>
      <c r="AY200" s="194"/>
      <c r="AZ200" s="194"/>
      <c r="BA200" s="194"/>
      <c r="BB200" s="194"/>
      <c r="BC200" s="194"/>
      <c r="BD200" s="194"/>
      <c r="BE200" s="194"/>
      <c r="BF200" s="194"/>
      <c r="BG200" s="194"/>
      <c r="BH200" s="194"/>
      <c r="BI200" s="194"/>
      <c r="BJ200" s="194"/>
    </row>
    <row r="201" ht="15.75" customHeight="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c r="AA201" s="194"/>
      <c r="AB201" s="194"/>
      <c r="AC201" s="194"/>
      <c r="AD201" s="194"/>
      <c r="AE201" s="194"/>
      <c r="AF201" s="194"/>
      <c r="AG201" s="194"/>
      <c r="AH201" s="194"/>
      <c r="AI201" s="194"/>
      <c r="AJ201" s="194"/>
      <c r="AK201" s="194"/>
      <c r="AL201" s="194"/>
      <c r="AM201" s="194"/>
      <c r="AN201" s="194"/>
      <c r="AO201" s="194"/>
      <c r="AP201" s="194"/>
      <c r="AQ201" s="194"/>
      <c r="AR201" s="194"/>
      <c r="AS201" s="194"/>
      <c r="AT201" s="194"/>
      <c r="AU201" s="194"/>
      <c r="AV201" s="194"/>
      <c r="AW201" s="194"/>
      <c r="AX201" s="194"/>
      <c r="AY201" s="194"/>
      <c r="AZ201" s="194"/>
      <c r="BA201" s="194"/>
      <c r="BB201" s="194"/>
      <c r="BC201" s="194"/>
      <c r="BD201" s="194"/>
      <c r="BE201" s="194"/>
      <c r="BF201" s="194"/>
      <c r="BG201" s="194"/>
      <c r="BH201" s="194"/>
      <c r="BI201" s="194"/>
      <c r="BJ201" s="194"/>
    </row>
    <row r="202" ht="15.75" customHeight="1">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c r="AA202" s="194"/>
      <c r="AB202" s="194"/>
      <c r="AC202" s="194"/>
      <c r="AD202" s="194"/>
      <c r="AE202" s="194"/>
      <c r="AF202" s="194"/>
      <c r="AG202" s="194"/>
      <c r="AH202" s="194"/>
      <c r="AI202" s="194"/>
      <c r="AJ202" s="194"/>
      <c r="AK202" s="194"/>
      <c r="AL202" s="194"/>
      <c r="AM202" s="194"/>
      <c r="AN202" s="194"/>
      <c r="AO202" s="194"/>
      <c r="AP202" s="194"/>
      <c r="AQ202" s="194"/>
      <c r="AR202" s="194"/>
      <c r="AS202" s="194"/>
      <c r="AT202" s="194"/>
      <c r="AU202" s="194"/>
      <c r="AV202" s="194"/>
      <c r="AW202" s="194"/>
      <c r="AX202" s="194"/>
      <c r="AY202" s="194"/>
      <c r="AZ202" s="194"/>
      <c r="BA202" s="194"/>
      <c r="BB202" s="194"/>
      <c r="BC202" s="194"/>
      <c r="BD202" s="194"/>
      <c r="BE202" s="194"/>
      <c r="BF202" s="194"/>
      <c r="BG202" s="194"/>
      <c r="BH202" s="194"/>
      <c r="BI202" s="194"/>
      <c r="BJ202" s="194"/>
    </row>
    <row r="203" ht="15.75" customHeight="1">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c r="AA203" s="194"/>
      <c r="AB203" s="194"/>
      <c r="AC203" s="194"/>
      <c r="AD203" s="194"/>
      <c r="AE203" s="194"/>
      <c r="AF203" s="194"/>
      <c r="AG203" s="194"/>
      <c r="AH203" s="194"/>
      <c r="AI203" s="194"/>
      <c r="AJ203" s="194"/>
      <c r="AK203" s="194"/>
      <c r="AL203" s="194"/>
      <c r="AM203" s="194"/>
      <c r="AN203" s="194"/>
      <c r="AO203" s="194"/>
      <c r="AP203" s="194"/>
      <c r="AQ203" s="194"/>
      <c r="AR203" s="194"/>
      <c r="AS203" s="194"/>
      <c r="AT203" s="194"/>
      <c r="AU203" s="194"/>
      <c r="AV203" s="194"/>
      <c r="AW203" s="194"/>
      <c r="AX203" s="194"/>
      <c r="AY203" s="194"/>
      <c r="AZ203" s="194"/>
      <c r="BA203" s="194"/>
      <c r="BB203" s="194"/>
      <c r="BC203" s="194"/>
      <c r="BD203" s="194"/>
      <c r="BE203" s="194"/>
      <c r="BF203" s="194"/>
      <c r="BG203" s="194"/>
      <c r="BH203" s="194"/>
      <c r="BI203" s="194"/>
      <c r="BJ203" s="194"/>
    </row>
    <row r="204" ht="15.75" customHeight="1">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c r="AA204" s="194"/>
      <c r="AB204" s="194"/>
      <c r="AC204" s="194"/>
      <c r="AD204" s="194"/>
      <c r="AE204" s="194"/>
      <c r="AF204" s="194"/>
      <c r="AG204" s="194"/>
      <c r="AH204" s="194"/>
      <c r="AI204" s="194"/>
      <c r="AJ204" s="194"/>
      <c r="AK204" s="194"/>
      <c r="AL204" s="194"/>
      <c r="AM204" s="194"/>
      <c r="AN204" s="194"/>
      <c r="AO204" s="194"/>
      <c r="AP204" s="194"/>
      <c r="AQ204" s="194"/>
      <c r="AR204" s="194"/>
      <c r="AS204" s="194"/>
      <c r="AT204" s="194"/>
      <c r="AU204" s="194"/>
      <c r="AV204" s="194"/>
      <c r="AW204" s="194"/>
      <c r="AX204" s="194"/>
      <c r="AY204" s="194"/>
      <c r="AZ204" s="194"/>
      <c r="BA204" s="194"/>
      <c r="BB204" s="194"/>
      <c r="BC204" s="194"/>
      <c r="BD204" s="194"/>
      <c r="BE204" s="194"/>
      <c r="BF204" s="194"/>
      <c r="BG204" s="194"/>
      <c r="BH204" s="194"/>
      <c r="BI204" s="194"/>
      <c r="BJ204" s="194"/>
    </row>
    <row r="205" ht="15.75" customHeight="1">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c r="AA205" s="194"/>
      <c r="AB205" s="194"/>
      <c r="AC205" s="194"/>
      <c r="AD205" s="194"/>
      <c r="AE205" s="194"/>
      <c r="AF205" s="194"/>
      <c r="AG205" s="194"/>
      <c r="AH205" s="194"/>
      <c r="AI205" s="194"/>
      <c r="AJ205" s="194"/>
      <c r="AK205" s="194"/>
      <c r="AL205" s="194"/>
      <c r="AM205" s="194"/>
      <c r="AN205" s="194"/>
      <c r="AO205" s="194"/>
      <c r="AP205" s="194"/>
      <c r="AQ205" s="194"/>
      <c r="AR205" s="194"/>
      <c r="AS205" s="194"/>
      <c r="AT205" s="194"/>
      <c r="AU205" s="194"/>
      <c r="AV205" s="194"/>
      <c r="AW205" s="194"/>
      <c r="AX205" s="194"/>
      <c r="AY205" s="194"/>
      <c r="AZ205" s="194"/>
      <c r="BA205" s="194"/>
      <c r="BB205" s="194"/>
      <c r="BC205" s="194"/>
      <c r="BD205" s="194"/>
      <c r="BE205" s="194"/>
      <c r="BF205" s="194"/>
      <c r="BG205" s="194"/>
      <c r="BH205" s="194"/>
      <c r="BI205" s="194"/>
      <c r="BJ205" s="194"/>
    </row>
    <row r="206" ht="15.75" customHeight="1">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c r="AA206" s="194"/>
      <c r="AB206" s="194"/>
      <c r="AC206" s="194"/>
      <c r="AD206" s="194"/>
      <c r="AE206" s="194"/>
      <c r="AF206" s="194"/>
      <c r="AG206" s="194"/>
      <c r="AH206" s="194"/>
      <c r="AI206" s="194"/>
      <c r="AJ206" s="194"/>
      <c r="AK206" s="194"/>
      <c r="AL206" s="194"/>
      <c r="AM206" s="194"/>
      <c r="AN206" s="194"/>
      <c r="AO206" s="194"/>
      <c r="AP206" s="194"/>
      <c r="AQ206" s="194"/>
      <c r="AR206" s="194"/>
      <c r="AS206" s="194"/>
      <c r="AT206" s="194"/>
      <c r="AU206" s="194"/>
      <c r="AV206" s="194"/>
      <c r="AW206" s="194"/>
      <c r="AX206" s="194"/>
      <c r="AY206" s="194"/>
      <c r="AZ206" s="194"/>
      <c r="BA206" s="194"/>
      <c r="BB206" s="194"/>
      <c r="BC206" s="194"/>
      <c r="BD206" s="194"/>
      <c r="BE206" s="194"/>
      <c r="BF206" s="194"/>
      <c r="BG206" s="194"/>
      <c r="BH206" s="194"/>
      <c r="BI206" s="194"/>
      <c r="BJ206" s="194"/>
    </row>
    <row r="207" ht="15.75" customHeight="1">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c r="AA207" s="194"/>
      <c r="AB207" s="194"/>
      <c r="AC207" s="194"/>
      <c r="AD207" s="194"/>
      <c r="AE207" s="194"/>
      <c r="AF207" s="194"/>
      <c r="AG207" s="194"/>
      <c r="AH207" s="194"/>
      <c r="AI207" s="194"/>
      <c r="AJ207" s="194"/>
      <c r="AK207" s="194"/>
      <c r="AL207" s="194"/>
      <c r="AM207" s="194"/>
      <c r="AN207" s="194"/>
      <c r="AO207" s="194"/>
      <c r="AP207" s="194"/>
      <c r="AQ207" s="194"/>
      <c r="AR207" s="194"/>
      <c r="AS207" s="194"/>
      <c r="AT207" s="194"/>
      <c r="AU207" s="194"/>
      <c r="AV207" s="194"/>
      <c r="AW207" s="194"/>
      <c r="AX207" s="194"/>
      <c r="AY207" s="194"/>
      <c r="AZ207" s="194"/>
      <c r="BA207" s="194"/>
      <c r="BB207" s="194"/>
      <c r="BC207" s="194"/>
      <c r="BD207" s="194"/>
      <c r="BE207" s="194"/>
      <c r="BF207" s="194"/>
      <c r="BG207" s="194"/>
      <c r="BH207" s="194"/>
      <c r="BI207" s="194"/>
      <c r="BJ207" s="194"/>
    </row>
    <row r="208" ht="15.75" customHeight="1">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c r="AA208" s="194"/>
      <c r="AB208" s="194"/>
      <c r="AC208" s="194"/>
      <c r="AD208" s="194"/>
      <c r="AE208" s="194"/>
      <c r="AF208" s="194"/>
      <c r="AG208" s="194"/>
      <c r="AH208" s="194"/>
      <c r="AI208" s="194"/>
      <c r="AJ208" s="194"/>
      <c r="AK208" s="194"/>
      <c r="AL208" s="194"/>
      <c r="AM208" s="194"/>
      <c r="AN208" s="194"/>
      <c r="AO208" s="194"/>
      <c r="AP208" s="194"/>
      <c r="AQ208" s="194"/>
      <c r="AR208" s="194"/>
      <c r="AS208" s="194"/>
      <c r="AT208" s="194"/>
      <c r="AU208" s="194"/>
      <c r="AV208" s="194"/>
      <c r="AW208" s="194"/>
      <c r="AX208" s="194"/>
      <c r="AY208" s="194"/>
      <c r="AZ208" s="194"/>
      <c r="BA208" s="194"/>
      <c r="BB208" s="194"/>
      <c r="BC208" s="194"/>
      <c r="BD208" s="194"/>
      <c r="BE208" s="194"/>
      <c r="BF208" s="194"/>
      <c r="BG208" s="194"/>
      <c r="BH208" s="194"/>
      <c r="BI208" s="194"/>
      <c r="BJ208" s="194"/>
    </row>
    <row r="209" ht="15.75" customHeight="1">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c r="AA209" s="194"/>
      <c r="AB209" s="194"/>
      <c r="AC209" s="194"/>
      <c r="AD209" s="194"/>
      <c r="AE209" s="194"/>
      <c r="AF209" s="194"/>
      <c r="AG209" s="194"/>
      <c r="AH209" s="194"/>
      <c r="AI209" s="194"/>
      <c r="AJ209" s="194"/>
      <c r="AK209" s="194"/>
      <c r="AL209" s="194"/>
      <c r="AM209" s="194"/>
      <c r="AN209" s="194"/>
      <c r="AO209" s="194"/>
      <c r="AP209" s="194"/>
      <c r="AQ209" s="194"/>
      <c r="AR209" s="194"/>
      <c r="AS209" s="194"/>
      <c r="AT209" s="194"/>
      <c r="AU209" s="194"/>
      <c r="AV209" s="194"/>
      <c r="AW209" s="194"/>
      <c r="AX209" s="194"/>
      <c r="AY209" s="194"/>
      <c r="AZ209" s="194"/>
      <c r="BA209" s="194"/>
      <c r="BB209" s="194"/>
      <c r="BC209" s="194"/>
      <c r="BD209" s="194"/>
      <c r="BE209" s="194"/>
      <c r="BF209" s="194"/>
      <c r="BG209" s="194"/>
      <c r="BH209" s="194"/>
      <c r="BI209" s="194"/>
      <c r="BJ209" s="194"/>
    </row>
    <row r="210" ht="15.75" customHeight="1">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c r="AA210" s="194"/>
      <c r="AB210" s="194"/>
      <c r="AC210" s="194"/>
      <c r="AD210" s="194"/>
      <c r="AE210" s="194"/>
      <c r="AF210" s="194"/>
      <c r="AG210" s="194"/>
      <c r="AH210" s="194"/>
      <c r="AI210" s="194"/>
      <c r="AJ210" s="194"/>
      <c r="AK210" s="194"/>
      <c r="AL210" s="194"/>
      <c r="AM210" s="194"/>
      <c r="AN210" s="194"/>
      <c r="AO210" s="194"/>
      <c r="AP210" s="194"/>
      <c r="AQ210" s="194"/>
      <c r="AR210" s="194"/>
      <c r="AS210" s="194"/>
      <c r="AT210" s="194"/>
      <c r="AU210" s="194"/>
      <c r="AV210" s="194"/>
      <c r="AW210" s="194"/>
      <c r="AX210" s="194"/>
      <c r="AY210" s="194"/>
      <c r="AZ210" s="194"/>
      <c r="BA210" s="194"/>
      <c r="BB210" s="194"/>
      <c r="BC210" s="194"/>
      <c r="BD210" s="194"/>
      <c r="BE210" s="194"/>
      <c r="BF210" s="194"/>
      <c r="BG210" s="194"/>
      <c r="BH210" s="194"/>
      <c r="BI210" s="194"/>
      <c r="BJ210" s="194"/>
    </row>
    <row r="211" ht="15.75" customHeight="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c r="AA211" s="194"/>
      <c r="AB211" s="194"/>
      <c r="AC211" s="194"/>
      <c r="AD211" s="194"/>
      <c r="AE211" s="194"/>
      <c r="AF211" s="194"/>
      <c r="AG211" s="194"/>
      <c r="AH211" s="194"/>
      <c r="AI211" s="194"/>
      <c r="AJ211" s="194"/>
      <c r="AK211" s="194"/>
      <c r="AL211" s="194"/>
      <c r="AM211" s="194"/>
      <c r="AN211" s="194"/>
      <c r="AO211" s="194"/>
      <c r="AP211" s="194"/>
      <c r="AQ211" s="194"/>
      <c r="AR211" s="194"/>
      <c r="AS211" s="194"/>
      <c r="AT211" s="194"/>
      <c r="AU211" s="194"/>
      <c r="AV211" s="194"/>
      <c r="AW211" s="194"/>
      <c r="AX211" s="194"/>
      <c r="AY211" s="194"/>
      <c r="AZ211" s="194"/>
      <c r="BA211" s="194"/>
      <c r="BB211" s="194"/>
      <c r="BC211" s="194"/>
      <c r="BD211" s="194"/>
      <c r="BE211" s="194"/>
      <c r="BF211" s="194"/>
      <c r="BG211" s="194"/>
      <c r="BH211" s="194"/>
      <c r="BI211" s="194"/>
      <c r="BJ211" s="194"/>
    </row>
    <row r="212" ht="15.75" customHeight="1">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c r="AA212" s="194"/>
      <c r="AB212" s="194"/>
      <c r="AC212" s="194"/>
      <c r="AD212" s="194"/>
      <c r="AE212" s="194"/>
      <c r="AF212" s="194"/>
      <c r="AG212" s="194"/>
      <c r="AH212" s="194"/>
      <c r="AI212" s="194"/>
      <c r="AJ212" s="194"/>
      <c r="AK212" s="194"/>
      <c r="AL212" s="194"/>
      <c r="AM212" s="194"/>
      <c r="AN212" s="194"/>
      <c r="AO212" s="194"/>
      <c r="AP212" s="194"/>
      <c r="AQ212" s="194"/>
      <c r="AR212" s="194"/>
      <c r="AS212" s="194"/>
      <c r="AT212" s="194"/>
      <c r="AU212" s="194"/>
      <c r="AV212" s="194"/>
      <c r="AW212" s="194"/>
      <c r="AX212" s="194"/>
      <c r="AY212" s="194"/>
      <c r="AZ212" s="194"/>
      <c r="BA212" s="194"/>
      <c r="BB212" s="194"/>
      <c r="BC212" s="194"/>
      <c r="BD212" s="194"/>
      <c r="BE212" s="194"/>
      <c r="BF212" s="194"/>
      <c r="BG212" s="194"/>
      <c r="BH212" s="194"/>
      <c r="BI212" s="194"/>
      <c r="BJ212" s="194"/>
    </row>
    <row r="213" ht="15.75" customHeight="1">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c r="AA213" s="194"/>
      <c r="AB213" s="194"/>
      <c r="AC213" s="194"/>
      <c r="AD213" s="194"/>
      <c r="AE213" s="194"/>
      <c r="AF213" s="194"/>
      <c r="AG213" s="194"/>
      <c r="AH213" s="194"/>
      <c r="AI213" s="194"/>
      <c r="AJ213" s="194"/>
      <c r="AK213" s="194"/>
      <c r="AL213" s="194"/>
      <c r="AM213" s="194"/>
      <c r="AN213" s="194"/>
      <c r="AO213" s="194"/>
      <c r="AP213" s="194"/>
      <c r="AQ213" s="194"/>
      <c r="AR213" s="194"/>
      <c r="AS213" s="194"/>
      <c r="AT213" s="194"/>
      <c r="AU213" s="194"/>
      <c r="AV213" s="194"/>
      <c r="AW213" s="194"/>
      <c r="AX213" s="194"/>
      <c r="AY213" s="194"/>
      <c r="AZ213" s="194"/>
      <c r="BA213" s="194"/>
      <c r="BB213" s="194"/>
      <c r="BC213" s="194"/>
      <c r="BD213" s="194"/>
      <c r="BE213" s="194"/>
      <c r="BF213" s="194"/>
      <c r="BG213" s="194"/>
      <c r="BH213" s="194"/>
      <c r="BI213" s="194"/>
      <c r="BJ213" s="194"/>
    </row>
    <row r="214" ht="15.75" customHeight="1">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c r="AC214" s="194"/>
      <c r="AD214" s="194"/>
      <c r="AE214" s="194"/>
      <c r="AF214" s="194"/>
      <c r="AG214" s="194"/>
      <c r="AH214" s="194"/>
      <c r="AI214" s="194"/>
      <c r="AJ214" s="194"/>
      <c r="AK214" s="194"/>
      <c r="AL214" s="194"/>
      <c r="AM214" s="194"/>
      <c r="AN214" s="194"/>
      <c r="AO214" s="194"/>
      <c r="AP214" s="194"/>
      <c r="AQ214" s="194"/>
      <c r="AR214" s="194"/>
      <c r="AS214" s="194"/>
      <c r="AT214" s="194"/>
      <c r="AU214" s="194"/>
      <c r="AV214" s="194"/>
      <c r="AW214" s="194"/>
      <c r="AX214" s="194"/>
      <c r="AY214" s="194"/>
      <c r="AZ214" s="194"/>
      <c r="BA214" s="194"/>
      <c r="BB214" s="194"/>
      <c r="BC214" s="194"/>
      <c r="BD214" s="194"/>
      <c r="BE214" s="194"/>
      <c r="BF214" s="194"/>
      <c r="BG214" s="194"/>
      <c r="BH214" s="194"/>
      <c r="BI214" s="194"/>
      <c r="BJ214" s="194"/>
    </row>
    <row r="215" ht="15.75" customHeight="1">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c r="AA215" s="194"/>
      <c r="AB215" s="194"/>
      <c r="AC215" s="194"/>
      <c r="AD215" s="194"/>
      <c r="AE215" s="194"/>
      <c r="AF215" s="194"/>
      <c r="AG215" s="194"/>
      <c r="AH215" s="194"/>
      <c r="AI215" s="194"/>
      <c r="AJ215" s="194"/>
      <c r="AK215" s="194"/>
      <c r="AL215" s="194"/>
      <c r="AM215" s="194"/>
      <c r="AN215" s="194"/>
      <c r="AO215" s="194"/>
      <c r="AP215" s="194"/>
      <c r="AQ215" s="194"/>
      <c r="AR215" s="194"/>
      <c r="AS215" s="194"/>
      <c r="AT215" s="194"/>
      <c r="AU215" s="194"/>
      <c r="AV215" s="194"/>
      <c r="AW215" s="194"/>
      <c r="AX215" s="194"/>
      <c r="AY215" s="194"/>
      <c r="AZ215" s="194"/>
      <c r="BA215" s="194"/>
      <c r="BB215" s="194"/>
      <c r="BC215" s="194"/>
      <c r="BD215" s="194"/>
      <c r="BE215" s="194"/>
      <c r="BF215" s="194"/>
      <c r="BG215" s="194"/>
      <c r="BH215" s="194"/>
      <c r="BI215" s="194"/>
      <c r="BJ215" s="194"/>
    </row>
    <row r="216" ht="15.75" customHeight="1">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c r="AA216" s="194"/>
      <c r="AB216" s="194"/>
      <c r="AC216" s="194"/>
      <c r="AD216" s="194"/>
      <c r="AE216" s="194"/>
      <c r="AF216" s="194"/>
      <c r="AG216" s="194"/>
      <c r="AH216" s="194"/>
      <c r="AI216" s="194"/>
      <c r="AJ216" s="194"/>
      <c r="AK216" s="194"/>
      <c r="AL216" s="194"/>
      <c r="AM216" s="194"/>
      <c r="AN216" s="194"/>
      <c r="AO216" s="194"/>
      <c r="AP216" s="194"/>
      <c r="AQ216" s="194"/>
      <c r="AR216" s="194"/>
      <c r="AS216" s="194"/>
      <c r="AT216" s="194"/>
      <c r="AU216" s="194"/>
      <c r="AV216" s="194"/>
      <c r="AW216" s="194"/>
      <c r="AX216" s="194"/>
      <c r="AY216" s="194"/>
      <c r="AZ216" s="194"/>
      <c r="BA216" s="194"/>
      <c r="BB216" s="194"/>
      <c r="BC216" s="194"/>
      <c r="BD216" s="194"/>
      <c r="BE216" s="194"/>
      <c r="BF216" s="194"/>
      <c r="BG216" s="194"/>
      <c r="BH216" s="194"/>
      <c r="BI216" s="194"/>
      <c r="BJ216" s="194"/>
    </row>
    <row r="217" ht="15.75" customHeight="1">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c r="AA217" s="194"/>
      <c r="AB217" s="194"/>
      <c r="AC217" s="194"/>
      <c r="AD217" s="194"/>
      <c r="AE217" s="194"/>
      <c r="AF217" s="194"/>
      <c r="AG217" s="194"/>
      <c r="AH217" s="194"/>
      <c r="AI217" s="194"/>
      <c r="AJ217" s="194"/>
      <c r="AK217" s="194"/>
      <c r="AL217" s="194"/>
      <c r="AM217" s="194"/>
      <c r="AN217" s="194"/>
      <c r="AO217" s="194"/>
      <c r="AP217" s="194"/>
      <c r="AQ217" s="194"/>
      <c r="AR217" s="194"/>
      <c r="AS217" s="194"/>
      <c r="AT217" s="194"/>
      <c r="AU217" s="194"/>
      <c r="AV217" s="194"/>
      <c r="AW217" s="194"/>
      <c r="AX217" s="194"/>
      <c r="AY217" s="194"/>
      <c r="AZ217" s="194"/>
      <c r="BA217" s="194"/>
      <c r="BB217" s="194"/>
      <c r="BC217" s="194"/>
      <c r="BD217" s="194"/>
      <c r="BE217" s="194"/>
      <c r="BF217" s="194"/>
      <c r="BG217" s="194"/>
      <c r="BH217" s="194"/>
      <c r="BI217" s="194"/>
      <c r="BJ217" s="194"/>
    </row>
    <row r="218" ht="15.75" customHeight="1">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c r="AA218" s="194"/>
      <c r="AB218" s="194"/>
      <c r="AC218" s="194"/>
      <c r="AD218" s="194"/>
      <c r="AE218" s="194"/>
      <c r="AF218" s="194"/>
      <c r="AG218" s="194"/>
      <c r="AH218" s="194"/>
      <c r="AI218" s="194"/>
      <c r="AJ218" s="194"/>
      <c r="AK218" s="194"/>
      <c r="AL218" s="194"/>
      <c r="AM218" s="194"/>
      <c r="AN218" s="194"/>
      <c r="AO218" s="194"/>
      <c r="AP218" s="194"/>
      <c r="AQ218" s="194"/>
      <c r="AR218" s="194"/>
      <c r="AS218" s="194"/>
      <c r="AT218" s="194"/>
      <c r="AU218" s="194"/>
      <c r="AV218" s="194"/>
      <c r="AW218" s="194"/>
      <c r="AX218" s="194"/>
      <c r="AY218" s="194"/>
      <c r="AZ218" s="194"/>
      <c r="BA218" s="194"/>
      <c r="BB218" s="194"/>
      <c r="BC218" s="194"/>
      <c r="BD218" s="194"/>
      <c r="BE218" s="194"/>
      <c r="BF218" s="194"/>
      <c r="BG218" s="194"/>
      <c r="BH218" s="194"/>
      <c r="BI218" s="194"/>
      <c r="BJ218" s="194"/>
    </row>
    <row r="219" ht="15.75" customHeight="1">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c r="AA219" s="194"/>
      <c r="AB219" s="194"/>
      <c r="AC219" s="194"/>
      <c r="AD219" s="194"/>
      <c r="AE219" s="194"/>
      <c r="AF219" s="194"/>
      <c r="AG219" s="194"/>
      <c r="AH219" s="194"/>
      <c r="AI219" s="194"/>
      <c r="AJ219" s="194"/>
      <c r="AK219" s="194"/>
      <c r="AL219" s="194"/>
      <c r="AM219" s="194"/>
      <c r="AN219" s="194"/>
      <c r="AO219" s="194"/>
      <c r="AP219" s="194"/>
      <c r="AQ219" s="194"/>
      <c r="AR219" s="194"/>
      <c r="AS219" s="194"/>
      <c r="AT219" s="194"/>
      <c r="AU219" s="194"/>
      <c r="AV219" s="194"/>
      <c r="AW219" s="194"/>
      <c r="AX219" s="194"/>
      <c r="AY219" s="194"/>
      <c r="AZ219" s="194"/>
      <c r="BA219" s="194"/>
      <c r="BB219" s="194"/>
      <c r="BC219" s="194"/>
      <c r="BD219" s="194"/>
      <c r="BE219" s="194"/>
      <c r="BF219" s="194"/>
      <c r="BG219" s="194"/>
      <c r="BH219" s="194"/>
      <c r="BI219" s="194"/>
      <c r="BJ219" s="194"/>
    </row>
    <row r="220" ht="15.75" customHeight="1">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c r="AA220" s="194"/>
      <c r="AB220" s="194"/>
      <c r="AC220" s="194"/>
      <c r="AD220" s="194"/>
      <c r="AE220" s="194"/>
      <c r="AF220" s="194"/>
      <c r="AG220" s="194"/>
      <c r="AH220" s="194"/>
      <c r="AI220" s="194"/>
      <c r="AJ220" s="194"/>
      <c r="AK220" s="194"/>
      <c r="AL220" s="194"/>
      <c r="AM220" s="194"/>
      <c r="AN220" s="194"/>
      <c r="AO220" s="194"/>
      <c r="AP220" s="194"/>
      <c r="AQ220" s="194"/>
      <c r="AR220" s="194"/>
      <c r="AS220" s="194"/>
      <c r="AT220" s="194"/>
      <c r="AU220" s="194"/>
      <c r="AV220" s="194"/>
      <c r="AW220" s="194"/>
      <c r="AX220" s="194"/>
      <c r="AY220" s="194"/>
      <c r="AZ220" s="194"/>
      <c r="BA220" s="194"/>
      <c r="BB220" s="194"/>
      <c r="BC220" s="194"/>
      <c r="BD220" s="194"/>
      <c r="BE220" s="194"/>
      <c r="BF220" s="194"/>
      <c r="BG220" s="194"/>
      <c r="BH220" s="194"/>
      <c r="BI220" s="194"/>
      <c r="BJ220" s="194"/>
    </row>
    <row r="221" ht="15.75" customHeight="1">
      <c r="A221" s="194"/>
      <c r="B221" s="194"/>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c r="AA221" s="194"/>
      <c r="AB221" s="194"/>
      <c r="AC221" s="194"/>
      <c r="AD221" s="194"/>
      <c r="AE221" s="194"/>
      <c r="AF221" s="194"/>
      <c r="AG221" s="194"/>
      <c r="AH221" s="194"/>
      <c r="AI221" s="194"/>
      <c r="AJ221" s="194"/>
      <c r="AK221" s="194"/>
      <c r="AL221" s="194"/>
      <c r="AM221" s="194"/>
      <c r="AN221" s="194"/>
      <c r="AO221" s="194"/>
      <c r="AP221" s="194"/>
      <c r="AQ221" s="194"/>
      <c r="AR221" s="194"/>
      <c r="AS221" s="194"/>
      <c r="AT221" s="194"/>
      <c r="AU221" s="194"/>
      <c r="AV221" s="194"/>
      <c r="AW221" s="194"/>
      <c r="AX221" s="194"/>
      <c r="AY221" s="194"/>
      <c r="AZ221" s="194"/>
      <c r="BA221" s="194"/>
      <c r="BB221" s="194"/>
      <c r="BC221" s="194"/>
      <c r="BD221" s="194"/>
      <c r="BE221" s="194"/>
      <c r="BF221" s="194"/>
      <c r="BG221" s="194"/>
      <c r="BH221" s="194"/>
      <c r="BI221" s="194"/>
      <c r="BJ221" s="194"/>
    </row>
    <row r="222" ht="15.75" customHeight="1">
      <c r="A222" s="194"/>
      <c r="B222" s="194"/>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c r="AA222" s="194"/>
      <c r="AB222" s="194"/>
      <c r="AC222" s="194"/>
      <c r="AD222" s="194"/>
      <c r="AE222" s="194"/>
      <c r="AF222" s="194"/>
      <c r="AG222" s="194"/>
      <c r="AH222" s="194"/>
      <c r="AI222" s="194"/>
      <c r="AJ222" s="194"/>
      <c r="AK222" s="194"/>
      <c r="AL222" s="194"/>
      <c r="AM222" s="194"/>
      <c r="AN222" s="194"/>
      <c r="AO222" s="194"/>
      <c r="AP222" s="194"/>
      <c r="AQ222" s="194"/>
      <c r="AR222" s="194"/>
      <c r="AS222" s="194"/>
      <c r="AT222" s="194"/>
      <c r="AU222" s="194"/>
      <c r="AV222" s="194"/>
      <c r="AW222" s="194"/>
      <c r="AX222" s="194"/>
      <c r="AY222" s="194"/>
      <c r="AZ222" s="194"/>
      <c r="BA222" s="194"/>
      <c r="BB222" s="194"/>
      <c r="BC222" s="194"/>
      <c r="BD222" s="194"/>
      <c r="BE222" s="194"/>
      <c r="BF222" s="194"/>
      <c r="BG222" s="194"/>
      <c r="BH222" s="194"/>
      <c r="BI222" s="194"/>
      <c r="BJ222" s="194"/>
    </row>
    <row r="223" ht="15.75" customHeight="1">
      <c r="A223" s="194"/>
      <c r="B223" s="194"/>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c r="AA223" s="194"/>
      <c r="AB223" s="194"/>
      <c r="AC223" s="194"/>
      <c r="AD223" s="194"/>
      <c r="AE223" s="194"/>
      <c r="AF223" s="194"/>
      <c r="AG223" s="194"/>
      <c r="AH223" s="194"/>
      <c r="AI223" s="194"/>
      <c r="AJ223" s="194"/>
      <c r="AK223" s="194"/>
      <c r="AL223" s="194"/>
      <c r="AM223" s="194"/>
      <c r="AN223" s="194"/>
      <c r="AO223" s="194"/>
      <c r="AP223" s="194"/>
      <c r="AQ223" s="194"/>
      <c r="AR223" s="194"/>
      <c r="AS223" s="194"/>
      <c r="AT223" s="194"/>
      <c r="AU223" s="194"/>
      <c r="AV223" s="194"/>
      <c r="AW223" s="194"/>
      <c r="AX223" s="194"/>
      <c r="AY223" s="194"/>
      <c r="AZ223" s="194"/>
      <c r="BA223" s="194"/>
      <c r="BB223" s="194"/>
      <c r="BC223" s="194"/>
      <c r="BD223" s="194"/>
      <c r="BE223" s="194"/>
      <c r="BF223" s="194"/>
      <c r="BG223" s="194"/>
      <c r="BH223" s="194"/>
      <c r="BI223" s="194"/>
      <c r="BJ223" s="194"/>
    </row>
    <row r="224" ht="15.75" customHeight="1">
      <c r="A224" s="194"/>
      <c r="B224" s="194"/>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c r="AA224" s="194"/>
      <c r="AB224" s="194"/>
      <c r="AC224" s="194"/>
      <c r="AD224" s="194"/>
      <c r="AE224" s="194"/>
      <c r="AF224" s="194"/>
      <c r="AG224" s="194"/>
      <c r="AH224" s="194"/>
      <c r="AI224" s="194"/>
      <c r="AJ224" s="194"/>
      <c r="AK224" s="194"/>
      <c r="AL224" s="194"/>
      <c r="AM224" s="194"/>
      <c r="AN224" s="194"/>
      <c r="AO224" s="194"/>
      <c r="AP224" s="194"/>
      <c r="AQ224" s="194"/>
      <c r="AR224" s="194"/>
      <c r="AS224" s="194"/>
      <c r="AT224" s="194"/>
      <c r="AU224" s="194"/>
      <c r="AV224" s="194"/>
      <c r="AW224" s="194"/>
      <c r="AX224" s="194"/>
      <c r="AY224" s="194"/>
      <c r="AZ224" s="194"/>
      <c r="BA224" s="194"/>
      <c r="BB224" s="194"/>
      <c r="BC224" s="194"/>
      <c r="BD224" s="194"/>
      <c r="BE224" s="194"/>
      <c r="BF224" s="194"/>
      <c r="BG224" s="194"/>
      <c r="BH224" s="194"/>
      <c r="BI224" s="194"/>
      <c r="BJ224" s="194"/>
    </row>
    <row r="225" ht="15.75" customHeight="1">
      <c r="A225" s="194"/>
      <c r="B225" s="194"/>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c r="AA225" s="194"/>
      <c r="AB225" s="194"/>
      <c r="AC225" s="194"/>
      <c r="AD225" s="194"/>
      <c r="AE225" s="194"/>
      <c r="AF225" s="194"/>
      <c r="AG225" s="194"/>
      <c r="AH225" s="194"/>
      <c r="AI225" s="194"/>
      <c r="AJ225" s="194"/>
      <c r="AK225" s="194"/>
      <c r="AL225" s="194"/>
      <c r="AM225" s="194"/>
      <c r="AN225" s="194"/>
      <c r="AO225" s="194"/>
      <c r="AP225" s="194"/>
      <c r="AQ225" s="194"/>
      <c r="AR225" s="194"/>
      <c r="AS225" s="194"/>
      <c r="AT225" s="194"/>
      <c r="AU225" s="194"/>
      <c r="AV225" s="194"/>
      <c r="AW225" s="194"/>
      <c r="AX225" s="194"/>
      <c r="AY225" s="194"/>
      <c r="AZ225" s="194"/>
      <c r="BA225" s="194"/>
      <c r="BB225" s="194"/>
      <c r="BC225" s="194"/>
      <c r="BD225" s="194"/>
      <c r="BE225" s="194"/>
      <c r="BF225" s="194"/>
      <c r="BG225" s="194"/>
      <c r="BH225" s="194"/>
      <c r="BI225" s="194"/>
      <c r="BJ225" s="194"/>
    </row>
    <row r="226" ht="15.75" customHeight="1">
      <c r="A226" s="194"/>
      <c r="B226" s="194"/>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c r="AA226" s="194"/>
      <c r="AB226" s="194"/>
      <c r="AC226" s="194"/>
      <c r="AD226" s="194"/>
      <c r="AE226" s="194"/>
      <c r="AF226" s="194"/>
      <c r="AG226" s="194"/>
      <c r="AH226" s="194"/>
      <c r="AI226" s="194"/>
      <c r="AJ226" s="194"/>
      <c r="AK226" s="194"/>
      <c r="AL226" s="194"/>
      <c r="AM226" s="194"/>
      <c r="AN226" s="194"/>
      <c r="AO226" s="194"/>
      <c r="AP226" s="194"/>
      <c r="AQ226" s="194"/>
      <c r="AR226" s="194"/>
      <c r="AS226" s="194"/>
      <c r="AT226" s="194"/>
      <c r="AU226" s="194"/>
      <c r="AV226" s="194"/>
      <c r="AW226" s="194"/>
      <c r="AX226" s="194"/>
      <c r="AY226" s="194"/>
      <c r="AZ226" s="194"/>
      <c r="BA226" s="194"/>
      <c r="BB226" s="194"/>
      <c r="BC226" s="194"/>
      <c r="BD226" s="194"/>
      <c r="BE226" s="194"/>
      <c r="BF226" s="194"/>
      <c r="BG226" s="194"/>
      <c r="BH226" s="194"/>
      <c r="BI226" s="194"/>
      <c r="BJ226" s="194"/>
    </row>
    <row r="227" ht="15.75" customHeight="1">
      <c r="A227" s="194"/>
      <c r="B227" s="194"/>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c r="AA227" s="194"/>
      <c r="AB227" s="194"/>
      <c r="AC227" s="194"/>
      <c r="AD227" s="194"/>
      <c r="AE227" s="194"/>
      <c r="AF227" s="194"/>
      <c r="AG227" s="194"/>
      <c r="AH227" s="194"/>
      <c r="AI227" s="194"/>
      <c r="AJ227" s="194"/>
      <c r="AK227" s="194"/>
      <c r="AL227" s="194"/>
      <c r="AM227" s="194"/>
      <c r="AN227" s="194"/>
      <c r="AO227" s="194"/>
      <c r="AP227" s="194"/>
      <c r="AQ227" s="194"/>
      <c r="AR227" s="194"/>
      <c r="AS227" s="194"/>
      <c r="AT227" s="194"/>
      <c r="AU227" s="194"/>
      <c r="AV227" s="194"/>
      <c r="AW227" s="194"/>
      <c r="AX227" s="194"/>
      <c r="AY227" s="194"/>
      <c r="AZ227" s="194"/>
      <c r="BA227" s="194"/>
      <c r="BB227" s="194"/>
      <c r="BC227" s="194"/>
      <c r="BD227" s="194"/>
      <c r="BE227" s="194"/>
      <c r="BF227" s="194"/>
      <c r="BG227" s="194"/>
      <c r="BH227" s="194"/>
      <c r="BI227" s="194"/>
      <c r="BJ227" s="194"/>
    </row>
    <row r="228" ht="15.75" customHeight="1">
      <c r="A228" s="194"/>
      <c r="B228" s="194"/>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c r="AA228" s="194"/>
      <c r="AB228" s="194"/>
      <c r="AC228" s="194"/>
      <c r="AD228" s="194"/>
      <c r="AE228" s="194"/>
      <c r="AF228" s="194"/>
      <c r="AG228" s="194"/>
      <c r="AH228" s="194"/>
      <c r="AI228" s="194"/>
      <c r="AJ228" s="194"/>
      <c r="AK228" s="194"/>
      <c r="AL228" s="194"/>
      <c r="AM228" s="194"/>
      <c r="AN228" s="194"/>
      <c r="AO228" s="194"/>
      <c r="AP228" s="194"/>
      <c r="AQ228" s="194"/>
      <c r="AR228" s="194"/>
      <c r="AS228" s="194"/>
      <c r="AT228" s="194"/>
      <c r="AU228" s="194"/>
      <c r="AV228" s="194"/>
      <c r="AW228" s="194"/>
      <c r="AX228" s="194"/>
      <c r="AY228" s="194"/>
      <c r="AZ228" s="194"/>
      <c r="BA228" s="194"/>
      <c r="BB228" s="194"/>
      <c r="BC228" s="194"/>
      <c r="BD228" s="194"/>
      <c r="BE228" s="194"/>
      <c r="BF228" s="194"/>
      <c r="BG228" s="194"/>
      <c r="BH228" s="194"/>
      <c r="BI228" s="194"/>
      <c r="BJ228" s="194"/>
    </row>
    <row r="229" ht="15.75" customHeight="1">
      <c r="A229" s="194"/>
      <c r="B229" s="194"/>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c r="AA229" s="194"/>
      <c r="AB229" s="194"/>
      <c r="AC229" s="194"/>
      <c r="AD229" s="194"/>
      <c r="AE229" s="194"/>
      <c r="AF229" s="194"/>
      <c r="AG229" s="194"/>
      <c r="AH229" s="194"/>
      <c r="AI229" s="194"/>
      <c r="AJ229" s="194"/>
      <c r="AK229" s="194"/>
      <c r="AL229" s="194"/>
      <c r="AM229" s="194"/>
      <c r="AN229" s="194"/>
      <c r="AO229" s="194"/>
      <c r="AP229" s="194"/>
      <c r="AQ229" s="194"/>
      <c r="AR229" s="194"/>
      <c r="AS229" s="194"/>
      <c r="AT229" s="194"/>
      <c r="AU229" s="194"/>
      <c r="AV229" s="194"/>
      <c r="AW229" s="194"/>
      <c r="AX229" s="194"/>
      <c r="AY229" s="194"/>
      <c r="AZ229" s="194"/>
      <c r="BA229" s="194"/>
      <c r="BB229" s="194"/>
      <c r="BC229" s="194"/>
      <c r="BD229" s="194"/>
      <c r="BE229" s="194"/>
      <c r="BF229" s="194"/>
      <c r="BG229" s="194"/>
      <c r="BH229" s="194"/>
      <c r="BI229" s="194"/>
      <c r="BJ229" s="194"/>
    </row>
    <row r="230" ht="15.75" customHeight="1">
      <c r="A230" s="194"/>
      <c r="B230" s="194"/>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c r="AA230" s="194"/>
      <c r="AB230" s="194"/>
      <c r="AC230" s="194"/>
      <c r="AD230" s="194"/>
      <c r="AE230" s="194"/>
      <c r="AF230" s="194"/>
      <c r="AG230" s="194"/>
      <c r="AH230" s="194"/>
      <c r="AI230" s="194"/>
      <c r="AJ230" s="194"/>
      <c r="AK230" s="194"/>
      <c r="AL230" s="194"/>
      <c r="AM230" s="194"/>
      <c r="AN230" s="194"/>
      <c r="AO230" s="194"/>
      <c r="AP230" s="194"/>
      <c r="AQ230" s="194"/>
      <c r="AR230" s="194"/>
      <c r="AS230" s="194"/>
      <c r="AT230" s="194"/>
      <c r="AU230" s="194"/>
      <c r="AV230" s="194"/>
      <c r="AW230" s="194"/>
      <c r="AX230" s="194"/>
      <c r="AY230" s="194"/>
      <c r="AZ230" s="194"/>
      <c r="BA230" s="194"/>
      <c r="BB230" s="194"/>
      <c r="BC230" s="194"/>
      <c r="BD230" s="194"/>
      <c r="BE230" s="194"/>
      <c r="BF230" s="194"/>
      <c r="BG230" s="194"/>
      <c r="BH230" s="194"/>
      <c r="BI230" s="194"/>
      <c r="BJ230" s="194"/>
    </row>
    <row r="231" ht="15.75" customHeight="1">
      <c r="A231" s="194"/>
      <c r="B231" s="194"/>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c r="AA231" s="194"/>
      <c r="AB231" s="194"/>
      <c r="AC231" s="194"/>
      <c r="AD231" s="194"/>
      <c r="AE231" s="194"/>
      <c r="AF231" s="194"/>
      <c r="AG231" s="194"/>
      <c r="AH231" s="194"/>
      <c r="AI231" s="194"/>
      <c r="AJ231" s="194"/>
      <c r="AK231" s="194"/>
      <c r="AL231" s="194"/>
      <c r="AM231" s="194"/>
      <c r="AN231" s="194"/>
      <c r="AO231" s="194"/>
      <c r="AP231" s="194"/>
      <c r="AQ231" s="194"/>
      <c r="AR231" s="194"/>
      <c r="AS231" s="194"/>
      <c r="AT231" s="194"/>
      <c r="AU231" s="194"/>
      <c r="AV231" s="194"/>
      <c r="AW231" s="194"/>
      <c r="AX231" s="194"/>
      <c r="AY231" s="194"/>
      <c r="AZ231" s="194"/>
      <c r="BA231" s="194"/>
      <c r="BB231" s="194"/>
      <c r="BC231" s="194"/>
      <c r="BD231" s="194"/>
      <c r="BE231" s="194"/>
      <c r="BF231" s="194"/>
      <c r="BG231" s="194"/>
      <c r="BH231" s="194"/>
      <c r="BI231" s="194"/>
      <c r="BJ231" s="194"/>
    </row>
    <row r="232" ht="15.75" customHeight="1">
      <c r="A232" s="194"/>
      <c r="B232" s="194"/>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c r="AA232" s="194"/>
      <c r="AB232" s="194"/>
      <c r="AC232" s="194"/>
      <c r="AD232" s="194"/>
      <c r="AE232" s="194"/>
      <c r="AF232" s="194"/>
      <c r="AG232" s="194"/>
      <c r="AH232" s="194"/>
      <c r="AI232" s="194"/>
      <c r="AJ232" s="194"/>
      <c r="AK232" s="194"/>
      <c r="AL232" s="194"/>
      <c r="AM232" s="194"/>
      <c r="AN232" s="194"/>
      <c r="AO232" s="194"/>
      <c r="AP232" s="194"/>
      <c r="AQ232" s="194"/>
      <c r="AR232" s="194"/>
      <c r="AS232" s="194"/>
      <c r="AT232" s="194"/>
      <c r="AU232" s="194"/>
      <c r="AV232" s="194"/>
      <c r="AW232" s="194"/>
      <c r="AX232" s="194"/>
      <c r="AY232" s="194"/>
      <c r="AZ232" s="194"/>
      <c r="BA232" s="194"/>
      <c r="BB232" s="194"/>
      <c r="BC232" s="194"/>
      <c r="BD232" s="194"/>
      <c r="BE232" s="194"/>
      <c r="BF232" s="194"/>
      <c r="BG232" s="194"/>
      <c r="BH232" s="194"/>
      <c r="BI232" s="194"/>
      <c r="BJ232" s="194"/>
    </row>
    <row r="233" ht="15.75" customHeight="1">
      <c r="A233" s="194"/>
      <c r="B233" s="194"/>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c r="AA233" s="194"/>
      <c r="AB233" s="194"/>
      <c r="AC233" s="194"/>
      <c r="AD233" s="194"/>
      <c r="AE233" s="194"/>
      <c r="AF233" s="194"/>
      <c r="AG233" s="194"/>
      <c r="AH233" s="194"/>
      <c r="AI233" s="194"/>
      <c r="AJ233" s="194"/>
      <c r="AK233" s="194"/>
      <c r="AL233" s="194"/>
      <c r="AM233" s="194"/>
      <c r="AN233" s="194"/>
      <c r="AO233" s="194"/>
      <c r="AP233" s="194"/>
      <c r="AQ233" s="194"/>
      <c r="AR233" s="194"/>
      <c r="AS233" s="194"/>
      <c r="AT233" s="194"/>
      <c r="AU233" s="194"/>
      <c r="AV233" s="194"/>
      <c r="AW233" s="194"/>
      <c r="AX233" s="194"/>
      <c r="AY233" s="194"/>
      <c r="AZ233" s="194"/>
      <c r="BA233" s="194"/>
      <c r="BB233" s="194"/>
      <c r="BC233" s="194"/>
      <c r="BD233" s="194"/>
      <c r="BE233" s="194"/>
      <c r="BF233" s="194"/>
      <c r="BG233" s="194"/>
      <c r="BH233" s="194"/>
      <c r="BI233" s="194"/>
      <c r="BJ233" s="194"/>
    </row>
    <row r="234" ht="15.75" customHeight="1">
      <c r="A234" s="194"/>
      <c r="B234" s="194"/>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c r="AA234" s="194"/>
      <c r="AB234" s="194"/>
      <c r="AC234" s="194"/>
      <c r="AD234" s="194"/>
      <c r="AE234" s="194"/>
      <c r="AF234" s="194"/>
      <c r="AG234" s="194"/>
      <c r="AH234" s="194"/>
      <c r="AI234" s="194"/>
      <c r="AJ234" s="194"/>
      <c r="AK234" s="194"/>
      <c r="AL234" s="194"/>
      <c r="AM234" s="194"/>
      <c r="AN234" s="194"/>
      <c r="AO234" s="194"/>
      <c r="AP234" s="194"/>
      <c r="AQ234" s="194"/>
      <c r="AR234" s="194"/>
      <c r="AS234" s="194"/>
      <c r="AT234" s="194"/>
      <c r="AU234" s="194"/>
      <c r="AV234" s="194"/>
      <c r="AW234" s="194"/>
      <c r="AX234" s="194"/>
      <c r="AY234" s="194"/>
      <c r="AZ234" s="194"/>
      <c r="BA234" s="194"/>
      <c r="BB234" s="194"/>
      <c r="BC234" s="194"/>
      <c r="BD234" s="194"/>
      <c r="BE234" s="194"/>
      <c r="BF234" s="194"/>
      <c r="BG234" s="194"/>
      <c r="BH234" s="194"/>
      <c r="BI234" s="194"/>
      <c r="BJ234" s="194"/>
    </row>
    <row r="235" ht="15.75" customHeight="1">
      <c r="A235" s="194"/>
      <c r="B235" s="194"/>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c r="AA235" s="194"/>
      <c r="AB235" s="194"/>
      <c r="AC235" s="194"/>
      <c r="AD235" s="194"/>
      <c r="AE235" s="194"/>
      <c r="AF235" s="194"/>
      <c r="AG235" s="194"/>
      <c r="AH235" s="194"/>
      <c r="AI235" s="194"/>
      <c r="AJ235" s="194"/>
      <c r="AK235" s="194"/>
      <c r="AL235" s="194"/>
      <c r="AM235" s="194"/>
      <c r="AN235" s="194"/>
      <c r="AO235" s="194"/>
      <c r="AP235" s="194"/>
      <c r="AQ235" s="194"/>
      <c r="AR235" s="194"/>
      <c r="AS235" s="194"/>
      <c r="AT235" s="194"/>
      <c r="AU235" s="194"/>
      <c r="AV235" s="194"/>
      <c r="AW235" s="194"/>
      <c r="AX235" s="194"/>
      <c r="AY235" s="194"/>
      <c r="AZ235" s="194"/>
      <c r="BA235" s="194"/>
      <c r="BB235" s="194"/>
      <c r="BC235" s="194"/>
      <c r="BD235" s="194"/>
      <c r="BE235" s="194"/>
      <c r="BF235" s="194"/>
      <c r="BG235" s="194"/>
      <c r="BH235" s="194"/>
      <c r="BI235" s="194"/>
      <c r="BJ235" s="194"/>
    </row>
    <row r="236" ht="15.75" customHeight="1">
      <c r="A236" s="194"/>
      <c r="B236" s="194"/>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c r="AA236" s="194"/>
      <c r="AB236" s="194"/>
      <c r="AC236" s="194"/>
      <c r="AD236" s="194"/>
      <c r="AE236" s="194"/>
      <c r="AF236" s="194"/>
      <c r="AG236" s="194"/>
      <c r="AH236" s="194"/>
      <c r="AI236" s="194"/>
      <c r="AJ236" s="194"/>
      <c r="AK236" s="194"/>
      <c r="AL236" s="194"/>
      <c r="AM236" s="194"/>
      <c r="AN236" s="194"/>
      <c r="AO236" s="194"/>
      <c r="AP236" s="194"/>
      <c r="AQ236" s="194"/>
      <c r="AR236" s="194"/>
      <c r="AS236" s="194"/>
      <c r="AT236" s="194"/>
      <c r="AU236" s="194"/>
      <c r="AV236" s="194"/>
      <c r="AW236" s="194"/>
      <c r="AX236" s="194"/>
      <c r="AY236" s="194"/>
      <c r="AZ236" s="194"/>
      <c r="BA236" s="194"/>
      <c r="BB236" s="194"/>
      <c r="BC236" s="194"/>
      <c r="BD236" s="194"/>
      <c r="BE236" s="194"/>
      <c r="BF236" s="194"/>
      <c r="BG236" s="194"/>
      <c r="BH236" s="194"/>
      <c r="BI236" s="194"/>
      <c r="BJ236" s="194"/>
    </row>
    <row r="237" ht="15.75" customHeight="1">
      <c r="A237" s="194"/>
      <c r="B237" s="194"/>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c r="AA237" s="194"/>
      <c r="AB237" s="194"/>
      <c r="AC237" s="194"/>
      <c r="AD237" s="194"/>
      <c r="AE237" s="194"/>
      <c r="AF237" s="194"/>
      <c r="AG237" s="194"/>
      <c r="AH237" s="194"/>
      <c r="AI237" s="194"/>
      <c r="AJ237" s="194"/>
      <c r="AK237" s="194"/>
      <c r="AL237" s="194"/>
      <c r="AM237" s="194"/>
      <c r="AN237" s="194"/>
      <c r="AO237" s="194"/>
      <c r="AP237" s="194"/>
      <c r="AQ237" s="194"/>
      <c r="AR237" s="194"/>
      <c r="AS237" s="194"/>
      <c r="AT237" s="194"/>
      <c r="AU237" s="194"/>
      <c r="AV237" s="194"/>
      <c r="AW237" s="194"/>
      <c r="AX237" s="194"/>
      <c r="AY237" s="194"/>
      <c r="AZ237" s="194"/>
      <c r="BA237" s="194"/>
      <c r="BB237" s="194"/>
      <c r="BC237" s="194"/>
      <c r="BD237" s="194"/>
      <c r="BE237" s="194"/>
      <c r="BF237" s="194"/>
      <c r="BG237" s="194"/>
      <c r="BH237" s="194"/>
      <c r="BI237" s="194"/>
      <c r="BJ237" s="194"/>
    </row>
    <row r="238" ht="15.75" customHeight="1">
      <c r="A238" s="194"/>
      <c r="B238" s="194"/>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c r="AA238" s="194"/>
      <c r="AB238" s="194"/>
      <c r="AC238" s="194"/>
      <c r="AD238" s="194"/>
      <c r="AE238" s="194"/>
      <c r="AF238" s="194"/>
      <c r="AG238" s="194"/>
      <c r="AH238" s="194"/>
      <c r="AI238" s="194"/>
      <c r="AJ238" s="194"/>
      <c r="AK238" s="194"/>
      <c r="AL238" s="194"/>
      <c r="AM238" s="194"/>
      <c r="AN238" s="194"/>
      <c r="AO238" s="194"/>
      <c r="AP238" s="194"/>
      <c r="AQ238" s="194"/>
      <c r="AR238" s="194"/>
      <c r="AS238" s="194"/>
      <c r="AT238" s="194"/>
      <c r="AU238" s="194"/>
      <c r="AV238" s="194"/>
      <c r="AW238" s="194"/>
      <c r="AX238" s="194"/>
      <c r="AY238" s="194"/>
      <c r="AZ238" s="194"/>
      <c r="BA238" s="194"/>
      <c r="BB238" s="194"/>
      <c r="BC238" s="194"/>
      <c r="BD238" s="194"/>
      <c r="BE238" s="194"/>
      <c r="BF238" s="194"/>
      <c r="BG238" s="194"/>
      <c r="BH238" s="194"/>
      <c r="BI238" s="194"/>
      <c r="BJ238" s="194"/>
    </row>
    <row r="239" ht="15.75" customHeight="1">
      <c r="A239" s="194"/>
      <c r="B239" s="194"/>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c r="AA239" s="194"/>
      <c r="AB239" s="194"/>
      <c r="AC239" s="194"/>
      <c r="AD239" s="194"/>
      <c r="AE239" s="194"/>
      <c r="AF239" s="194"/>
      <c r="AG239" s="194"/>
      <c r="AH239" s="194"/>
      <c r="AI239" s="194"/>
      <c r="AJ239" s="194"/>
      <c r="AK239" s="194"/>
      <c r="AL239" s="194"/>
      <c r="AM239" s="194"/>
      <c r="AN239" s="194"/>
      <c r="AO239" s="194"/>
      <c r="AP239" s="194"/>
      <c r="AQ239" s="194"/>
      <c r="AR239" s="194"/>
      <c r="AS239" s="194"/>
      <c r="AT239" s="194"/>
      <c r="AU239" s="194"/>
      <c r="AV239" s="194"/>
      <c r="AW239" s="194"/>
      <c r="AX239" s="194"/>
      <c r="AY239" s="194"/>
      <c r="AZ239" s="194"/>
      <c r="BA239" s="194"/>
      <c r="BB239" s="194"/>
      <c r="BC239" s="194"/>
      <c r="BD239" s="194"/>
      <c r="BE239" s="194"/>
      <c r="BF239" s="194"/>
      <c r="BG239" s="194"/>
      <c r="BH239" s="194"/>
      <c r="BI239" s="194"/>
      <c r="BJ239" s="194"/>
    </row>
    <row r="240" ht="15.75" customHeight="1">
      <c r="A240" s="194"/>
      <c r="B240" s="194"/>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c r="AA240" s="194"/>
      <c r="AB240" s="194"/>
      <c r="AC240" s="194"/>
      <c r="AD240" s="194"/>
      <c r="AE240" s="194"/>
      <c r="AF240" s="194"/>
      <c r="AG240" s="194"/>
      <c r="AH240" s="194"/>
      <c r="AI240" s="194"/>
      <c r="AJ240" s="194"/>
      <c r="AK240" s="194"/>
      <c r="AL240" s="194"/>
      <c r="AM240" s="194"/>
      <c r="AN240" s="194"/>
      <c r="AO240" s="194"/>
      <c r="AP240" s="194"/>
      <c r="AQ240" s="194"/>
      <c r="AR240" s="194"/>
      <c r="AS240" s="194"/>
      <c r="AT240" s="194"/>
      <c r="AU240" s="194"/>
      <c r="AV240" s="194"/>
      <c r="AW240" s="194"/>
      <c r="AX240" s="194"/>
      <c r="AY240" s="194"/>
      <c r="AZ240" s="194"/>
      <c r="BA240" s="194"/>
      <c r="BB240" s="194"/>
      <c r="BC240" s="194"/>
      <c r="BD240" s="194"/>
      <c r="BE240" s="194"/>
      <c r="BF240" s="194"/>
      <c r="BG240" s="194"/>
      <c r="BH240" s="194"/>
      <c r="BI240" s="194"/>
      <c r="BJ240" s="194"/>
    </row>
    <row r="241" ht="15.75" customHeight="1">
      <c r="A241" s="194"/>
      <c r="B241" s="194"/>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c r="AA241" s="194"/>
      <c r="AB241" s="194"/>
      <c r="AC241" s="194"/>
      <c r="AD241" s="194"/>
      <c r="AE241" s="194"/>
      <c r="AF241" s="194"/>
      <c r="AG241" s="194"/>
      <c r="AH241" s="194"/>
      <c r="AI241" s="194"/>
      <c r="AJ241" s="194"/>
      <c r="AK241" s="194"/>
      <c r="AL241" s="194"/>
      <c r="AM241" s="194"/>
      <c r="AN241" s="194"/>
      <c r="AO241" s="194"/>
      <c r="AP241" s="194"/>
      <c r="AQ241" s="194"/>
      <c r="AR241" s="194"/>
      <c r="AS241" s="194"/>
      <c r="AT241" s="194"/>
      <c r="AU241" s="194"/>
      <c r="AV241" s="194"/>
      <c r="AW241" s="194"/>
      <c r="AX241" s="194"/>
      <c r="AY241" s="194"/>
      <c r="AZ241" s="194"/>
      <c r="BA241" s="194"/>
      <c r="BB241" s="194"/>
      <c r="BC241" s="194"/>
      <c r="BD241" s="194"/>
      <c r="BE241" s="194"/>
      <c r="BF241" s="194"/>
      <c r="BG241" s="194"/>
      <c r="BH241" s="194"/>
      <c r="BI241" s="194"/>
      <c r="BJ241" s="194"/>
    </row>
    <row r="242" ht="15.75" customHeight="1">
      <c r="A242" s="194"/>
      <c r="B242" s="194"/>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c r="AA242" s="194"/>
      <c r="AB242" s="194"/>
      <c r="AC242" s="194"/>
      <c r="AD242" s="194"/>
      <c r="AE242" s="194"/>
      <c r="AF242" s="194"/>
      <c r="AG242" s="194"/>
      <c r="AH242" s="194"/>
      <c r="AI242" s="194"/>
      <c r="AJ242" s="194"/>
      <c r="AK242" s="194"/>
      <c r="AL242" s="194"/>
      <c r="AM242" s="194"/>
      <c r="AN242" s="194"/>
      <c r="AO242" s="194"/>
      <c r="AP242" s="194"/>
      <c r="AQ242" s="194"/>
      <c r="AR242" s="194"/>
      <c r="AS242" s="194"/>
      <c r="AT242" s="194"/>
      <c r="AU242" s="194"/>
      <c r="AV242" s="194"/>
      <c r="AW242" s="194"/>
      <c r="AX242" s="194"/>
      <c r="AY242" s="194"/>
      <c r="AZ242" s="194"/>
      <c r="BA242" s="194"/>
      <c r="BB242" s="194"/>
      <c r="BC242" s="194"/>
      <c r="BD242" s="194"/>
      <c r="BE242" s="194"/>
      <c r="BF242" s="194"/>
      <c r="BG242" s="194"/>
      <c r="BH242" s="194"/>
      <c r="BI242" s="194"/>
      <c r="BJ242" s="194"/>
    </row>
    <row r="243" ht="15.75" customHeight="1">
      <c r="A243" s="194"/>
      <c r="B243" s="194"/>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c r="AA243" s="194"/>
      <c r="AB243" s="194"/>
      <c r="AC243" s="194"/>
      <c r="AD243" s="194"/>
      <c r="AE243" s="194"/>
      <c r="AF243" s="194"/>
      <c r="AG243" s="194"/>
      <c r="AH243" s="194"/>
      <c r="AI243" s="194"/>
      <c r="AJ243" s="194"/>
      <c r="AK243" s="194"/>
      <c r="AL243" s="194"/>
      <c r="AM243" s="194"/>
      <c r="AN243" s="194"/>
      <c r="AO243" s="194"/>
      <c r="AP243" s="194"/>
      <c r="AQ243" s="194"/>
      <c r="AR243" s="194"/>
      <c r="AS243" s="194"/>
      <c r="AT243" s="194"/>
      <c r="AU243" s="194"/>
      <c r="AV243" s="194"/>
      <c r="AW243" s="194"/>
      <c r="AX243" s="194"/>
      <c r="AY243" s="194"/>
      <c r="AZ243" s="194"/>
      <c r="BA243" s="194"/>
      <c r="BB243" s="194"/>
      <c r="BC243" s="194"/>
      <c r="BD243" s="194"/>
      <c r="BE243" s="194"/>
      <c r="BF243" s="194"/>
      <c r="BG243" s="194"/>
      <c r="BH243" s="194"/>
      <c r="BI243" s="194"/>
      <c r="BJ243" s="194"/>
    </row>
    <row r="244" ht="15.75" customHeight="1">
      <c r="A244" s="194"/>
      <c r="B244" s="194"/>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c r="AA244" s="194"/>
      <c r="AB244" s="194"/>
      <c r="AC244" s="194"/>
      <c r="AD244" s="194"/>
      <c r="AE244" s="194"/>
      <c r="AF244" s="194"/>
      <c r="AG244" s="194"/>
      <c r="AH244" s="194"/>
      <c r="AI244" s="194"/>
      <c r="AJ244" s="194"/>
      <c r="AK244" s="194"/>
      <c r="AL244" s="194"/>
      <c r="AM244" s="194"/>
      <c r="AN244" s="194"/>
      <c r="AO244" s="194"/>
      <c r="AP244" s="194"/>
      <c r="AQ244" s="194"/>
      <c r="AR244" s="194"/>
      <c r="AS244" s="194"/>
      <c r="AT244" s="194"/>
      <c r="AU244" s="194"/>
      <c r="AV244" s="194"/>
      <c r="AW244" s="194"/>
      <c r="AX244" s="194"/>
      <c r="AY244" s="194"/>
      <c r="AZ244" s="194"/>
      <c r="BA244" s="194"/>
      <c r="BB244" s="194"/>
      <c r="BC244" s="194"/>
      <c r="BD244" s="194"/>
      <c r="BE244" s="194"/>
      <c r="BF244" s="194"/>
      <c r="BG244" s="194"/>
      <c r="BH244" s="194"/>
      <c r="BI244" s="194"/>
      <c r="BJ244" s="194"/>
    </row>
    <row r="245" ht="15.75" customHeight="1">
      <c r="A245" s="194"/>
      <c r="B245" s="194"/>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c r="AA245" s="194"/>
      <c r="AB245" s="194"/>
      <c r="AC245" s="194"/>
      <c r="AD245" s="194"/>
      <c r="AE245" s="194"/>
      <c r="AF245" s="194"/>
      <c r="AG245" s="194"/>
      <c r="AH245" s="194"/>
      <c r="AI245" s="194"/>
      <c r="AJ245" s="194"/>
      <c r="AK245" s="194"/>
      <c r="AL245" s="194"/>
      <c r="AM245" s="194"/>
      <c r="AN245" s="194"/>
      <c r="AO245" s="194"/>
      <c r="AP245" s="194"/>
      <c r="AQ245" s="194"/>
      <c r="AR245" s="194"/>
      <c r="AS245" s="194"/>
      <c r="AT245" s="194"/>
      <c r="AU245" s="194"/>
      <c r="AV245" s="194"/>
      <c r="AW245" s="194"/>
      <c r="AX245" s="194"/>
      <c r="AY245" s="194"/>
      <c r="AZ245" s="194"/>
      <c r="BA245" s="194"/>
      <c r="BB245" s="194"/>
      <c r="BC245" s="194"/>
      <c r="BD245" s="194"/>
      <c r="BE245" s="194"/>
      <c r="BF245" s="194"/>
      <c r="BG245" s="194"/>
      <c r="BH245" s="194"/>
      <c r="BI245" s="194"/>
      <c r="BJ245" s="194"/>
    </row>
    <row r="246" ht="15.75" customHeight="1">
      <c r="A246" s="194"/>
      <c r="B246" s="194"/>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c r="AA246" s="194"/>
      <c r="AB246" s="194"/>
      <c r="AC246" s="194"/>
      <c r="AD246" s="194"/>
      <c r="AE246" s="194"/>
      <c r="AF246" s="194"/>
      <c r="AG246" s="194"/>
      <c r="AH246" s="194"/>
      <c r="AI246" s="194"/>
      <c r="AJ246" s="194"/>
      <c r="AK246" s="194"/>
      <c r="AL246" s="194"/>
      <c r="AM246" s="194"/>
      <c r="AN246" s="194"/>
      <c r="AO246" s="194"/>
      <c r="AP246" s="194"/>
      <c r="AQ246" s="194"/>
      <c r="AR246" s="194"/>
      <c r="AS246" s="194"/>
      <c r="AT246" s="194"/>
      <c r="AU246" s="194"/>
      <c r="AV246" s="194"/>
      <c r="AW246" s="194"/>
      <c r="AX246" s="194"/>
      <c r="AY246" s="194"/>
      <c r="AZ246" s="194"/>
      <c r="BA246" s="194"/>
      <c r="BB246" s="194"/>
      <c r="BC246" s="194"/>
      <c r="BD246" s="194"/>
      <c r="BE246" s="194"/>
      <c r="BF246" s="194"/>
      <c r="BG246" s="194"/>
      <c r="BH246" s="194"/>
      <c r="BI246" s="194"/>
      <c r="BJ246" s="194"/>
    </row>
    <row r="247" ht="15.75" customHeight="1">
      <c r="A247" s="194"/>
      <c r="B247" s="194"/>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c r="AA247" s="194"/>
      <c r="AB247" s="194"/>
      <c r="AC247" s="194"/>
      <c r="AD247" s="194"/>
      <c r="AE247" s="194"/>
      <c r="AF247" s="194"/>
      <c r="AG247" s="194"/>
      <c r="AH247" s="194"/>
      <c r="AI247" s="194"/>
      <c r="AJ247" s="194"/>
      <c r="AK247" s="194"/>
      <c r="AL247" s="194"/>
      <c r="AM247" s="194"/>
      <c r="AN247" s="194"/>
      <c r="AO247" s="194"/>
      <c r="AP247" s="194"/>
      <c r="AQ247" s="194"/>
      <c r="AR247" s="194"/>
      <c r="AS247" s="194"/>
      <c r="AT247" s="194"/>
      <c r="AU247" s="194"/>
      <c r="AV247" s="194"/>
      <c r="AW247" s="194"/>
      <c r="AX247" s="194"/>
      <c r="AY247" s="194"/>
      <c r="AZ247" s="194"/>
      <c r="BA247" s="194"/>
      <c r="BB247" s="194"/>
      <c r="BC247" s="194"/>
      <c r="BD247" s="194"/>
      <c r="BE247" s="194"/>
      <c r="BF247" s="194"/>
      <c r="BG247" s="194"/>
      <c r="BH247" s="194"/>
      <c r="BI247" s="194"/>
      <c r="BJ247" s="194"/>
    </row>
    <row r="248" ht="15.75" customHeight="1">
      <c r="A248" s="194"/>
      <c r="B248" s="194"/>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c r="AA248" s="194"/>
      <c r="AB248" s="194"/>
      <c r="AC248" s="194"/>
      <c r="AD248" s="194"/>
      <c r="AE248" s="194"/>
      <c r="AF248" s="194"/>
      <c r="AG248" s="194"/>
      <c r="AH248" s="194"/>
      <c r="AI248" s="194"/>
      <c r="AJ248" s="194"/>
      <c r="AK248" s="194"/>
      <c r="AL248" s="194"/>
      <c r="AM248" s="194"/>
      <c r="AN248" s="194"/>
      <c r="AO248" s="194"/>
      <c r="AP248" s="194"/>
      <c r="AQ248" s="194"/>
      <c r="AR248" s="194"/>
      <c r="AS248" s="194"/>
      <c r="AT248" s="194"/>
      <c r="AU248" s="194"/>
      <c r="AV248" s="194"/>
      <c r="AW248" s="194"/>
      <c r="AX248" s="194"/>
      <c r="AY248" s="194"/>
      <c r="AZ248" s="194"/>
      <c r="BA248" s="194"/>
      <c r="BB248" s="194"/>
      <c r="BC248" s="194"/>
      <c r="BD248" s="194"/>
      <c r="BE248" s="194"/>
      <c r="BF248" s="194"/>
      <c r="BG248" s="194"/>
      <c r="BH248" s="194"/>
      <c r="BI248" s="194"/>
      <c r="BJ248" s="194"/>
    </row>
    <row r="249" ht="15.75" customHeight="1">
      <c r="A249" s="194"/>
      <c r="B249" s="194"/>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c r="AA249" s="194"/>
      <c r="AB249" s="194"/>
      <c r="AC249" s="194"/>
      <c r="AD249" s="194"/>
      <c r="AE249" s="194"/>
      <c r="AF249" s="194"/>
      <c r="AG249" s="194"/>
      <c r="AH249" s="194"/>
      <c r="AI249" s="194"/>
      <c r="AJ249" s="194"/>
      <c r="AK249" s="194"/>
      <c r="AL249" s="194"/>
      <c r="AM249" s="194"/>
      <c r="AN249" s="194"/>
      <c r="AO249" s="194"/>
      <c r="AP249" s="194"/>
      <c r="AQ249" s="194"/>
      <c r="AR249" s="194"/>
      <c r="AS249" s="194"/>
      <c r="AT249" s="194"/>
      <c r="AU249" s="194"/>
      <c r="AV249" s="194"/>
      <c r="AW249" s="194"/>
      <c r="AX249" s="194"/>
      <c r="AY249" s="194"/>
      <c r="AZ249" s="194"/>
      <c r="BA249" s="194"/>
      <c r="BB249" s="194"/>
      <c r="BC249" s="194"/>
      <c r="BD249" s="194"/>
      <c r="BE249" s="194"/>
      <c r="BF249" s="194"/>
      <c r="BG249" s="194"/>
      <c r="BH249" s="194"/>
      <c r="BI249" s="194"/>
      <c r="BJ249" s="194"/>
    </row>
    <row r="250" ht="15.75" customHeight="1">
      <c r="A250" s="194"/>
      <c r="B250" s="194"/>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c r="AA250" s="194"/>
      <c r="AB250" s="194"/>
      <c r="AC250" s="194"/>
      <c r="AD250" s="194"/>
      <c r="AE250" s="194"/>
      <c r="AF250" s="194"/>
      <c r="AG250" s="194"/>
      <c r="AH250" s="194"/>
      <c r="AI250" s="194"/>
      <c r="AJ250" s="194"/>
      <c r="AK250" s="194"/>
      <c r="AL250" s="194"/>
      <c r="AM250" s="194"/>
      <c r="AN250" s="194"/>
      <c r="AO250" s="194"/>
      <c r="AP250" s="194"/>
      <c r="AQ250" s="194"/>
      <c r="AR250" s="194"/>
      <c r="AS250" s="194"/>
      <c r="AT250" s="194"/>
      <c r="AU250" s="194"/>
      <c r="AV250" s="194"/>
      <c r="AW250" s="194"/>
      <c r="AX250" s="194"/>
      <c r="AY250" s="194"/>
      <c r="AZ250" s="194"/>
      <c r="BA250" s="194"/>
      <c r="BB250" s="194"/>
      <c r="BC250" s="194"/>
      <c r="BD250" s="194"/>
      <c r="BE250" s="194"/>
      <c r="BF250" s="194"/>
      <c r="BG250" s="194"/>
      <c r="BH250" s="194"/>
      <c r="BI250" s="194"/>
      <c r="BJ250" s="194"/>
    </row>
    <row r="251" ht="15.75" customHeight="1">
      <c r="A251" s="194"/>
      <c r="B251" s="194"/>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c r="AA251" s="194"/>
      <c r="AB251" s="194"/>
      <c r="AC251" s="194"/>
      <c r="AD251" s="194"/>
      <c r="AE251" s="194"/>
      <c r="AF251" s="194"/>
      <c r="AG251" s="194"/>
      <c r="AH251" s="194"/>
      <c r="AI251" s="194"/>
      <c r="AJ251" s="194"/>
      <c r="AK251" s="194"/>
      <c r="AL251" s="194"/>
      <c r="AM251" s="194"/>
      <c r="AN251" s="194"/>
      <c r="AO251" s="194"/>
      <c r="AP251" s="194"/>
      <c r="AQ251" s="194"/>
      <c r="AR251" s="194"/>
      <c r="AS251" s="194"/>
      <c r="AT251" s="194"/>
      <c r="AU251" s="194"/>
      <c r="AV251" s="194"/>
      <c r="AW251" s="194"/>
      <c r="AX251" s="194"/>
      <c r="AY251" s="194"/>
      <c r="AZ251" s="194"/>
      <c r="BA251" s="194"/>
      <c r="BB251" s="194"/>
      <c r="BC251" s="194"/>
      <c r="BD251" s="194"/>
      <c r="BE251" s="194"/>
      <c r="BF251" s="194"/>
      <c r="BG251" s="194"/>
      <c r="BH251" s="194"/>
      <c r="BI251" s="194"/>
      <c r="BJ251" s="194"/>
    </row>
    <row r="252" ht="15.75" customHeight="1">
      <c r="A252" s="194"/>
      <c r="B252" s="194"/>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c r="AA252" s="194"/>
      <c r="AB252" s="194"/>
      <c r="AC252" s="194"/>
      <c r="AD252" s="194"/>
      <c r="AE252" s="194"/>
      <c r="AF252" s="194"/>
      <c r="AG252" s="194"/>
      <c r="AH252" s="194"/>
      <c r="AI252" s="194"/>
      <c r="AJ252" s="194"/>
      <c r="AK252" s="194"/>
      <c r="AL252" s="194"/>
      <c r="AM252" s="194"/>
      <c r="AN252" s="194"/>
      <c r="AO252" s="194"/>
      <c r="AP252" s="194"/>
      <c r="AQ252" s="194"/>
      <c r="AR252" s="194"/>
      <c r="AS252" s="194"/>
      <c r="AT252" s="194"/>
      <c r="AU252" s="194"/>
      <c r="AV252" s="194"/>
      <c r="AW252" s="194"/>
      <c r="AX252" s="194"/>
      <c r="AY252" s="194"/>
      <c r="AZ252" s="194"/>
      <c r="BA252" s="194"/>
      <c r="BB252" s="194"/>
      <c r="BC252" s="194"/>
      <c r="BD252" s="194"/>
      <c r="BE252" s="194"/>
      <c r="BF252" s="194"/>
      <c r="BG252" s="194"/>
      <c r="BH252" s="194"/>
      <c r="BI252" s="194"/>
      <c r="BJ252" s="194"/>
    </row>
    <row r="253" ht="15.75" customHeight="1">
      <c r="A253" s="194"/>
      <c r="B253" s="194"/>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c r="AA253" s="194"/>
      <c r="AB253" s="194"/>
      <c r="AC253" s="194"/>
      <c r="AD253" s="194"/>
      <c r="AE253" s="194"/>
      <c r="AF253" s="194"/>
      <c r="AG253" s="194"/>
      <c r="AH253" s="194"/>
      <c r="AI253" s="194"/>
      <c r="AJ253" s="194"/>
      <c r="AK253" s="194"/>
      <c r="AL253" s="194"/>
      <c r="AM253" s="194"/>
      <c r="AN253" s="194"/>
      <c r="AO253" s="194"/>
      <c r="AP253" s="194"/>
      <c r="AQ253" s="194"/>
      <c r="AR253" s="194"/>
      <c r="AS253" s="194"/>
      <c r="AT253" s="194"/>
      <c r="AU253" s="194"/>
      <c r="AV253" s="194"/>
      <c r="AW253" s="194"/>
      <c r="AX253" s="194"/>
      <c r="AY253" s="194"/>
      <c r="AZ253" s="194"/>
      <c r="BA253" s="194"/>
      <c r="BB253" s="194"/>
      <c r="BC253" s="194"/>
      <c r="BD253" s="194"/>
      <c r="BE253" s="194"/>
      <c r="BF253" s="194"/>
      <c r="BG253" s="194"/>
      <c r="BH253" s="194"/>
      <c r="BI253" s="194"/>
      <c r="BJ253" s="194"/>
    </row>
    <row r="254" ht="15.75" customHeight="1">
      <c r="A254" s="194"/>
      <c r="B254" s="194"/>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c r="AA254" s="194"/>
      <c r="AB254" s="194"/>
      <c r="AC254" s="194"/>
      <c r="AD254" s="194"/>
      <c r="AE254" s="194"/>
      <c r="AF254" s="194"/>
      <c r="AG254" s="194"/>
      <c r="AH254" s="194"/>
      <c r="AI254" s="194"/>
      <c r="AJ254" s="194"/>
      <c r="AK254" s="194"/>
      <c r="AL254" s="194"/>
      <c r="AM254" s="194"/>
      <c r="AN254" s="194"/>
      <c r="AO254" s="194"/>
      <c r="AP254" s="194"/>
      <c r="AQ254" s="194"/>
      <c r="AR254" s="194"/>
      <c r="AS254" s="194"/>
      <c r="AT254" s="194"/>
      <c r="AU254" s="194"/>
      <c r="AV254" s="194"/>
      <c r="AW254" s="194"/>
      <c r="AX254" s="194"/>
      <c r="AY254" s="194"/>
      <c r="AZ254" s="194"/>
      <c r="BA254" s="194"/>
      <c r="BB254" s="194"/>
      <c r="BC254" s="194"/>
      <c r="BD254" s="194"/>
      <c r="BE254" s="194"/>
      <c r="BF254" s="194"/>
      <c r="BG254" s="194"/>
      <c r="BH254" s="194"/>
      <c r="BI254" s="194"/>
      <c r="BJ254" s="194"/>
    </row>
    <row r="255" ht="15.75" customHeight="1">
      <c r="A255" s="194"/>
      <c r="B255" s="194"/>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c r="AA255" s="194"/>
      <c r="AB255" s="194"/>
      <c r="AC255" s="194"/>
      <c r="AD255" s="194"/>
      <c r="AE255" s="194"/>
      <c r="AF255" s="194"/>
      <c r="AG255" s="194"/>
      <c r="AH255" s="194"/>
      <c r="AI255" s="194"/>
      <c r="AJ255" s="194"/>
      <c r="AK255" s="194"/>
      <c r="AL255" s="194"/>
      <c r="AM255" s="194"/>
      <c r="AN255" s="194"/>
      <c r="AO255" s="194"/>
      <c r="AP255" s="194"/>
      <c r="AQ255" s="194"/>
      <c r="AR255" s="194"/>
      <c r="AS255" s="194"/>
      <c r="AT255" s="194"/>
      <c r="AU255" s="194"/>
      <c r="AV255" s="194"/>
      <c r="AW255" s="194"/>
      <c r="AX255" s="194"/>
      <c r="AY255" s="194"/>
      <c r="AZ255" s="194"/>
      <c r="BA255" s="194"/>
      <c r="BB255" s="194"/>
      <c r="BC255" s="194"/>
      <c r="BD255" s="194"/>
      <c r="BE255" s="194"/>
      <c r="BF255" s="194"/>
      <c r="BG255" s="194"/>
      <c r="BH255" s="194"/>
      <c r="BI255" s="194"/>
      <c r="BJ255" s="194"/>
    </row>
    <row r="256" ht="15.75" customHeight="1">
      <c r="A256" s="194"/>
      <c r="B256" s="194"/>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c r="AA256" s="194"/>
      <c r="AB256" s="194"/>
      <c r="AC256" s="194"/>
      <c r="AD256" s="194"/>
      <c r="AE256" s="194"/>
      <c r="AF256" s="194"/>
      <c r="AG256" s="194"/>
      <c r="AH256" s="194"/>
      <c r="AI256" s="194"/>
      <c r="AJ256" s="194"/>
      <c r="AK256" s="194"/>
      <c r="AL256" s="194"/>
      <c r="AM256" s="194"/>
      <c r="AN256" s="194"/>
      <c r="AO256" s="194"/>
      <c r="AP256" s="194"/>
      <c r="AQ256" s="194"/>
      <c r="AR256" s="194"/>
      <c r="AS256" s="194"/>
      <c r="AT256" s="194"/>
      <c r="AU256" s="194"/>
      <c r="AV256" s="194"/>
      <c r="AW256" s="194"/>
      <c r="AX256" s="194"/>
      <c r="AY256" s="194"/>
      <c r="AZ256" s="194"/>
      <c r="BA256" s="194"/>
      <c r="BB256" s="194"/>
      <c r="BC256" s="194"/>
      <c r="BD256" s="194"/>
      <c r="BE256" s="194"/>
      <c r="BF256" s="194"/>
      <c r="BG256" s="194"/>
      <c r="BH256" s="194"/>
      <c r="BI256" s="194"/>
      <c r="BJ256" s="194"/>
    </row>
    <row r="257" ht="15.75" customHeight="1">
      <c r="A257" s="194"/>
      <c r="B257" s="194"/>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c r="AA257" s="194"/>
      <c r="AB257" s="194"/>
      <c r="AC257" s="194"/>
      <c r="AD257" s="194"/>
      <c r="AE257" s="194"/>
      <c r="AF257" s="194"/>
      <c r="AG257" s="194"/>
      <c r="AH257" s="194"/>
      <c r="AI257" s="194"/>
      <c r="AJ257" s="194"/>
      <c r="AK257" s="194"/>
      <c r="AL257" s="194"/>
      <c r="AM257" s="194"/>
      <c r="AN257" s="194"/>
      <c r="AO257" s="194"/>
      <c r="AP257" s="194"/>
      <c r="AQ257" s="194"/>
      <c r="AR257" s="194"/>
      <c r="AS257" s="194"/>
      <c r="AT257" s="194"/>
      <c r="AU257" s="194"/>
      <c r="AV257" s="194"/>
      <c r="AW257" s="194"/>
      <c r="AX257" s="194"/>
      <c r="AY257" s="194"/>
      <c r="AZ257" s="194"/>
      <c r="BA257" s="194"/>
      <c r="BB257" s="194"/>
      <c r="BC257" s="194"/>
      <c r="BD257" s="194"/>
      <c r="BE257" s="194"/>
      <c r="BF257" s="194"/>
      <c r="BG257" s="194"/>
      <c r="BH257" s="194"/>
      <c r="BI257" s="194"/>
      <c r="BJ257" s="194"/>
    </row>
    <row r="258" ht="15.75" customHeight="1">
      <c r="A258" s="194"/>
      <c r="B258" s="194"/>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c r="AA258" s="194"/>
      <c r="AB258" s="194"/>
      <c r="AC258" s="194"/>
      <c r="AD258" s="194"/>
      <c r="AE258" s="194"/>
      <c r="AF258" s="194"/>
      <c r="AG258" s="194"/>
      <c r="AH258" s="194"/>
      <c r="AI258" s="194"/>
      <c r="AJ258" s="194"/>
      <c r="AK258" s="194"/>
      <c r="AL258" s="194"/>
      <c r="AM258" s="194"/>
      <c r="AN258" s="194"/>
      <c r="AO258" s="194"/>
      <c r="AP258" s="194"/>
      <c r="AQ258" s="194"/>
      <c r="AR258" s="194"/>
      <c r="AS258" s="194"/>
      <c r="AT258" s="194"/>
      <c r="AU258" s="194"/>
      <c r="AV258" s="194"/>
      <c r="AW258" s="194"/>
      <c r="AX258" s="194"/>
      <c r="AY258" s="194"/>
      <c r="AZ258" s="194"/>
      <c r="BA258" s="194"/>
      <c r="BB258" s="194"/>
      <c r="BC258" s="194"/>
      <c r="BD258" s="194"/>
      <c r="BE258" s="194"/>
      <c r="BF258" s="194"/>
      <c r="BG258" s="194"/>
      <c r="BH258" s="194"/>
      <c r="BI258" s="194"/>
      <c r="BJ258" s="194"/>
    </row>
    <row r="259" ht="15.75" customHeight="1">
      <c r="A259" s="194"/>
      <c r="B259" s="194"/>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c r="AA259" s="194"/>
      <c r="AB259" s="194"/>
      <c r="AC259" s="194"/>
      <c r="AD259" s="194"/>
      <c r="AE259" s="194"/>
      <c r="AF259" s="194"/>
      <c r="AG259" s="194"/>
      <c r="AH259" s="194"/>
      <c r="AI259" s="194"/>
      <c r="AJ259" s="194"/>
      <c r="AK259" s="194"/>
      <c r="AL259" s="194"/>
      <c r="AM259" s="194"/>
      <c r="AN259" s="194"/>
      <c r="AO259" s="194"/>
      <c r="AP259" s="194"/>
      <c r="AQ259" s="194"/>
      <c r="AR259" s="194"/>
      <c r="AS259" s="194"/>
      <c r="AT259" s="194"/>
      <c r="AU259" s="194"/>
      <c r="AV259" s="194"/>
      <c r="AW259" s="194"/>
      <c r="AX259" s="194"/>
      <c r="AY259" s="194"/>
      <c r="AZ259" s="194"/>
      <c r="BA259" s="194"/>
      <c r="BB259" s="194"/>
      <c r="BC259" s="194"/>
      <c r="BD259" s="194"/>
      <c r="BE259" s="194"/>
      <c r="BF259" s="194"/>
      <c r="BG259" s="194"/>
      <c r="BH259" s="194"/>
      <c r="BI259" s="194"/>
      <c r="BJ259" s="194"/>
    </row>
    <row r="260" ht="15.75" customHeight="1">
      <c r="A260" s="194"/>
      <c r="B260" s="194"/>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c r="AA260" s="194"/>
      <c r="AB260" s="194"/>
      <c r="AC260" s="194"/>
      <c r="AD260" s="194"/>
      <c r="AE260" s="194"/>
      <c r="AF260" s="194"/>
      <c r="AG260" s="194"/>
      <c r="AH260" s="194"/>
      <c r="AI260" s="194"/>
      <c r="AJ260" s="194"/>
      <c r="AK260" s="194"/>
      <c r="AL260" s="194"/>
      <c r="AM260" s="194"/>
      <c r="AN260" s="194"/>
      <c r="AO260" s="194"/>
      <c r="AP260" s="194"/>
      <c r="AQ260" s="194"/>
      <c r="AR260" s="194"/>
      <c r="AS260" s="194"/>
      <c r="AT260" s="194"/>
      <c r="AU260" s="194"/>
      <c r="AV260" s="194"/>
      <c r="AW260" s="194"/>
      <c r="AX260" s="194"/>
      <c r="AY260" s="194"/>
      <c r="AZ260" s="194"/>
      <c r="BA260" s="194"/>
      <c r="BB260" s="194"/>
      <c r="BC260" s="194"/>
      <c r="BD260" s="194"/>
      <c r="BE260" s="194"/>
      <c r="BF260" s="194"/>
      <c r="BG260" s="194"/>
      <c r="BH260" s="194"/>
      <c r="BI260" s="194"/>
      <c r="BJ260" s="194"/>
    </row>
    <row r="261" ht="15.75" customHeight="1">
      <c r="A261" s="194"/>
      <c r="B261" s="194"/>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c r="AA261" s="194"/>
      <c r="AB261" s="194"/>
      <c r="AC261" s="194"/>
      <c r="AD261" s="194"/>
      <c r="AE261" s="194"/>
      <c r="AF261" s="194"/>
      <c r="AG261" s="194"/>
      <c r="AH261" s="194"/>
      <c r="AI261" s="194"/>
      <c r="AJ261" s="194"/>
      <c r="AK261" s="194"/>
      <c r="AL261" s="194"/>
      <c r="AM261" s="194"/>
      <c r="AN261" s="194"/>
      <c r="AO261" s="194"/>
      <c r="AP261" s="194"/>
      <c r="AQ261" s="194"/>
      <c r="AR261" s="194"/>
      <c r="AS261" s="194"/>
      <c r="AT261" s="194"/>
      <c r="AU261" s="194"/>
      <c r="AV261" s="194"/>
      <c r="AW261" s="194"/>
      <c r="AX261" s="194"/>
      <c r="AY261" s="194"/>
      <c r="AZ261" s="194"/>
      <c r="BA261" s="194"/>
      <c r="BB261" s="194"/>
      <c r="BC261" s="194"/>
      <c r="BD261" s="194"/>
      <c r="BE261" s="194"/>
      <c r="BF261" s="194"/>
      <c r="BG261" s="194"/>
      <c r="BH261" s="194"/>
      <c r="BI261" s="194"/>
      <c r="BJ261" s="194"/>
    </row>
    <row r="262" ht="15.75" customHeight="1">
      <c r="A262" s="194"/>
      <c r="B262" s="194"/>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c r="AA262" s="194"/>
      <c r="AB262" s="194"/>
      <c r="AC262" s="194"/>
      <c r="AD262" s="194"/>
      <c r="AE262" s="194"/>
      <c r="AF262" s="194"/>
      <c r="AG262" s="194"/>
      <c r="AH262" s="194"/>
      <c r="AI262" s="194"/>
      <c r="AJ262" s="194"/>
      <c r="AK262" s="194"/>
      <c r="AL262" s="194"/>
      <c r="AM262" s="194"/>
      <c r="AN262" s="194"/>
      <c r="AO262" s="194"/>
      <c r="AP262" s="194"/>
      <c r="AQ262" s="194"/>
      <c r="AR262" s="194"/>
      <c r="AS262" s="194"/>
      <c r="AT262" s="194"/>
      <c r="AU262" s="194"/>
      <c r="AV262" s="194"/>
      <c r="AW262" s="194"/>
      <c r="AX262" s="194"/>
      <c r="AY262" s="194"/>
      <c r="AZ262" s="194"/>
      <c r="BA262" s="194"/>
      <c r="BB262" s="194"/>
      <c r="BC262" s="194"/>
      <c r="BD262" s="194"/>
      <c r="BE262" s="194"/>
      <c r="BF262" s="194"/>
      <c r="BG262" s="194"/>
      <c r="BH262" s="194"/>
      <c r="BI262" s="194"/>
      <c r="BJ262" s="194"/>
    </row>
    <row r="263" ht="15.75" customHeight="1">
      <c r="A263" s="194"/>
      <c r="B263" s="194"/>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c r="AA263" s="194"/>
      <c r="AB263" s="194"/>
      <c r="AC263" s="194"/>
      <c r="AD263" s="194"/>
      <c r="AE263" s="194"/>
      <c r="AF263" s="194"/>
      <c r="AG263" s="194"/>
      <c r="AH263" s="194"/>
      <c r="AI263" s="194"/>
      <c r="AJ263" s="194"/>
      <c r="AK263" s="194"/>
      <c r="AL263" s="194"/>
      <c r="AM263" s="194"/>
      <c r="AN263" s="194"/>
      <c r="AO263" s="194"/>
      <c r="AP263" s="194"/>
      <c r="AQ263" s="194"/>
      <c r="AR263" s="194"/>
      <c r="AS263" s="194"/>
      <c r="AT263" s="194"/>
      <c r="AU263" s="194"/>
      <c r="AV263" s="194"/>
      <c r="AW263" s="194"/>
      <c r="AX263" s="194"/>
      <c r="AY263" s="194"/>
      <c r="AZ263" s="194"/>
      <c r="BA263" s="194"/>
      <c r="BB263" s="194"/>
      <c r="BC263" s="194"/>
      <c r="BD263" s="194"/>
      <c r="BE263" s="194"/>
      <c r="BF263" s="194"/>
      <c r="BG263" s="194"/>
      <c r="BH263" s="194"/>
      <c r="BI263" s="194"/>
      <c r="BJ263" s="194"/>
    </row>
    <row r="264" ht="15.75" customHeight="1">
      <c r="A264" s="194"/>
      <c r="B264" s="194"/>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c r="AA264" s="194"/>
      <c r="AB264" s="194"/>
      <c r="AC264" s="194"/>
      <c r="AD264" s="194"/>
      <c r="AE264" s="194"/>
      <c r="AF264" s="194"/>
      <c r="AG264" s="194"/>
      <c r="AH264" s="194"/>
      <c r="AI264" s="194"/>
      <c r="AJ264" s="194"/>
      <c r="AK264" s="194"/>
      <c r="AL264" s="194"/>
      <c r="AM264" s="194"/>
      <c r="AN264" s="194"/>
      <c r="AO264" s="194"/>
      <c r="AP264" s="194"/>
      <c r="AQ264" s="194"/>
      <c r="AR264" s="194"/>
      <c r="AS264" s="194"/>
      <c r="AT264" s="194"/>
      <c r="AU264" s="194"/>
      <c r="AV264" s="194"/>
      <c r="AW264" s="194"/>
      <c r="AX264" s="194"/>
      <c r="AY264" s="194"/>
      <c r="AZ264" s="194"/>
      <c r="BA264" s="194"/>
      <c r="BB264" s="194"/>
      <c r="BC264" s="194"/>
      <c r="BD264" s="194"/>
      <c r="BE264" s="194"/>
      <c r="BF264" s="194"/>
      <c r="BG264" s="194"/>
      <c r="BH264" s="194"/>
      <c r="BI264" s="194"/>
      <c r="BJ264" s="194"/>
    </row>
    <row r="265" ht="15.75" customHeight="1">
      <c r="A265" s="194"/>
      <c r="B265" s="194"/>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c r="AA265" s="194"/>
      <c r="AB265" s="194"/>
      <c r="AC265" s="194"/>
      <c r="AD265" s="194"/>
      <c r="AE265" s="194"/>
      <c r="AF265" s="194"/>
      <c r="AG265" s="194"/>
      <c r="AH265" s="194"/>
      <c r="AI265" s="194"/>
      <c r="AJ265" s="194"/>
      <c r="AK265" s="194"/>
      <c r="AL265" s="194"/>
      <c r="AM265" s="194"/>
      <c r="AN265" s="194"/>
      <c r="AO265" s="194"/>
      <c r="AP265" s="194"/>
      <c r="AQ265" s="194"/>
      <c r="AR265" s="194"/>
      <c r="AS265" s="194"/>
      <c r="AT265" s="194"/>
      <c r="AU265" s="194"/>
      <c r="AV265" s="194"/>
      <c r="AW265" s="194"/>
      <c r="AX265" s="194"/>
      <c r="AY265" s="194"/>
      <c r="AZ265" s="194"/>
      <c r="BA265" s="194"/>
      <c r="BB265" s="194"/>
      <c r="BC265" s="194"/>
      <c r="BD265" s="194"/>
      <c r="BE265" s="194"/>
      <c r="BF265" s="194"/>
      <c r="BG265" s="194"/>
      <c r="BH265" s="194"/>
      <c r="BI265" s="194"/>
      <c r="BJ265" s="194"/>
    </row>
    <row r="266" ht="15.75" customHeight="1">
      <c r="A266" s="194"/>
      <c r="B266" s="194"/>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c r="AA266" s="194"/>
      <c r="AB266" s="194"/>
      <c r="AC266" s="194"/>
      <c r="AD266" s="194"/>
      <c r="AE266" s="194"/>
      <c r="AF266" s="194"/>
      <c r="AG266" s="194"/>
      <c r="AH266" s="194"/>
      <c r="AI266" s="194"/>
      <c r="AJ266" s="194"/>
      <c r="AK266" s="194"/>
      <c r="AL266" s="194"/>
      <c r="AM266" s="194"/>
      <c r="AN266" s="194"/>
      <c r="AO266" s="194"/>
      <c r="AP266" s="194"/>
      <c r="AQ266" s="194"/>
      <c r="AR266" s="194"/>
      <c r="AS266" s="194"/>
      <c r="AT266" s="194"/>
      <c r="AU266" s="194"/>
      <c r="AV266" s="194"/>
      <c r="AW266" s="194"/>
      <c r="AX266" s="194"/>
      <c r="AY266" s="194"/>
      <c r="AZ266" s="194"/>
      <c r="BA266" s="194"/>
      <c r="BB266" s="194"/>
      <c r="BC266" s="194"/>
      <c r="BD266" s="194"/>
      <c r="BE266" s="194"/>
      <c r="BF266" s="194"/>
      <c r="BG266" s="194"/>
      <c r="BH266" s="194"/>
      <c r="BI266" s="194"/>
      <c r="BJ266" s="194"/>
    </row>
    <row r="267" ht="15.75" customHeight="1">
      <c r="A267" s="194"/>
      <c r="B267" s="194"/>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c r="AA267" s="194"/>
      <c r="AB267" s="194"/>
      <c r="AC267" s="194"/>
      <c r="AD267" s="194"/>
      <c r="AE267" s="194"/>
      <c r="AF267" s="194"/>
      <c r="AG267" s="194"/>
      <c r="AH267" s="194"/>
      <c r="AI267" s="194"/>
      <c r="AJ267" s="194"/>
      <c r="AK267" s="194"/>
      <c r="AL267" s="194"/>
      <c r="AM267" s="194"/>
      <c r="AN267" s="194"/>
      <c r="AO267" s="194"/>
      <c r="AP267" s="194"/>
      <c r="AQ267" s="194"/>
      <c r="AR267" s="194"/>
      <c r="AS267" s="194"/>
      <c r="AT267" s="194"/>
      <c r="AU267" s="194"/>
      <c r="AV267" s="194"/>
      <c r="AW267" s="194"/>
      <c r="AX267" s="194"/>
      <c r="AY267" s="194"/>
      <c r="AZ267" s="194"/>
      <c r="BA267" s="194"/>
      <c r="BB267" s="194"/>
      <c r="BC267" s="194"/>
      <c r="BD267" s="194"/>
      <c r="BE267" s="194"/>
      <c r="BF267" s="194"/>
      <c r="BG267" s="194"/>
      <c r="BH267" s="194"/>
      <c r="BI267" s="194"/>
      <c r="BJ267" s="194"/>
    </row>
    <row r="268" ht="15.75" customHeight="1">
      <c r="A268" s="194"/>
      <c r="B268" s="194"/>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c r="AA268" s="194"/>
      <c r="AB268" s="194"/>
      <c r="AC268" s="194"/>
      <c r="AD268" s="194"/>
      <c r="AE268" s="194"/>
      <c r="AF268" s="194"/>
      <c r="AG268" s="194"/>
      <c r="AH268" s="194"/>
      <c r="AI268" s="194"/>
      <c r="AJ268" s="194"/>
      <c r="AK268" s="194"/>
      <c r="AL268" s="194"/>
      <c r="AM268" s="194"/>
      <c r="AN268" s="194"/>
      <c r="AO268" s="194"/>
      <c r="AP268" s="194"/>
      <c r="AQ268" s="194"/>
      <c r="AR268" s="194"/>
      <c r="AS268" s="194"/>
      <c r="AT268" s="194"/>
      <c r="AU268" s="194"/>
      <c r="AV268" s="194"/>
      <c r="AW268" s="194"/>
      <c r="AX268" s="194"/>
      <c r="AY268" s="194"/>
      <c r="AZ268" s="194"/>
      <c r="BA268" s="194"/>
      <c r="BB268" s="194"/>
      <c r="BC268" s="194"/>
      <c r="BD268" s="194"/>
      <c r="BE268" s="194"/>
      <c r="BF268" s="194"/>
      <c r="BG268" s="194"/>
      <c r="BH268" s="194"/>
      <c r="BI268" s="194"/>
      <c r="BJ268" s="194"/>
    </row>
    <row r="269" ht="15.75" customHeight="1">
      <c r="A269" s="194"/>
      <c r="B269" s="194"/>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c r="AA269" s="194"/>
      <c r="AB269" s="194"/>
      <c r="AC269" s="194"/>
      <c r="AD269" s="194"/>
      <c r="AE269" s="194"/>
      <c r="AF269" s="194"/>
      <c r="AG269" s="194"/>
      <c r="AH269" s="194"/>
      <c r="AI269" s="194"/>
      <c r="AJ269" s="194"/>
      <c r="AK269" s="194"/>
      <c r="AL269" s="194"/>
      <c r="AM269" s="194"/>
      <c r="AN269" s="194"/>
      <c r="AO269" s="194"/>
      <c r="AP269" s="194"/>
      <c r="AQ269" s="194"/>
      <c r="AR269" s="194"/>
      <c r="AS269" s="194"/>
      <c r="AT269" s="194"/>
      <c r="AU269" s="194"/>
      <c r="AV269" s="194"/>
      <c r="AW269" s="194"/>
      <c r="AX269" s="194"/>
      <c r="AY269" s="194"/>
      <c r="AZ269" s="194"/>
      <c r="BA269" s="194"/>
      <c r="BB269" s="194"/>
      <c r="BC269" s="194"/>
      <c r="BD269" s="194"/>
      <c r="BE269" s="194"/>
      <c r="BF269" s="194"/>
      <c r="BG269" s="194"/>
      <c r="BH269" s="194"/>
      <c r="BI269" s="194"/>
      <c r="BJ269" s="194"/>
    </row>
    <row r="270" ht="15.75" customHeight="1">
      <c r="A270" s="194"/>
      <c r="B270" s="194"/>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c r="AA270" s="194"/>
      <c r="AB270" s="194"/>
      <c r="AC270" s="194"/>
      <c r="AD270" s="194"/>
      <c r="AE270" s="194"/>
      <c r="AF270" s="194"/>
      <c r="AG270" s="194"/>
      <c r="AH270" s="194"/>
      <c r="AI270" s="194"/>
      <c r="AJ270" s="194"/>
      <c r="AK270" s="194"/>
      <c r="AL270" s="194"/>
      <c r="AM270" s="194"/>
      <c r="AN270" s="194"/>
      <c r="AO270" s="194"/>
      <c r="AP270" s="194"/>
      <c r="AQ270" s="194"/>
      <c r="AR270" s="194"/>
      <c r="AS270" s="194"/>
      <c r="AT270" s="194"/>
      <c r="AU270" s="194"/>
      <c r="AV270" s="194"/>
      <c r="AW270" s="194"/>
      <c r="AX270" s="194"/>
      <c r="AY270" s="194"/>
      <c r="AZ270" s="194"/>
      <c r="BA270" s="194"/>
      <c r="BB270" s="194"/>
      <c r="BC270" s="194"/>
      <c r="BD270" s="194"/>
      <c r="BE270" s="194"/>
      <c r="BF270" s="194"/>
      <c r="BG270" s="194"/>
      <c r="BH270" s="194"/>
      <c r="BI270" s="194"/>
      <c r="BJ270" s="194"/>
    </row>
    <row r="271" ht="15.75" customHeight="1">
      <c r="A271" s="194"/>
      <c r="B271" s="194"/>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c r="AA271" s="194"/>
      <c r="AB271" s="194"/>
      <c r="AC271" s="194"/>
      <c r="AD271" s="194"/>
      <c r="AE271" s="194"/>
      <c r="AF271" s="194"/>
      <c r="AG271" s="194"/>
      <c r="AH271" s="194"/>
      <c r="AI271" s="194"/>
      <c r="AJ271" s="194"/>
      <c r="AK271" s="194"/>
      <c r="AL271" s="194"/>
      <c r="AM271" s="194"/>
      <c r="AN271" s="194"/>
      <c r="AO271" s="194"/>
      <c r="AP271" s="194"/>
      <c r="AQ271" s="194"/>
      <c r="AR271" s="194"/>
      <c r="AS271" s="194"/>
      <c r="AT271" s="194"/>
      <c r="AU271" s="194"/>
      <c r="AV271" s="194"/>
      <c r="AW271" s="194"/>
      <c r="AX271" s="194"/>
      <c r="AY271" s="194"/>
      <c r="AZ271" s="194"/>
      <c r="BA271" s="194"/>
      <c r="BB271" s="194"/>
      <c r="BC271" s="194"/>
      <c r="BD271" s="194"/>
      <c r="BE271" s="194"/>
      <c r="BF271" s="194"/>
      <c r="BG271" s="194"/>
      <c r="BH271" s="194"/>
      <c r="BI271" s="194"/>
      <c r="BJ271" s="194"/>
    </row>
    <row r="272" ht="15.75" customHeight="1">
      <c r="A272" s="194"/>
      <c r="B272" s="194"/>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c r="AA272" s="194"/>
      <c r="AB272" s="194"/>
      <c r="AC272" s="194"/>
      <c r="AD272" s="194"/>
      <c r="AE272" s="194"/>
      <c r="AF272" s="194"/>
      <c r="AG272" s="194"/>
      <c r="AH272" s="194"/>
      <c r="AI272" s="194"/>
      <c r="AJ272" s="194"/>
      <c r="AK272" s="194"/>
      <c r="AL272" s="194"/>
      <c r="AM272" s="194"/>
      <c r="AN272" s="194"/>
      <c r="AO272" s="194"/>
      <c r="AP272" s="194"/>
      <c r="AQ272" s="194"/>
      <c r="AR272" s="194"/>
      <c r="AS272" s="194"/>
      <c r="AT272" s="194"/>
      <c r="AU272" s="194"/>
      <c r="AV272" s="194"/>
      <c r="AW272" s="194"/>
      <c r="AX272" s="194"/>
      <c r="AY272" s="194"/>
      <c r="AZ272" s="194"/>
      <c r="BA272" s="194"/>
      <c r="BB272" s="194"/>
      <c r="BC272" s="194"/>
      <c r="BD272" s="194"/>
      <c r="BE272" s="194"/>
      <c r="BF272" s="194"/>
      <c r="BG272" s="194"/>
      <c r="BH272" s="194"/>
      <c r="BI272" s="194"/>
      <c r="BJ272" s="194"/>
    </row>
    <row r="273" ht="15.75" customHeight="1">
      <c r="A273" s="194"/>
      <c r="B273" s="194"/>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c r="AA273" s="194"/>
      <c r="AB273" s="194"/>
      <c r="AC273" s="194"/>
      <c r="AD273" s="194"/>
      <c r="AE273" s="194"/>
      <c r="AF273" s="194"/>
      <c r="AG273" s="194"/>
      <c r="AH273" s="194"/>
      <c r="AI273" s="194"/>
      <c r="AJ273" s="194"/>
      <c r="AK273" s="194"/>
      <c r="AL273" s="194"/>
      <c r="AM273" s="194"/>
      <c r="AN273" s="194"/>
      <c r="AO273" s="194"/>
      <c r="AP273" s="194"/>
      <c r="AQ273" s="194"/>
      <c r="AR273" s="194"/>
      <c r="AS273" s="194"/>
      <c r="AT273" s="194"/>
      <c r="AU273" s="194"/>
      <c r="AV273" s="194"/>
      <c r="AW273" s="194"/>
      <c r="AX273" s="194"/>
      <c r="AY273" s="194"/>
      <c r="AZ273" s="194"/>
      <c r="BA273" s="194"/>
      <c r="BB273" s="194"/>
      <c r="BC273" s="194"/>
      <c r="BD273" s="194"/>
      <c r="BE273" s="194"/>
      <c r="BF273" s="194"/>
      <c r="BG273" s="194"/>
      <c r="BH273" s="194"/>
      <c r="BI273" s="194"/>
      <c r="BJ273" s="194"/>
    </row>
    <row r="274" ht="15.75" customHeight="1">
      <c r="A274" s="194"/>
      <c r="B274" s="194"/>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c r="AA274" s="194"/>
      <c r="AB274" s="194"/>
      <c r="AC274" s="194"/>
      <c r="AD274" s="194"/>
      <c r="AE274" s="194"/>
      <c r="AF274" s="194"/>
      <c r="AG274" s="194"/>
      <c r="AH274" s="194"/>
      <c r="AI274" s="194"/>
      <c r="AJ274" s="194"/>
      <c r="AK274" s="194"/>
      <c r="AL274" s="194"/>
      <c r="AM274" s="194"/>
      <c r="AN274" s="194"/>
      <c r="AO274" s="194"/>
      <c r="AP274" s="194"/>
      <c r="AQ274" s="194"/>
      <c r="AR274" s="194"/>
      <c r="AS274" s="194"/>
      <c r="AT274" s="194"/>
      <c r="AU274" s="194"/>
      <c r="AV274" s="194"/>
      <c r="AW274" s="194"/>
      <c r="AX274" s="194"/>
      <c r="AY274" s="194"/>
      <c r="AZ274" s="194"/>
      <c r="BA274" s="194"/>
      <c r="BB274" s="194"/>
      <c r="BC274" s="194"/>
      <c r="BD274" s="194"/>
      <c r="BE274" s="194"/>
      <c r="BF274" s="194"/>
      <c r="BG274" s="194"/>
      <c r="BH274" s="194"/>
      <c r="BI274" s="194"/>
      <c r="BJ274" s="194"/>
    </row>
    <row r="275" ht="15.75" customHeight="1">
      <c r="A275" s="194"/>
      <c r="B275" s="194"/>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c r="AA275" s="194"/>
      <c r="AB275" s="194"/>
      <c r="AC275" s="194"/>
      <c r="AD275" s="194"/>
      <c r="AE275" s="194"/>
      <c r="AF275" s="194"/>
      <c r="AG275" s="194"/>
      <c r="AH275" s="194"/>
      <c r="AI275" s="194"/>
      <c r="AJ275" s="194"/>
      <c r="AK275" s="194"/>
      <c r="AL275" s="194"/>
      <c r="AM275" s="194"/>
      <c r="AN275" s="194"/>
      <c r="AO275" s="194"/>
      <c r="AP275" s="194"/>
      <c r="AQ275" s="194"/>
      <c r="AR275" s="194"/>
      <c r="AS275" s="194"/>
      <c r="AT275" s="194"/>
      <c r="AU275" s="194"/>
      <c r="AV275" s="194"/>
      <c r="AW275" s="194"/>
      <c r="AX275" s="194"/>
      <c r="AY275" s="194"/>
      <c r="AZ275" s="194"/>
      <c r="BA275" s="194"/>
      <c r="BB275" s="194"/>
      <c r="BC275" s="194"/>
      <c r="BD275" s="194"/>
      <c r="BE275" s="194"/>
      <c r="BF275" s="194"/>
      <c r="BG275" s="194"/>
      <c r="BH275" s="194"/>
      <c r="BI275" s="194"/>
      <c r="BJ275" s="194"/>
    </row>
    <row r="276" ht="15.75" customHeight="1">
      <c r="A276" s="194"/>
      <c r="B276" s="194"/>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c r="AA276" s="194"/>
      <c r="AB276" s="194"/>
      <c r="AC276" s="194"/>
      <c r="AD276" s="194"/>
      <c r="AE276" s="194"/>
      <c r="AF276" s="194"/>
      <c r="AG276" s="194"/>
      <c r="AH276" s="194"/>
      <c r="AI276" s="194"/>
      <c r="AJ276" s="194"/>
      <c r="AK276" s="194"/>
      <c r="AL276" s="194"/>
      <c r="AM276" s="194"/>
      <c r="AN276" s="194"/>
      <c r="AO276" s="194"/>
      <c r="AP276" s="194"/>
      <c r="AQ276" s="194"/>
      <c r="AR276" s="194"/>
      <c r="AS276" s="194"/>
      <c r="AT276" s="194"/>
      <c r="AU276" s="194"/>
      <c r="AV276" s="194"/>
      <c r="AW276" s="194"/>
      <c r="AX276" s="194"/>
      <c r="AY276" s="194"/>
      <c r="AZ276" s="194"/>
      <c r="BA276" s="194"/>
      <c r="BB276" s="194"/>
      <c r="BC276" s="194"/>
      <c r="BD276" s="194"/>
      <c r="BE276" s="194"/>
      <c r="BF276" s="194"/>
      <c r="BG276" s="194"/>
      <c r="BH276" s="194"/>
      <c r="BI276" s="194"/>
      <c r="BJ276" s="194"/>
    </row>
    <row r="277" ht="15.75" customHeight="1">
      <c r="A277" s="194"/>
      <c r="B277" s="194"/>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c r="AA277" s="194"/>
      <c r="AB277" s="194"/>
      <c r="AC277" s="194"/>
      <c r="AD277" s="194"/>
      <c r="AE277" s="194"/>
      <c r="AF277" s="194"/>
      <c r="AG277" s="194"/>
      <c r="AH277" s="194"/>
      <c r="AI277" s="194"/>
      <c r="AJ277" s="194"/>
      <c r="AK277" s="194"/>
      <c r="AL277" s="194"/>
      <c r="AM277" s="194"/>
      <c r="AN277" s="194"/>
      <c r="AO277" s="194"/>
      <c r="AP277" s="194"/>
      <c r="AQ277" s="194"/>
      <c r="AR277" s="194"/>
      <c r="AS277" s="194"/>
      <c r="AT277" s="194"/>
      <c r="AU277" s="194"/>
      <c r="AV277" s="194"/>
      <c r="AW277" s="194"/>
      <c r="AX277" s="194"/>
      <c r="AY277" s="194"/>
      <c r="AZ277" s="194"/>
      <c r="BA277" s="194"/>
      <c r="BB277" s="194"/>
      <c r="BC277" s="194"/>
      <c r="BD277" s="194"/>
      <c r="BE277" s="194"/>
      <c r="BF277" s="194"/>
      <c r="BG277" s="194"/>
      <c r="BH277" s="194"/>
      <c r="BI277" s="194"/>
      <c r="BJ277" s="194"/>
    </row>
    <row r="278" ht="15.75" customHeight="1">
      <c r="A278" s="194"/>
      <c r="B278" s="194"/>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c r="AA278" s="194"/>
      <c r="AB278" s="194"/>
      <c r="AC278" s="194"/>
      <c r="AD278" s="194"/>
      <c r="AE278" s="194"/>
      <c r="AF278" s="194"/>
      <c r="AG278" s="194"/>
      <c r="AH278" s="194"/>
      <c r="AI278" s="194"/>
      <c r="AJ278" s="194"/>
      <c r="AK278" s="194"/>
      <c r="AL278" s="194"/>
      <c r="AM278" s="194"/>
      <c r="AN278" s="194"/>
      <c r="AO278" s="194"/>
      <c r="AP278" s="194"/>
      <c r="AQ278" s="194"/>
      <c r="AR278" s="194"/>
      <c r="AS278" s="194"/>
      <c r="AT278" s="194"/>
      <c r="AU278" s="194"/>
      <c r="AV278" s="194"/>
      <c r="AW278" s="194"/>
      <c r="AX278" s="194"/>
      <c r="AY278" s="194"/>
      <c r="AZ278" s="194"/>
      <c r="BA278" s="194"/>
      <c r="BB278" s="194"/>
      <c r="BC278" s="194"/>
      <c r="BD278" s="194"/>
      <c r="BE278" s="194"/>
      <c r="BF278" s="194"/>
      <c r="BG278" s="194"/>
      <c r="BH278" s="194"/>
      <c r="BI278" s="194"/>
      <c r="BJ278" s="194"/>
    </row>
    <row r="279" ht="15.75" customHeight="1">
      <c r="A279" s="194"/>
      <c r="B279" s="194"/>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c r="AA279" s="194"/>
      <c r="AB279" s="194"/>
      <c r="AC279" s="194"/>
      <c r="AD279" s="194"/>
      <c r="AE279" s="194"/>
      <c r="AF279" s="194"/>
      <c r="AG279" s="194"/>
      <c r="AH279" s="194"/>
      <c r="AI279" s="194"/>
      <c r="AJ279" s="194"/>
      <c r="AK279" s="194"/>
      <c r="AL279" s="194"/>
      <c r="AM279" s="194"/>
      <c r="AN279" s="194"/>
      <c r="AO279" s="194"/>
      <c r="AP279" s="194"/>
      <c r="AQ279" s="194"/>
      <c r="AR279" s="194"/>
      <c r="AS279" s="194"/>
      <c r="AT279" s="194"/>
      <c r="AU279" s="194"/>
      <c r="AV279" s="194"/>
      <c r="AW279" s="194"/>
      <c r="AX279" s="194"/>
      <c r="AY279" s="194"/>
      <c r="AZ279" s="194"/>
      <c r="BA279" s="194"/>
      <c r="BB279" s="194"/>
      <c r="BC279" s="194"/>
      <c r="BD279" s="194"/>
      <c r="BE279" s="194"/>
      <c r="BF279" s="194"/>
      <c r="BG279" s="194"/>
      <c r="BH279" s="194"/>
      <c r="BI279" s="194"/>
      <c r="BJ279" s="194"/>
    </row>
    <row r="280" ht="15.75" customHeight="1">
      <c r="A280" s="194"/>
      <c r="B280" s="194"/>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c r="AA280" s="194"/>
      <c r="AB280" s="194"/>
      <c r="AC280" s="194"/>
      <c r="AD280" s="194"/>
      <c r="AE280" s="194"/>
      <c r="AF280" s="194"/>
      <c r="AG280" s="194"/>
      <c r="AH280" s="194"/>
      <c r="AI280" s="194"/>
      <c r="AJ280" s="194"/>
      <c r="AK280" s="194"/>
      <c r="AL280" s="194"/>
      <c r="AM280" s="194"/>
      <c r="AN280" s="194"/>
      <c r="AO280" s="194"/>
      <c r="AP280" s="194"/>
      <c r="AQ280" s="194"/>
      <c r="AR280" s="194"/>
      <c r="AS280" s="194"/>
      <c r="AT280" s="194"/>
      <c r="AU280" s="194"/>
      <c r="AV280" s="194"/>
      <c r="AW280" s="194"/>
      <c r="AX280" s="194"/>
      <c r="AY280" s="194"/>
      <c r="AZ280" s="194"/>
      <c r="BA280" s="194"/>
      <c r="BB280" s="194"/>
      <c r="BC280" s="194"/>
      <c r="BD280" s="194"/>
      <c r="BE280" s="194"/>
      <c r="BF280" s="194"/>
      <c r="BG280" s="194"/>
      <c r="BH280" s="194"/>
      <c r="BI280" s="194"/>
      <c r="BJ280" s="194"/>
    </row>
    <row r="281" ht="15.75" customHeight="1">
      <c r="A281" s="194"/>
      <c r="B281" s="194"/>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c r="AA281" s="194"/>
      <c r="AB281" s="194"/>
      <c r="AC281" s="194"/>
      <c r="AD281" s="194"/>
      <c r="AE281" s="194"/>
      <c r="AF281" s="194"/>
      <c r="AG281" s="194"/>
      <c r="AH281" s="194"/>
      <c r="AI281" s="194"/>
      <c r="AJ281" s="194"/>
      <c r="AK281" s="194"/>
      <c r="AL281" s="194"/>
      <c r="AM281" s="194"/>
      <c r="AN281" s="194"/>
      <c r="AO281" s="194"/>
      <c r="AP281" s="194"/>
      <c r="AQ281" s="194"/>
      <c r="AR281" s="194"/>
      <c r="AS281" s="194"/>
      <c r="AT281" s="194"/>
      <c r="AU281" s="194"/>
      <c r="AV281" s="194"/>
      <c r="AW281" s="194"/>
      <c r="AX281" s="194"/>
      <c r="AY281" s="194"/>
      <c r="AZ281" s="194"/>
      <c r="BA281" s="194"/>
      <c r="BB281" s="194"/>
      <c r="BC281" s="194"/>
      <c r="BD281" s="194"/>
      <c r="BE281" s="194"/>
      <c r="BF281" s="194"/>
      <c r="BG281" s="194"/>
      <c r="BH281" s="194"/>
      <c r="BI281" s="194"/>
      <c r="BJ281" s="194"/>
    </row>
    <row r="282" ht="15.75" customHeight="1">
      <c r="A282" s="194"/>
      <c r="B282" s="194"/>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c r="AA282" s="194"/>
      <c r="AB282" s="194"/>
      <c r="AC282" s="194"/>
      <c r="AD282" s="194"/>
      <c r="AE282" s="194"/>
      <c r="AF282" s="194"/>
      <c r="AG282" s="194"/>
      <c r="AH282" s="194"/>
      <c r="AI282" s="194"/>
      <c r="AJ282" s="194"/>
      <c r="AK282" s="194"/>
      <c r="AL282" s="194"/>
      <c r="AM282" s="194"/>
      <c r="AN282" s="194"/>
      <c r="AO282" s="194"/>
      <c r="AP282" s="194"/>
      <c r="AQ282" s="194"/>
      <c r="AR282" s="194"/>
      <c r="AS282" s="194"/>
      <c r="AT282" s="194"/>
      <c r="AU282" s="194"/>
      <c r="AV282" s="194"/>
      <c r="AW282" s="194"/>
      <c r="AX282" s="194"/>
      <c r="AY282" s="194"/>
      <c r="AZ282" s="194"/>
      <c r="BA282" s="194"/>
      <c r="BB282" s="194"/>
      <c r="BC282" s="194"/>
      <c r="BD282" s="194"/>
      <c r="BE282" s="194"/>
      <c r="BF282" s="194"/>
      <c r="BG282" s="194"/>
      <c r="BH282" s="194"/>
      <c r="BI282" s="194"/>
      <c r="BJ282" s="194"/>
    </row>
    <row r="283" ht="15.75" customHeight="1">
      <c r="A283" s="194"/>
      <c r="B283" s="194"/>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c r="AA283" s="194"/>
      <c r="AB283" s="194"/>
      <c r="AC283" s="194"/>
      <c r="AD283" s="194"/>
      <c r="AE283" s="194"/>
      <c r="AF283" s="194"/>
      <c r="AG283" s="194"/>
      <c r="AH283" s="194"/>
      <c r="AI283" s="194"/>
      <c r="AJ283" s="194"/>
      <c r="AK283" s="194"/>
      <c r="AL283" s="194"/>
      <c r="AM283" s="194"/>
      <c r="AN283" s="194"/>
      <c r="AO283" s="194"/>
      <c r="AP283" s="194"/>
      <c r="AQ283" s="194"/>
      <c r="AR283" s="194"/>
      <c r="AS283" s="194"/>
      <c r="AT283" s="194"/>
      <c r="AU283" s="194"/>
      <c r="AV283" s="194"/>
      <c r="AW283" s="194"/>
      <c r="AX283" s="194"/>
      <c r="AY283" s="194"/>
      <c r="AZ283" s="194"/>
      <c r="BA283" s="194"/>
      <c r="BB283" s="194"/>
      <c r="BC283" s="194"/>
      <c r="BD283" s="194"/>
      <c r="BE283" s="194"/>
      <c r="BF283" s="194"/>
      <c r="BG283" s="194"/>
      <c r="BH283" s="194"/>
      <c r="BI283" s="194"/>
      <c r="BJ283" s="194"/>
    </row>
    <row r="284" ht="15.75" customHeight="1">
      <c r="A284" s="194"/>
      <c r="B284" s="194"/>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c r="AA284" s="194"/>
      <c r="AB284" s="194"/>
      <c r="AC284" s="194"/>
      <c r="AD284" s="194"/>
      <c r="AE284" s="194"/>
      <c r="AF284" s="194"/>
      <c r="AG284" s="194"/>
      <c r="AH284" s="194"/>
      <c r="AI284" s="194"/>
      <c r="AJ284" s="194"/>
      <c r="AK284" s="194"/>
      <c r="AL284" s="194"/>
      <c r="AM284" s="194"/>
      <c r="AN284" s="194"/>
      <c r="AO284" s="194"/>
      <c r="AP284" s="194"/>
      <c r="AQ284" s="194"/>
      <c r="AR284" s="194"/>
      <c r="AS284" s="194"/>
      <c r="AT284" s="194"/>
      <c r="AU284" s="194"/>
      <c r="AV284" s="194"/>
      <c r="AW284" s="194"/>
      <c r="AX284" s="194"/>
      <c r="AY284" s="194"/>
      <c r="AZ284" s="194"/>
      <c r="BA284" s="194"/>
      <c r="BB284" s="194"/>
      <c r="BC284" s="194"/>
      <c r="BD284" s="194"/>
      <c r="BE284" s="194"/>
      <c r="BF284" s="194"/>
      <c r="BG284" s="194"/>
      <c r="BH284" s="194"/>
      <c r="BI284" s="194"/>
      <c r="BJ284" s="194"/>
    </row>
    <row r="285" ht="15.75" customHeight="1">
      <c r="A285" s="194"/>
      <c r="B285" s="194"/>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c r="AA285" s="194"/>
      <c r="AB285" s="194"/>
      <c r="AC285" s="194"/>
      <c r="AD285" s="194"/>
      <c r="AE285" s="194"/>
      <c r="AF285" s="194"/>
      <c r="AG285" s="194"/>
      <c r="AH285" s="194"/>
      <c r="AI285" s="194"/>
      <c r="AJ285" s="194"/>
      <c r="AK285" s="194"/>
      <c r="AL285" s="194"/>
      <c r="AM285" s="194"/>
      <c r="AN285" s="194"/>
      <c r="AO285" s="194"/>
      <c r="AP285" s="194"/>
      <c r="AQ285" s="194"/>
      <c r="AR285" s="194"/>
      <c r="AS285" s="194"/>
      <c r="AT285" s="194"/>
      <c r="AU285" s="194"/>
      <c r="AV285" s="194"/>
      <c r="AW285" s="194"/>
      <c r="AX285" s="194"/>
      <c r="AY285" s="194"/>
      <c r="AZ285" s="194"/>
      <c r="BA285" s="194"/>
      <c r="BB285" s="194"/>
      <c r="BC285" s="194"/>
      <c r="BD285" s="194"/>
      <c r="BE285" s="194"/>
      <c r="BF285" s="194"/>
      <c r="BG285" s="194"/>
      <c r="BH285" s="194"/>
      <c r="BI285" s="194"/>
      <c r="BJ285" s="194"/>
    </row>
    <row r="286" ht="15.75" customHeight="1">
      <c r="A286" s="194"/>
      <c r="B286" s="194"/>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c r="AA286" s="194"/>
      <c r="AB286" s="194"/>
      <c r="AC286" s="194"/>
      <c r="AD286" s="194"/>
      <c r="AE286" s="194"/>
      <c r="AF286" s="194"/>
      <c r="AG286" s="194"/>
      <c r="AH286" s="194"/>
      <c r="AI286" s="194"/>
      <c r="AJ286" s="194"/>
      <c r="AK286" s="194"/>
      <c r="AL286" s="194"/>
      <c r="AM286" s="194"/>
      <c r="AN286" s="194"/>
      <c r="AO286" s="194"/>
      <c r="AP286" s="194"/>
      <c r="AQ286" s="194"/>
      <c r="AR286" s="194"/>
      <c r="AS286" s="194"/>
      <c r="AT286" s="194"/>
      <c r="AU286" s="194"/>
      <c r="AV286" s="194"/>
      <c r="AW286" s="194"/>
      <c r="AX286" s="194"/>
      <c r="AY286" s="194"/>
      <c r="AZ286" s="194"/>
      <c r="BA286" s="194"/>
      <c r="BB286" s="194"/>
      <c r="BC286" s="194"/>
      <c r="BD286" s="194"/>
      <c r="BE286" s="194"/>
      <c r="BF286" s="194"/>
      <c r="BG286" s="194"/>
      <c r="BH286" s="194"/>
      <c r="BI286" s="194"/>
      <c r="BJ286" s="194"/>
    </row>
    <row r="287" ht="15.75" customHeight="1">
      <c r="A287" s="194"/>
      <c r="B287" s="194"/>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c r="AA287" s="194"/>
      <c r="AB287" s="194"/>
      <c r="AC287" s="194"/>
      <c r="AD287" s="194"/>
      <c r="AE287" s="194"/>
      <c r="AF287" s="194"/>
      <c r="AG287" s="194"/>
      <c r="AH287" s="194"/>
      <c r="AI287" s="194"/>
      <c r="AJ287" s="194"/>
      <c r="AK287" s="194"/>
      <c r="AL287" s="194"/>
      <c r="AM287" s="194"/>
      <c r="AN287" s="194"/>
      <c r="AO287" s="194"/>
      <c r="AP287" s="194"/>
      <c r="AQ287" s="194"/>
      <c r="AR287" s="194"/>
      <c r="AS287" s="194"/>
      <c r="AT287" s="194"/>
      <c r="AU287" s="194"/>
      <c r="AV287" s="194"/>
      <c r="AW287" s="194"/>
      <c r="AX287" s="194"/>
      <c r="AY287" s="194"/>
      <c r="AZ287" s="194"/>
      <c r="BA287" s="194"/>
      <c r="BB287" s="194"/>
      <c r="BC287" s="194"/>
      <c r="BD287" s="194"/>
      <c r="BE287" s="194"/>
      <c r="BF287" s="194"/>
      <c r="BG287" s="194"/>
      <c r="BH287" s="194"/>
      <c r="BI287" s="194"/>
      <c r="BJ287" s="194"/>
    </row>
    <row r="288" ht="15.75" customHeight="1">
      <c r="A288" s="194"/>
      <c r="B288" s="194"/>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c r="AA288" s="194"/>
      <c r="AB288" s="194"/>
      <c r="AC288" s="194"/>
      <c r="AD288" s="194"/>
      <c r="AE288" s="194"/>
      <c r="AF288" s="194"/>
      <c r="AG288" s="194"/>
      <c r="AH288" s="194"/>
      <c r="AI288" s="194"/>
      <c r="AJ288" s="194"/>
      <c r="AK288" s="194"/>
      <c r="AL288" s="194"/>
      <c r="AM288" s="194"/>
      <c r="AN288" s="194"/>
      <c r="AO288" s="194"/>
      <c r="AP288" s="194"/>
      <c r="AQ288" s="194"/>
      <c r="AR288" s="194"/>
      <c r="AS288" s="194"/>
      <c r="AT288" s="194"/>
      <c r="AU288" s="194"/>
      <c r="AV288" s="194"/>
      <c r="AW288" s="194"/>
      <c r="AX288" s="194"/>
      <c r="AY288" s="194"/>
      <c r="AZ288" s="194"/>
      <c r="BA288" s="194"/>
      <c r="BB288" s="194"/>
      <c r="BC288" s="194"/>
      <c r="BD288" s="194"/>
      <c r="BE288" s="194"/>
      <c r="BF288" s="194"/>
      <c r="BG288" s="194"/>
      <c r="BH288" s="194"/>
      <c r="BI288" s="194"/>
      <c r="BJ288" s="194"/>
    </row>
    <row r="289" ht="15.75" customHeight="1">
      <c r="A289" s="194"/>
      <c r="B289" s="194"/>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c r="AA289" s="194"/>
      <c r="AB289" s="194"/>
      <c r="AC289" s="194"/>
      <c r="AD289" s="194"/>
      <c r="AE289" s="194"/>
      <c r="AF289" s="194"/>
      <c r="AG289" s="194"/>
      <c r="AH289" s="194"/>
      <c r="AI289" s="194"/>
      <c r="AJ289" s="194"/>
      <c r="AK289" s="194"/>
      <c r="AL289" s="194"/>
      <c r="AM289" s="194"/>
      <c r="AN289" s="194"/>
      <c r="AO289" s="194"/>
      <c r="AP289" s="194"/>
      <c r="AQ289" s="194"/>
      <c r="AR289" s="194"/>
      <c r="AS289" s="194"/>
      <c r="AT289" s="194"/>
      <c r="AU289" s="194"/>
      <c r="AV289" s="194"/>
      <c r="AW289" s="194"/>
      <c r="AX289" s="194"/>
      <c r="AY289" s="194"/>
      <c r="AZ289" s="194"/>
      <c r="BA289" s="194"/>
      <c r="BB289" s="194"/>
      <c r="BC289" s="194"/>
      <c r="BD289" s="194"/>
      <c r="BE289" s="194"/>
      <c r="BF289" s="194"/>
      <c r="BG289" s="194"/>
      <c r="BH289" s="194"/>
      <c r="BI289" s="194"/>
      <c r="BJ289" s="194"/>
    </row>
    <row r="290" ht="15.75" customHeight="1">
      <c r="A290" s="194"/>
      <c r="B290" s="194"/>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c r="AA290" s="194"/>
      <c r="AB290" s="194"/>
      <c r="AC290" s="194"/>
      <c r="AD290" s="194"/>
      <c r="AE290" s="194"/>
      <c r="AF290" s="194"/>
      <c r="AG290" s="194"/>
      <c r="AH290" s="194"/>
      <c r="AI290" s="194"/>
      <c r="AJ290" s="194"/>
      <c r="AK290" s="194"/>
      <c r="AL290" s="194"/>
      <c r="AM290" s="194"/>
      <c r="AN290" s="194"/>
      <c r="AO290" s="194"/>
      <c r="AP290" s="194"/>
      <c r="AQ290" s="194"/>
      <c r="AR290" s="194"/>
      <c r="AS290" s="194"/>
      <c r="AT290" s="194"/>
      <c r="AU290" s="194"/>
      <c r="AV290" s="194"/>
      <c r="AW290" s="194"/>
      <c r="AX290" s="194"/>
      <c r="AY290" s="194"/>
      <c r="AZ290" s="194"/>
      <c r="BA290" s="194"/>
      <c r="BB290" s="194"/>
      <c r="BC290" s="194"/>
      <c r="BD290" s="194"/>
      <c r="BE290" s="194"/>
      <c r="BF290" s="194"/>
      <c r="BG290" s="194"/>
      <c r="BH290" s="194"/>
      <c r="BI290" s="194"/>
      <c r="BJ290" s="194"/>
    </row>
    <row r="291" ht="15.75" customHeight="1">
      <c r="A291" s="194"/>
      <c r="B291" s="194"/>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c r="AA291" s="194"/>
      <c r="AB291" s="194"/>
      <c r="AC291" s="194"/>
      <c r="AD291" s="194"/>
      <c r="AE291" s="194"/>
      <c r="AF291" s="194"/>
      <c r="AG291" s="194"/>
      <c r="AH291" s="194"/>
      <c r="AI291" s="194"/>
      <c r="AJ291" s="194"/>
      <c r="AK291" s="194"/>
      <c r="AL291" s="194"/>
      <c r="AM291" s="194"/>
      <c r="AN291" s="194"/>
      <c r="AO291" s="194"/>
      <c r="AP291" s="194"/>
      <c r="AQ291" s="194"/>
      <c r="AR291" s="194"/>
      <c r="AS291" s="194"/>
      <c r="AT291" s="194"/>
      <c r="AU291" s="194"/>
      <c r="AV291" s="194"/>
      <c r="AW291" s="194"/>
      <c r="AX291" s="194"/>
      <c r="AY291" s="194"/>
      <c r="AZ291" s="194"/>
      <c r="BA291" s="194"/>
      <c r="BB291" s="194"/>
      <c r="BC291" s="194"/>
      <c r="BD291" s="194"/>
      <c r="BE291" s="194"/>
      <c r="BF291" s="194"/>
      <c r="BG291" s="194"/>
      <c r="BH291" s="194"/>
      <c r="BI291" s="194"/>
      <c r="BJ291" s="194"/>
    </row>
    <row r="292" ht="15.75" customHeight="1">
      <c r="A292" s="194"/>
      <c r="B292" s="194"/>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c r="AA292" s="194"/>
      <c r="AB292" s="194"/>
      <c r="AC292" s="194"/>
      <c r="AD292" s="194"/>
      <c r="AE292" s="194"/>
      <c r="AF292" s="194"/>
      <c r="AG292" s="194"/>
      <c r="AH292" s="194"/>
      <c r="AI292" s="194"/>
      <c r="AJ292" s="194"/>
      <c r="AK292" s="194"/>
      <c r="AL292" s="194"/>
      <c r="AM292" s="194"/>
      <c r="AN292" s="194"/>
      <c r="AO292" s="194"/>
      <c r="AP292" s="194"/>
      <c r="AQ292" s="194"/>
      <c r="AR292" s="194"/>
      <c r="AS292" s="194"/>
      <c r="AT292" s="194"/>
      <c r="AU292" s="194"/>
      <c r="AV292" s="194"/>
      <c r="AW292" s="194"/>
      <c r="AX292" s="194"/>
      <c r="AY292" s="194"/>
      <c r="AZ292" s="194"/>
      <c r="BA292" s="194"/>
      <c r="BB292" s="194"/>
      <c r="BC292" s="194"/>
      <c r="BD292" s="194"/>
      <c r="BE292" s="194"/>
      <c r="BF292" s="194"/>
      <c r="BG292" s="194"/>
      <c r="BH292" s="194"/>
      <c r="BI292" s="194"/>
      <c r="BJ292" s="194"/>
    </row>
    <row r="293" ht="15.75" customHeight="1">
      <c r="A293" s="194"/>
      <c r="B293" s="194"/>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c r="AA293" s="194"/>
      <c r="AB293" s="194"/>
      <c r="AC293" s="194"/>
      <c r="AD293" s="194"/>
      <c r="AE293" s="194"/>
      <c r="AF293" s="194"/>
      <c r="AG293" s="194"/>
      <c r="AH293" s="194"/>
      <c r="AI293" s="194"/>
      <c r="AJ293" s="194"/>
      <c r="AK293" s="194"/>
      <c r="AL293" s="194"/>
      <c r="AM293" s="194"/>
      <c r="AN293" s="194"/>
      <c r="AO293" s="194"/>
      <c r="AP293" s="194"/>
      <c r="AQ293" s="194"/>
      <c r="AR293" s="194"/>
      <c r="AS293" s="194"/>
      <c r="AT293" s="194"/>
      <c r="AU293" s="194"/>
      <c r="AV293" s="194"/>
      <c r="AW293" s="194"/>
      <c r="AX293" s="194"/>
      <c r="AY293" s="194"/>
      <c r="AZ293" s="194"/>
      <c r="BA293" s="194"/>
      <c r="BB293" s="194"/>
      <c r="BC293" s="194"/>
      <c r="BD293" s="194"/>
      <c r="BE293" s="194"/>
      <c r="BF293" s="194"/>
      <c r="BG293" s="194"/>
      <c r="BH293" s="194"/>
      <c r="BI293" s="194"/>
      <c r="BJ293" s="194"/>
    </row>
    <row r="294" ht="15.75" customHeight="1">
      <c r="A294" s="194"/>
      <c r="B294" s="194"/>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c r="AA294" s="194"/>
      <c r="AB294" s="194"/>
      <c r="AC294" s="194"/>
      <c r="AD294" s="194"/>
      <c r="AE294" s="194"/>
      <c r="AF294" s="194"/>
      <c r="AG294" s="194"/>
      <c r="AH294" s="194"/>
      <c r="AI294" s="194"/>
      <c r="AJ294" s="194"/>
      <c r="AK294" s="194"/>
      <c r="AL294" s="194"/>
      <c r="AM294" s="194"/>
      <c r="AN294" s="194"/>
      <c r="AO294" s="194"/>
      <c r="AP294" s="194"/>
      <c r="AQ294" s="194"/>
      <c r="AR294" s="194"/>
      <c r="AS294" s="194"/>
      <c r="AT294" s="194"/>
      <c r="AU294" s="194"/>
      <c r="AV294" s="194"/>
      <c r="AW294" s="194"/>
      <c r="AX294" s="194"/>
      <c r="AY294" s="194"/>
      <c r="AZ294" s="194"/>
      <c r="BA294" s="194"/>
      <c r="BB294" s="194"/>
      <c r="BC294" s="194"/>
      <c r="BD294" s="194"/>
      <c r="BE294" s="194"/>
      <c r="BF294" s="194"/>
      <c r="BG294" s="194"/>
      <c r="BH294" s="194"/>
      <c r="BI294" s="194"/>
      <c r="BJ294" s="194"/>
    </row>
    <row r="295" ht="15.75" customHeight="1">
      <c r="A295" s="194"/>
      <c r="B295" s="194"/>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c r="AA295" s="194"/>
      <c r="AB295" s="194"/>
      <c r="AC295" s="194"/>
      <c r="AD295" s="194"/>
      <c r="AE295" s="194"/>
      <c r="AF295" s="194"/>
      <c r="AG295" s="194"/>
      <c r="AH295" s="194"/>
      <c r="AI295" s="194"/>
      <c r="AJ295" s="194"/>
      <c r="AK295" s="194"/>
      <c r="AL295" s="194"/>
      <c r="AM295" s="194"/>
      <c r="AN295" s="194"/>
      <c r="AO295" s="194"/>
      <c r="AP295" s="194"/>
      <c r="AQ295" s="194"/>
      <c r="AR295" s="194"/>
      <c r="AS295" s="194"/>
      <c r="AT295" s="194"/>
      <c r="AU295" s="194"/>
      <c r="AV295" s="194"/>
      <c r="AW295" s="194"/>
      <c r="AX295" s="194"/>
      <c r="AY295" s="194"/>
      <c r="AZ295" s="194"/>
      <c r="BA295" s="194"/>
      <c r="BB295" s="194"/>
      <c r="BC295" s="194"/>
      <c r="BD295" s="194"/>
      <c r="BE295" s="194"/>
      <c r="BF295" s="194"/>
      <c r="BG295" s="194"/>
      <c r="BH295" s="194"/>
      <c r="BI295" s="194"/>
      <c r="BJ295" s="194"/>
    </row>
    <row r="296" ht="15.75" customHeight="1">
      <c r="A296" s="194"/>
      <c r="B296" s="194"/>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c r="AA296" s="194"/>
      <c r="AB296" s="194"/>
      <c r="AC296" s="194"/>
      <c r="AD296" s="194"/>
      <c r="AE296" s="194"/>
      <c r="AF296" s="194"/>
      <c r="AG296" s="194"/>
      <c r="AH296" s="194"/>
      <c r="AI296" s="194"/>
      <c r="AJ296" s="194"/>
      <c r="AK296" s="194"/>
      <c r="AL296" s="194"/>
      <c r="AM296" s="194"/>
      <c r="AN296" s="194"/>
      <c r="AO296" s="194"/>
      <c r="AP296" s="194"/>
      <c r="AQ296" s="194"/>
      <c r="AR296" s="194"/>
      <c r="AS296" s="194"/>
      <c r="AT296" s="194"/>
      <c r="AU296" s="194"/>
      <c r="AV296" s="194"/>
      <c r="AW296" s="194"/>
      <c r="AX296" s="194"/>
      <c r="AY296" s="194"/>
      <c r="AZ296" s="194"/>
      <c r="BA296" s="194"/>
      <c r="BB296" s="194"/>
      <c r="BC296" s="194"/>
      <c r="BD296" s="194"/>
      <c r="BE296" s="194"/>
      <c r="BF296" s="194"/>
      <c r="BG296" s="194"/>
      <c r="BH296" s="194"/>
      <c r="BI296" s="194"/>
      <c r="BJ296" s="194"/>
    </row>
    <row r="297" ht="15.75" customHeight="1">
      <c r="A297" s="194"/>
      <c r="B297" s="194"/>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c r="AA297" s="194"/>
      <c r="AB297" s="194"/>
      <c r="AC297" s="194"/>
      <c r="AD297" s="194"/>
      <c r="AE297" s="194"/>
      <c r="AF297" s="194"/>
      <c r="AG297" s="194"/>
      <c r="AH297" s="194"/>
      <c r="AI297" s="194"/>
      <c r="AJ297" s="194"/>
      <c r="AK297" s="194"/>
      <c r="AL297" s="194"/>
      <c r="AM297" s="194"/>
      <c r="AN297" s="194"/>
      <c r="AO297" s="194"/>
      <c r="AP297" s="194"/>
      <c r="AQ297" s="194"/>
      <c r="AR297" s="194"/>
      <c r="AS297" s="194"/>
      <c r="AT297" s="194"/>
      <c r="AU297" s="194"/>
      <c r="AV297" s="194"/>
      <c r="AW297" s="194"/>
      <c r="AX297" s="194"/>
      <c r="AY297" s="194"/>
      <c r="AZ297" s="194"/>
      <c r="BA297" s="194"/>
      <c r="BB297" s="194"/>
      <c r="BC297" s="194"/>
      <c r="BD297" s="194"/>
      <c r="BE297" s="194"/>
      <c r="BF297" s="194"/>
      <c r="BG297" s="194"/>
      <c r="BH297" s="194"/>
      <c r="BI297" s="194"/>
      <c r="BJ297" s="194"/>
    </row>
    <row r="298" ht="15.75" customHeight="1">
      <c r="A298" s="194"/>
      <c r="B298" s="194"/>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c r="AA298" s="194"/>
      <c r="AB298" s="194"/>
      <c r="AC298" s="194"/>
      <c r="AD298" s="194"/>
      <c r="AE298" s="194"/>
      <c r="AF298" s="194"/>
      <c r="AG298" s="194"/>
      <c r="AH298" s="194"/>
      <c r="AI298" s="194"/>
      <c r="AJ298" s="194"/>
      <c r="AK298" s="194"/>
      <c r="AL298" s="194"/>
      <c r="AM298" s="194"/>
      <c r="AN298" s="194"/>
      <c r="AO298" s="194"/>
      <c r="AP298" s="194"/>
      <c r="AQ298" s="194"/>
      <c r="AR298" s="194"/>
      <c r="AS298" s="194"/>
      <c r="AT298" s="194"/>
      <c r="AU298" s="194"/>
      <c r="AV298" s="194"/>
      <c r="AW298" s="194"/>
      <c r="AX298" s="194"/>
      <c r="AY298" s="194"/>
      <c r="AZ298" s="194"/>
      <c r="BA298" s="194"/>
      <c r="BB298" s="194"/>
      <c r="BC298" s="194"/>
      <c r="BD298" s="194"/>
      <c r="BE298" s="194"/>
      <c r="BF298" s="194"/>
      <c r="BG298" s="194"/>
      <c r="BH298" s="194"/>
      <c r="BI298" s="194"/>
      <c r="BJ298" s="194"/>
    </row>
    <row r="299" ht="15.75" customHeight="1">
      <c r="A299" s="194"/>
      <c r="B299" s="194"/>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c r="AA299" s="194"/>
      <c r="AB299" s="194"/>
      <c r="AC299" s="194"/>
      <c r="AD299" s="194"/>
      <c r="AE299" s="194"/>
      <c r="AF299" s="194"/>
      <c r="AG299" s="194"/>
      <c r="AH299" s="194"/>
      <c r="AI299" s="194"/>
      <c r="AJ299" s="194"/>
      <c r="AK299" s="194"/>
      <c r="AL299" s="194"/>
      <c r="AM299" s="194"/>
      <c r="AN299" s="194"/>
      <c r="AO299" s="194"/>
      <c r="AP299" s="194"/>
      <c r="AQ299" s="194"/>
      <c r="AR299" s="194"/>
      <c r="AS299" s="194"/>
      <c r="AT299" s="194"/>
      <c r="AU299" s="194"/>
      <c r="AV299" s="194"/>
      <c r="AW299" s="194"/>
      <c r="AX299" s="194"/>
      <c r="AY299" s="194"/>
      <c r="AZ299" s="194"/>
      <c r="BA299" s="194"/>
      <c r="BB299" s="194"/>
      <c r="BC299" s="194"/>
      <c r="BD299" s="194"/>
      <c r="BE299" s="194"/>
      <c r="BF299" s="194"/>
      <c r="BG299" s="194"/>
      <c r="BH299" s="194"/>
      <c r="BI299" s="194"/>
      <c r="BJ299" s="194"/>
    </row>
    <row r="300" ht="15.75" customHeight="1">
      <c r="A300" s="194"/>
      <c r="B300" s="194"/>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c r="AA300" s="194"/>
      <c r="AB300" s="194"/>
      <c r="AC300" s="194"/>
      <c r="AD300" s="194"/>
      <c r="AE300" s="194"/>
      <c r="AF300" s="194"/>
      <c r="AG300" s="194"/>
      <c r="AH300" s="194"/>
      <c r="AI300" s="194"/>
      <c r="AJ300" s="194"/>
      <c r="AK300" s="194"/>
      <c r="AL300" s="194"/>
      <c r="AM300" s="194"/>
      <c r="AN300" s="194"/>
      <c r="AO300" s="194"/>
      <c r="AP300" s="194"/>
      <c r="AQ300" s="194"/>
      <c r="AR300" s="194"/>
      <c r="AS300" s="194"/>
      <c r="AT300" s="194"/>
      <c r="AU300" s="194"/>
      <c r="AV300" s="194"/>
      <c r="AW300" s="194"/>
      <c r="AX300" s="194"/>
      <c r="AY300" s="194"/>
      <c r="AZ300" s="194"/>
      <c r="BA300" s="194"/>
      <c r="BB300" s="194"/>
      <c r="BC300" s="194"/>
      <c r="BD300" s="194"/>
      <c r="BE300" s="194"/>
      <c r="BF300" s="194"/>
      <c r="BG300" s="194"/>
      <c r="BH300" s="194"/>
      <c r="BI300" s="194"/>
      <c r="BJ300" s="194"/>
    </row>
    <row r="301" ht="15.75" customHeight="1">
      <c r="A301" s="194"/>
      <c r="B301" s="194"/>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c r="AA301" s="194"/>
      <c r="AB301" s="194"/>
      <c r="AC301" s="194"/>
      <c r="AD301" s="194"/>
      <c r="AE301" s="194"/>
      <c r="AF301" s="194"/>
      <c r="AG301" s="194"/>
      <c r="AH301" s="194"/>
      <c r="AI301" s="194"/>
      <c r="AJ301" s="194"/>
      <c r="AK301" s="194"/>
      <c r="AL301" s="194"/>
      <c r="AM301" s="194"/>
      <c r="AN301" s="194"/>
      <c r="AO301" s="194"/>
      <c r="AP301" s="194"/>
      <c r="AQ301" s="194"/>
      <c r="AR301" s="194"/>
      <c r="AS301" s="194"/>
      <c r="AT301" s="194"/>
      <c r="AU301" s="194"/>
      <c r="AV301" s="194"/>
      <c r="AW301" s="194"/>
      <c r="AX301" s="194"/>
      <c r="AY301" s="194"/>
      <c r="AZ301" s="194"/>
      <c r="BA301" s="194"/>
      <c r="BB301" s="194"/>
      <c r="BC301" s="194"/>
      <c r="BD301" s="194"/>
      <c r="BE301" s="194"/>
      <c r="BF301" s="194"/>
      <c r="BG301" s="194"/>
      <c r="BH301" s="194"/>
      <c r="BI301" s="194"/>
      <c r="BJ301" s="194"/>
    </row>
    <row r="302" ht="15.75" customHeight="1">
      <c r="A302" s="194"/>
      <c r="B302" s="194"/>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c r="AA302" s="194"/>
      <c r="AB302" s="194"/>
      <c r="AC302" s="194"/>
      <c r="AD302" s="194"/>
      <c r="AE302" s="194"/>
      <c r="AF302" s="194"/>
      <c r="AG302" s="194"/>
      <c r="AH302" s="194"/>
      <c r="AI302" s="194"/>
      <c r="AJ302" s="194"/>
      <c r="AK302" s="194"/>
      <c r="AL302" s="194"/>
      <c r="AM302" s="194"/>
      <c r="AN302" s="194"/>
      <c r="AO302" s="194"/>
      <c r="AP302" s="194"/>
      <c r="AQ302" s="194"/>
      <c r="AR302" s="194"/>
      <c r="AS302" s="194"/>
      <c r="AT302" s="194"/>
      <c r="AU302" s="194"/>
      <c r="AV302" s="194"/>
      <c r="AW302" s="194"/>
      <c r="AX302" s="194"/>
      <c r="AY302" s="194"/>
      <c r="AZ302" s="194"/>
      <c r="BA302" s="194"/>
      <c r="BB302" s="194"/>
      <c r="BC302" s="194"/>
      <c r="BD302" s="194"/>
      <c r="BE302" s="194"/>
      <c r="BF302" s="194"/>
      <c r="BG302" s="194"/>
      <c r="BH302" s="194"/>
      <c r="BI302" s="194"/>
      <c r="BJ302" s="194"/>
    </row>
    <row r="303" ht="15.75" customHeight="1">
      <c r="A303" s="194"/>
      <c r="B303" s="194"/>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c r="AA303" s="194"/>
      <c r="AB303" s="194"/>
      <c r="AC303" s="194"/>
      <c r="AD303" s="194"/>
      <c r="AE303" s="194"/>
      <c r="AF303" s="194"/>
      <c r="AG303" s="194"/>
      <c r="AH303" s="194"/>
      <c r="AI303" s="194"/>
      <c r="AJ303" s="194"/>
      <c r="AK303" s="194"/>
      <c r="AL303" s="194"/>
      <c r="AM303" s="194"/>
      <c r="AN303" s="194"/>
      <c r="AO303" s="194"/>
      <c r="AP303" s="194"/>
      <c r="AQ303" s="194"/>
      <c r="AR303" s="194"/>
      <c r="AS303" s="194"/>
      <c r="AT303" s="194"/>
      <c r="AU303" s="194"/>
      <c r="AV303" s="194"/>
      <c r="AW303" s="194"/>
      <c r="AX303" s="194"/>
      <c r="AY303" s="194"/>
      <c r="AZ303" s="194"/>
      <c r="BA303" s="194"/>
      <c r="BB303" s="194"/>
      <c r="BC303" s="194"/>
      <c r="BD303" s="194"/>
      <c r="BE303" s="194"/>
      <c r="BF303" s="194"/>
      <c r="BG303" s="194"/>
      <c r="BH303" s="194"/>
      <c r="BI303" s="194"/>
      <c r="BJ303" s="194"/>
    </row>
    <row r="304" ht="15.75" customHeight="1">
      <c r="A304" s="194"/>
      <c r="B304" s="194"/>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c r="AA304" s="194"/>
      <c r="AB304" s="194"/>
      <c r="AC304" s="194"/>
      <c r="AD304" s="194"/>
      <c r="AE304" s="194"/>
      <c r="AF304" s="194"/>
      <c r="AG304" s="194"/>
      <c r="AH304" s="194"/>
      <c r="AI304" s="194"/>
      <c r="AJ304" s="194"/>
      <c r="AK304" s="194"/>
      <c r="AL304" s="194"/>
      <c r="AM304" s="194"/>
      <c r="AN304" s="194"/>
      <c r="AO304" s="194"/>
      <c r="AP304" s="194"/>
      <c r="AQ304" s="194"/>
      <c r="AR304" s="194"/>
      <c r="AS304" s="194"/>
      <c r="AT304" s="194"/>
      <c r="AU304" s="194"/>
      <c r="AV304" s="194"/>
      <c r="AW304" s="194"/>
      <c r="AX304" s="194"/>
      <c r="AY304" s="194"/>
      <c r="AZ304" s="194"/>
      <c r="BA304" s="194"/>
      <c r="BB304" s="194"/>
      <c r="BC304" s="194"/>
      <c r="BD304" s="194"/>
      <c r="BE304" s="194"/>
      <c r="BF304" s="194"/>
      <c r="BG304" s="194"/>
      <c r="BH304" s="194"/>
      <c r="BI304" s="194"/>
      <c r="BJ304" s="194"/>
    </row>
    <row r="305" ht="15.75" customHeight="1">
      <c r="A305" s="194"/>
      <c r="B305" s="194"/>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c r="AA305" s="194"/>
      <c r="AB305" s="194"/>
      <c r="AC305" s="194"/>
      <c r="AD305" s="194"/>
      <c r="AE305" s="194"/>
      <c r="AF305" s="194"/>
      <c r="AG305" s="194"/>
      <c r="AH305" s="194"/>
      <c r="AI305" s="194"/>
      <c r="AJ305" s="194"/>
      <c r="AK305" s="194"/>
      <c r="AL305" s="194"/>
      <c r="AM305" s="194"/>
      <c r="AN305" s="194"/>
      <c r="AO305" s="194"/>
      <c r="AP305" s="194"/>
      <c r="AQ305" s="194"/>
      <c r="AR305" s="194"/>
      <c r="AS305" s="194"/>
      <c r="AT305" s="194"/>
      <c r="AU305" s="194"/>
      <c r="AV305" s="194"/>
      <c r="AW305" s="194"/>
      <c r="AX305" s="194"/>
      <c r="AY305" s="194"/>
      <c r="AZ305" s="194"/>
      <c r="BA305" s="194"/>
      <c r="BB305" s="194"/>
      <c r="BC305" s="194"/>
      <c r="BD305" s="194"/>
      <c r="BE305" s="194"/>
      <c r="BF305" s="194"/>
      <c r="BG305" s="194"/>
      <c r="BH305" s="194"/>
      <c r="BI305" s="194"/>
      <c r="BJ305" s="194"/>
    </row>
    <row r="306" ht="15.75" customHeight="1">
      <c r="A306" s="194"/>
      <c r="B306" s="194"/>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c r="AA306" s="194"/>
      <c r="AB306" s="194"/>
      <c r="AC306" s="194"/>
      <c r="AD306" s="194"/>
      <c r="AE306" s="194"/>
      <c r="AF306" s="194"/>
      <c r="AG306" s="194"/>
      <c r="AH306" s="194"/>
      <c r="AI306" s="194"/>
      <c r="AJ306" s="194"/>
      <c r="AK306" s="194"/>
      <c r="AL306" s="194"/>
      <c r="AM306" s="194"/>
      <c r="AN306" s="194"/>
      <c r="AO306" s="194"/>
      <c r="AP306" s="194"/>
      <c r="AQ306" s="194"/>
      <c r="AR306" s="194"/>
      <c r="AS306" s="194"/>
      <c r="AT306" s="194"/>
      <c r="AU306" s="194"/>
      <c r="AV306" s="194"/>
      <c r="AW306" s="194"/>
      <c r="AX306" s="194"/>
      <c r="AY306" s="194"/>
      <c r="AZ306" s="194"/>
      <c r="BA306" s="194"/>
      <c r="BB306" s="194"/>
      <c r="BC306" s="194"/>
      <c r="BD306" s="194"/>
      <c r="BE306" s="194"/>
      <c r="BF306" s="194"/>
      <c r="BG306" s="194"/>
      <c r="BH306" s="194"/>
      <c r="BI306" s="194"/>
      <c r="BJ306" s="194"/>
    </row>
    <row r="307" ht="15.75" customHeight="1">
      <c r="A307" s="194"/>
      <c r="B307" s="194"/>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c r="AA307" s="194"/>
      <c r="AB307" s="194"/>
      <c r="AC307" s="194"/>
      <c r="AD307" s="194"/>
      <c r="AE307" s="194"/>
      <c r="AF307" s="194"/>
      <c r="AG307" s="194"/>
      <c r="AH307" s="194"/>
      <c r="AI307" s="194"/>
      <c r="AJ307" s="194"/>
      <c r="AK307" s="194"/>
      <c r="AL307" s="194"/>
      <c r="AM307" s="194"/>
      <c r="AN307" s="194"/>
      <c r="AO307" s="194"/>
      <c r="AP307" s="194"/>
      <c r="AQ307" s="194"/>
      <c r="AR307" s="194"/>
      <c r="AS307" s="194"/>
      <c r="AT307" s="194"/>
      <c r="AU307" s="194"/>
      <c r="AV307" s="194"/>
      <c r="AW307" s="194"/>
      <c r="AX307" s="194"/>
      <c r="AY307" s="194"/>
      <c r="AZ307" s="194"/>
      <c r="BA307" s="194"/>
      <c r="BB307" s="194"/>
      <c r="BC307" s="194"/>
      <c r="BD307" s="194"/>
      <c r="BE307" s="194"/>
      <c r="BF307" s="194"/>
      <c r="BG307" s="194"/>
      <c r="BH307" s="194"/>
      <c r="BI307" s="194"/>
      <c r="BJ307" s="194"/>
    </row>
    <row r="308" ht="15.75" customHeight="1">
      <c r="A308" s="194"/>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c r="AI308" s="194"/>
      <c r="AJ308" s="194"/>
      <c r="AK308" s="194"/>
      <c r="AL308" s="194"/>
      <c r="AM308" s="194"/>
      <c r="AN308" s="194"/>
      <c r="AO308" s="194"/>
      <c r="AP308" s="194"/>
      <c r="AQ308" s="194"/>
      <c r="AR308" s="194"/>
      <c r="AS308" s="194"/>
      <c r="AT308" s="194"/>
      <c r="AU308" s="194"/>
      <c r="AV308" s="194"/>
      <c r="AW308" s="194"/>
      <c r="AX308" s="194"/>
      <c r="AY308" s="194"/>
      <c r="AZ308" s="194"/>
      <c r="BA308" s="194"/>
      <c r="BB308" s="194"/>
      <c r="BC308" s="194"/>
      <c r="BD308" s="194"/>
      <c r="BE308" s="194"/>
      <c r="BF308" s="194"/>
      <c r="BG308" s="194"/>
      <c r="BH308" s="194"/>
      <c r="BI308" s="194"/>
      <c r="BJ308" s="194"/>
    </row>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24">
    <mergeCell ref="AA6:AE6"/>
    <mergeCell ref="AF6:AM6"/>
    <mergeCell ref="K1:AF2"/>
    <mergeCell ref="AG1:AN5"/>
    <mergeCell ref="K3:AF5"/>
    <mergeCell ref="A6:F6"/>
    <mergeCell ref="G6:O6"/>
    <mergeCell ref="P6:Q6"/>
    <mergeCell ref="R6:Z6"/>
    <mergeCell ref="A7:I7"/>
    <mergeCell ref="J7:Q7"/>
    <mergeCell ref="R7:U7"/>
    <mergeCell ref="V7:AA7"/>
    <mergeCell ref="AB7:AD7"/>
    <mergeCell ref="AF7:AH7"/>
    <mergeCell ref="AI7:AJ7"/>
    <mergeCell ref="AT8:AV8"/>
    <mergeCell ref="AW8:AY8"/>
    <mergeCell ref="H9:K9"/>
    <mergeCell ref="L9:P9"/>
    <mergeCell ref="T8:W8"/>
    <mergeCell ref="U9:X10"/>
    <mergeCell ref="AJ8:AN8"/>
    <mergeCell ref="AH9:AN10"/>
    <mergeCell ref="AK7:AL7"/>
    <mergeCell ref="AM7:AN7"/>
    <mergeCell ref="AO7:AS8"/>
    <mergeCell ref="AT7:AV7"/>
    <mergeCell ref="AW7:AY7"/>
    <mergeCell ref="AZ7:BA7"/>
    <mergeCell ref="AZ8:BA8"/>
    <mergeCell ref="B16:AJ16"/>
    <mergeCell ref="AK16:AN16"/>
    <mergeCell ref="B17:AJ17"/>
    <mergeCell ref="AK17:AN17"/>
    <mergeCell ref="B18:AJ18"/>
    <mergeCell ref="AK18:AN18"/>
    <mergeCell ref="AK19:AN19"/>
    <mergeCell ref="B19:AJ19"/>
    <mergeCell ref="A20:AN20"/>
    <mergeCell ref="A21:P21"/>
    <mergeCell ref="Q21:T21"/>
    <mergeCell ref="U21:AJ21"/>
    <mergeCell ref="AK21:AN21"/>
    <mergeCell ref="A22:AN22"/>
    <mergeCell ref="Y9:AC10"/>
    <mergeCell ref="AD9:AG10"/>
    <mergeCell ref="H10:K11"/>
    <mergeCell ref="L10:P11"/>
    <mergeCell ref="Q10:T11"/>
    <mergeCell ref="U11:X11"/>
    <mergeCell ref="Y11:AC11"/>
    <mergeCell ref="AD11:AG11"/>
    <mergeCell ref="AH11:AN11"/>
    <mergeCell ref="AK12:AN12"/>
    <mergeCell ref="K8:N8"/>
    <mergeCell ref="O8:S8"/>
    <mergeCell ref="X8:AA8"/>
    <mergeCell ref="AB8:AE8"/>
    <mergeCell ref="AF8:AI8"/>
    <mergeCell ref="A9:G11"/>
    <mergeCell ref="Q9:T9"/>
    <mergeCell ref="A12:AJ12"/>
    <mergeCell ref="A13:AN13"/>
    <mergeCell ref="AO13:BJ13"/>
    <mergeCell ref="A14:AN14"/>
    <mergeCell ref="AO14:BJ14"/>
    <mergeCell ref="B15:AJ15"/>
    <mergeCell ref="AK15:AN15"/>
    <mergeCell ref="A23:AN23"/>
    <mergeCell ref="B24:AJ24"/>
    <mergeCell ref="AK24:AN24"/>
    <mergeCell ref="B25:AJ25"/>
    <mergeCell ref="AK25:AN25"/>
    <mergeCell ref="B26:AJ26"/>
    <mergeCell ref="AK26:AN26"/>
    <mergeCell ref="B47:AJ47"/>
    <mergeCell ref="B48:AJ48"/>
    <mergeCell ref="AK48:AN48"/>
    <mergeCell ref="B49:AJ49"/>
    <mergeCell ref="AK49:AN49"/>
    <mergeCell ref="A50:AN50"/>
    <mergeCell ref="AK51:AN51"/>
    <mergeCell ref="A51:P51"/>
    <mergeCell ref="A52:AN52"/>
    <mergeCell ref="B53:AJ53"/>
    <mergeCell ref="AK53:AN53"/>
    <mergeCell ref="B54:AJ54"/>
    <mergeCell ref="AK54:AN54"/>
    <mergeCell ref="AK55:AN55"/>
    <mergeCell ref="B27:AJ27"/>
    <mergeCell ref="AK27:AN27"/>
    <mergeCell ref="B28:AJ28"/>
    <mergeCell ref="AK28:AN28"/>
    <mergeCell ref="A29:AN29"/>
    <mergeCell ref="A30:AN30"/>
    <mergeCell ref="AK31:AN31"/>
    <mergeCell ref="B31:AJ31"/>
    <mergeCell ref="B32:AJ32"/>
    <mergeCell ref="AK32:AN32"/>
    <mergeCell ref="A33:AN33"/>
    <mergeCell ref="B34:AJ34"/>
    <mergeCell ref="AK34:AN34"/>
    <mergeCell ref="AK35:AN35"/>
    <mergeCell ref="B35:AJ35"/>
    <mergeCell ref="B36:AJ36"/>
    <mergeCell ref="AK36:AN36"/>
    <mergeCell ref="B37:AJ37"/>
    <mergeCell ref="AK37:AN37"/>
    <mergeCell ref="B38:AJ38"/>
    <mergeCell ref="AK38:AN38"/>
    <mergeCell ref="A39:AN39"/>
    <mergeCell ref="A40:AN40"/>
    <mergeCell ref="B41:AJ41"/>
    <mergeCell ref="AK41:AN41"/>
    <mergeCell ref="A42:A43"/>
    <mergeCell ref="B42:AJ43"/>
    <mergeCell ref="AK42:AN43"/>
    <mergeCell ref="A44:AN44"/>
    <mergeCell ref="A45:P45"/>
    <mergeCell ref="Q45:T45"/>
    <mergeCell ref="U45:AJ45"/>
    <mergeCell ref="AK45:AN45"/>
    <mergeCell ref="A46:AN46"/>
    <mergeCell ref="AK47:AN47"/>
    <mergeCell ref="Q51:T51"/>
    <mergeCell ref="U51:AJ51"/>
    <mergeCell ref="B55:AJ55"/>
    <mergeCell ref="B56:AJ56"/>
    <mergeCell ref="AK56:AN56"/>
    <mergeCell ref="B57:AJ57"/>
    <mergeCell ref="AK57:AN57"/>
    <mergeCell ref="B58:AJ58"/>
    <mergeCell ref="AK58:AN58"/>
    <mergeCell ref="Q87:T87"/>
    <mergeCell ref="U87:AJ87"/>
    <mergeCell ref="A83:AN83"/>
    <mergeCell ref="B84:AJ84"/>
    <mergeCell ref="AK84:AN84"/>
    <mergeCell ref="B85:AJ85"/>
    <mergeCell ref="AK85:AN85"/>
    <mergeCell ref="A86:AN86"/>
    <mergeCell ref="AK87:AN87"/>
    <mergeCell ref="A87:P87"/>
    <mergeCell ref="R88:U88"/>
    <mergeCell ref="V88:W88"/>
    <mergeCell ref="X88:AA88"/>
    <mergeCell ref="AB88:AD88"/>
    <mergeCell ref="AE88:AJ88"/>
    <mergeCell ref="AK88:AN88"/>
    <mergeCell ref="A88:Q88"/>
    <mergeCell ref="A89:AN89"/>
    <mergeCell ref="A90:AN90"/>
    <mergeCell ref="A91:AN91"/>
    <mergeCell ref="A92:AN92"/>
    <mergeCell ref="A93:AN93"/>
    <mergeCell ref="A94:AN94"/>
    <mergeCell ref="A95:AN95"/>
    <mergeCell ref="A96:AN96"/>
    <mergeCell ref="A97:AN97"/>
    <mergeCell ref="A98:AN98"/>
    <mergeCell ref="A99:AN99"/>
    <mergeCell ref="A100:AN100"/>
    <mergeCell ref="A101:AN101"/>
    <mergeCell ref="O107:Z107"/>
    <mergeCell ref="AA107:AL107"/>
    <mergeCell ref="O108:Z108"/>
    <mergeCell ref="AA108:AL108"/>
    <mergeCell ref="A102:AN102"/>
    <mergeCell ref="O103:Z103"/>
    <mergeCell ref="AA103:AL103"/>
    <mergeCell ref="O104:Z105"/>
    <mergeCell ref="AA104:AL105"/>
    <mergeCell ref="O106:Z106"/>
    <mergeCell ref="AA106:AL106"/>
    <mergeCell ref="A59:AN59"/>
    <mergeCell ref="A60:P60"/>
    <mergeCell ref="Q60:T60"/>
    <mergeCell ref="U60:AJ60"/>
    <mergeCell ref="AK60:AN60"/>
    <mergeCell ref="A61:AN61"/>
    <mergeCell ref="AK62:AN62"/>
    <mergeCell ref="B62:AJ62"/>
    <mergeCell ref="B63:AJ63"/>
    <mergeCell ref="AK63:AN63"/>
    <mergeCell ref="B64:AJ64"/>
    <mergeCell ref="AK64:AN64"/>
    <mergeCell ref="B65:AJ65"/>
    <mergeCell ref="AK65:AN65"/>
    <mergeCell ref="B66:AJ66"/>
    <mergeCell ref="AK66:AN66"/>
    <mergeCell ref="B67:AJ67"/>
    <mergeCell ref="AK67:AN67"/>
    <mergeCell ref="B68:AJ68"/>
    <mergeCell ref="AK68:AN68"/>
    <mergeCell ref="A69:AN69"/>
    <mergeCell ref="A70:P70"/>
    <mergeCell ref="Q70:T70"/>
    <mergeCell ref="U70:AJ70"/>
    <mergeCell ref="AK70:AN70"/>
    <mergeCell ref="A71:AN71"/>
    <mergeCell ref="B72:AJ72"/>
    <mergeCell ref="AK72:AN72"/>
    <mergeCell ref="B73:AJ73"/>
    <mergeCell ref="AK73:AN73"/>
    <mergeCell ref="B74:AJ74"/>
    <mergeCell ref="AK74:AN74"/>
    <mergeCell ref="B75:AJ75"/>
    <mergeCell ref="AK75:AN75"/>
    <mergeCell ref="AK76:AN76"/>
    <mergeCell ref="B76:AJ76"/>
    <mergeCell ref="B77:AJ77"/>
    <mergeCell ref="AK77:AN77"/>
    <mergeCell ref="B78:AJ78"/>
    <mergeCell ref="AK78:AN78"/>
    <mergeCell ref="B79:AJ79"/>
    <mergeCell ref="AK79:AN79"/>
    <mergeCell ref="B80:AJ80"/>
    <mergeCell ref="AK80:AN80"/>
    <mergeCell ref="A81:AN81"/>
    <mergeCell ref="A82:P82"/>
    <mergeCell ref="Q82:T82"/>
    <mergeCell ref="U82:AJ82"/>
    <mergeCell ref="AK82:AN82"/>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43"/>
    <col customWidth="1" min="2" max="2" width="16.14"/>
    <col customWidth="1" min="3" max="7" width="10.71"/>
    <col customWidth="1" min="8" max="8" width="16.57"/>
    <col customWidth="1" min="9" max="9" width="14.71"/>
    <col customWidth="1" min="10" max="10" width="18.14"/>
    <col customWidth="1" min="11" max="12" width="10.71"/>
    <col customWidth="1" min="13" max="13" width="16.57"/>
    <col customWidth="1" min="14" max="15" width="17.0"/>
    <col customWidth="1" min="16" max="17" width="10.71"/>
  </cols>
  <sheetData>
    <row r="1" ht="85.5" customHeight="1">
      <c r="A1" s="209"/>
      <c r="B1" s="5"/>
      <c r="C1" s="5"/>
      <c r="D1" s="5"/>
      <c r="E1" s="5"/>
      <c r="F1" s="5"/>
      <c r="G1" s="5"/>
      <c r="H1" s="6"/>
      <c r="I1" s="196"/>
      <c r="J1" s="6"/>
      <c r="K1" s="210" t="s">
        <v>204</v>
      </c>
      <c r="L1" s="5"/>
      <c r="M1" s="5"/>
      <c r="N1" s="5"/>
      <c r="O1" s="5"/>
      <c r="P1" s="5"/>
      <c r="Q1" s="6"/>
    </row>
    <row r="2" ht="16.5" customHeight="1">
      <c r="A2" s="211" t="s">
        <v>205</v>
      </c>
      <c r="B2" s="5"/>
      <c r="C2" s="5"/>
      <c r="D2" s="6"/>
      <c r="E2" s="212"/>
      <c r="F2" s="5"/>
      <c r="G2" s="6"/>
      <c r="H2" s="213"/>
      <c r="I2" s="211" t="s">
        <v>206</v>
      </c>
      <c r="J2" s="6"/>
      <c r="K2" s="214"/>
      <c r="L2" s="6"/>
      <c r="M2" s="215"/>
      <c r="N2" s="211" t="s">
        <v>207</v>
      </c>
      <c r="O2" s="6"/>
      <c r="P2" s="216" t="s">
        <v>208</v>
      </c>
      <c r="Q2" s="6"/>
    </row>
    <row r="3" ht="16.5" customHeight="1">
      <c r="A3" s="211" t="s">
        <v>209</v>
      </c>
      <c r="B3" s="5"/>
      <c r="C3" s="5"/>
      <c r="D3" s="6"/>
      <c r="E3" s="212"/>
      <c r="F3" s="5"/>
      <c r="G3" s="6"/>
      <c r="H3" s="213"/>
      <c r="I3" s="211" t="s">
        <v>210</v>
      </c>
      <c r="J3" s="6"/>
      <c r="K3" s="214"/>
      <c r="L3" s="6"/>
      <c r="M3" s="215"/>
      <c r="N3" s="211" t="s">
        <v>211</v>
      </c>
      <c r="O3" s="6"/>
      <c r="P3" s="217"/>
      <c r="Q3" s="6"/>
    </row>
    <row r="4" ht="16.5" customHeight="1">
      <c r="A4" s="211" t="s">
        <v>212</v>
      </c>
      <c r="B4" s="218"/>
      <c r="C4" s="5"/>
      <c r="D4" s="5"/>
      <c r="E4" s="5"/>
      <c r="F4" s="5"/>
      <c r="G4" s="5"/>
      <c r="H4" s="6"/>
      <c r="I4" s="211" t="s">
        <v>213</v>
      </c>
      <c r="J4" s="6"/>
      <c r="K4" s="219"/>
      <c r="L4" s="6"/>
      <c r="M4" s="220"/>
      <c r="N4" s="211" t="s">
        <v>214</v>
      </c>
      <c r="O4" s="6"/>
      <c r="P4" s="221"/>
      <c r="Q4" s="6"/>
    </row>
    <row r="5" ht="16.5" customHeight="1">
      <c r="A5" s="222" t="s">
        <v>215</v>
      </c>
      <c r="B5" s="223" t="s">
        <v>216</v>
      </c>
      <c r="C5" s="224"/>
      <c r="D5" s="211" t="s">
        <v>217</v>
      </c>
      <c r="E5" s="5"/>
      <c r="F5" s="6"/>
      <c r="G5" s="224"/>
      <c r="H5" s="211" t="s">
        <v>218</v>
      </c>
      <c r="I5" s="5"/>
      <c r="J5" s="6"/>
      <c r="K5" s="223"/>
      <c r="L5" s="211" t="s">
        <v>219</v>
      </c>
      <c r="M5" s="5"/>
      <c r="N5" s="6"/>
      <c r="O5" s="225" t="s">
        <v>220</v>
      </c>
      <c r="P5" s="225" t="s">
        <v>221</v>
      </c>
      <c r="Q5" s="225" t="s">
        <v>27</v>
      </c>
    </row>
    <row r="6" ht="16.5" customHeight="1">
      <c r="A6" s="187"/>
      <c r="B6" s="223" t="s">
        <v>222</v>
      </c>
      <c r="C6" s="226"/>
      <c r="D6" s="211" t="s">
        <v>223</v>
      </c>
      <c r="E6" s="5"/>
      <c r="F6" s="6"/>
      <c r="G6" s="226"/>
      <c r="H6" s="211" t="s">
        <v>224</v>
      </c>
      <c r="I6" s="5"/>
      <c r="J6" s="6"/>
      <c r="K6" s="226"/>
      <c r="L6" s="211" t="s">
        <v>225</v>
      </c>
      <c r="M6" s="5"/>
      <c r="N6" s="6"/>
      <c r="O6" s="225" t="s">
        <v>220</v>
      </c>
      <c r="P6" s="225" t="s">
        <v>221</v>
      </c>
      <c r="Q6" s="225" t="s">
        <v>27</v>
      </c>
    </row>
    <row r="7" ht="15.0" customHeight="1">
      <c r="A7" s="227" t="s">
        <v>226</v>
      </c>
      <c r="B7" s="3"/>
      <c r="C7" s="228">
        <v>1.0</v>
      </c>
      <c r="D7" s="228">
        <v>3.0</v>
      </c>
      <c r="E7" s="228">
        <v>5.0</v>
      </c>
      <c r="F7" s="228">
        <v>7.0</v>
      </c>
      <c r="G7" s="228">
        <v>9.0</v>
      </c>
      <c r="H7" s="227" t="s">
        <v>227</v>
      </c>
      <c r="I7" s="2"/>
      <c r="J7" s="3"/>
      <c r="K7" s="228">
        <v>1.0</v>
      </c>
      <c r="L7" s="228">
        <v>3.0</v>
      </c>
      <c r="M7" s="228">
        <v>5.0</v>
      </c>
      <c r="N7" s="228">
        <v>7.0</v>
      </c>
      <c r="O7" s="228">
        <v>9.0</v>
      </c>
      <c r="P7" s="229"/>
      <c r="Q7" s="3"/>
    </row>
    <row r="8" ht="15.0" customHeight="1">
      <c r="A8" s="14"/>
      <c r="B8" s="16"/>
      <c r="C8" s="228">
        <v>2.0</v>
      </c>
      <c r="D8" s="228">
        <v>4.0</v>
      </c>
      <c r="E8" s="228">
        <v>6.0</v>
      </c>
      <c r="F8" s="228">
        <v>8.0</v>
      </c>
      <c r="G8" s="228">
        <v>10.0</v>
      </c>
      <c r="H8" s="14"/>
      <c r="I8" s="15"/>
      <c r="J8" s="16"/>
      <c r="K8" s="228">
        <v>2.0</v>
      </c>
      <c r="L8" s="228">
        <v>4.0</v>
      </c>
      <c r="M8" s="228">
        <v>6.0</v>
      </c>
      <c r="N8" s="228">
        <v>8.0</v>
      </c>
      <c r="O8" s="228">
        <v>10.0</v>
      </c>
      <c r="P8" s="14"/>
      <c r="Q8" s="16"/>
    </row>
    <row r="9" ht="16.5" customHeight="1">
      <c r="A9" s="230" t="s">
        <v>228</v>
      </c>
      <c r="B9" s="5"/>
      <c r="C9" s="5"/>
      <c r="D9" s="5"/>
      <c r="E9" s="5"/>
      <c r="F9" s="5"/>
      <c r="G9" s="5"/>
      <c r="H9" s="5"/>
      <c r="I9" s="5"/>
      <c r="J9" s="5"/>
      <c r="K9" s="5"/>
      <c r="L9" s="5"/>
      <c r="M9" s="5"/>
      <c r="N9" s="5"/>
      <c r="O9" s="5"/>
      <c r="P9" s="5"/>
      <c r="Q9" s="6"/>
    </row>
    <row r="10" ht="16.5" customHeight="1">
      <c r="A10" s="230" t="s">
        <v>229</v>
      </c>
      <c r="B10" s="6"/>
      <c r="C10" s="230" t="s">
        <v>230</v>
      </c>
      <c r="D10" s="5"/>
      <c r="E10" s="5"/>
      <c r="F10" s="5"/>
      <c r="G10" s="5"/>
      <c r="H10" s="5"/>
      <c r="I10" s="5"/>
      <c r="J10" s="5"/>
      <c r="K10" s="5"/>
      <c r="L10" s="6"/>
      <c r="M10" s="230" t="s">
        <v>231</v>
      </c>
      <c r="N10" s="5"/>
      <c r="O10" s="5"/>
      <c r="P10" s="5"/>
      <c r="Q10" s="6"/>
    </row>
    <row r="11" ht="16.5" customHeight="1">
      <c r="A11" s="231" t="s">
        <v>232</v>
      </c>
      <c r="B11" s="232" t="s">
        <v>105</v>
      </c>
      <c r="C11" s="233" t="s">
        <v>233</v>
      </c>
      <c r="D11" s="233" t="s">
        <v>234</v>
      </c>
      <c r="E11" s="234" t="s">
        <v>235</v>
      </c>
      <c r="F11" s="231" t="s">
        <v>236</v>
      </c>
      <c r="G11" s="231" t="s">
        <v>237</v>
      </c>
      <c r="H11" s="233" t="s">
        <v>233</v>
      </c>
      <c r="I11" s="233" t="s">
        <v>234</v>
      </c>
      <c r="J11" s="234" t="s">
        <v>235</v>
      </c>
      <c r="K11" s="231" t="s">
        <v>236</v>
      </c>
      <c r="L11" s="231" t="s">
        <v>237</v>
      </c>
      <c r="M11" s="233" t="s">
        <v>233</v>
      </c>
      <c r="N11" s="233" t="s">
        <v>234</v>
      </c>
      <c r="O11" s="234" t="s">
        <v>235</v>
      </c>
      <c r="P11" s="231" t="s">
        <v>236</v>
      </c>
      <c r="Q11" s="231" t="s">
        <v>237</v>
      </c>
    </row>
    <row r="12" ht="33.0" customHeight="1">
      <c r="A12" s="187"/>
      <c r="B12" s="187"/>
      <c r="C12" s="233" t="s">
        <v>238</v>
      </c>
      <c r="D12" s="233" t="s">
        <v>238</v>
      </c>
      <c r="E12" s="233" t="s">
        <v>238</v>
      </c>
      <c r="F12" s="187"/>
      <c r="G12" s="187"/>
      <c r="H12" s="233" t="s">
        <v>238</v>
      </c>
      <c r="I12" s="233" t="s">
        <v>238</v>
      </c>
      <c r="J12" s="233" t="s">
        <v>238</v>
      </c>
      <c r="K12" s="187"/>
      <c r="L12" s="187"/>
      <c r="M12" s="235" t="s">
        <v>238</v>
      </c>
      <c r="N12" s="235" t="s">
        <v>238</v>
      </c>
      <c r="O12" s="235" t="s">
        <v>238</v>
      </c>
      <c r="P12" s="187"/>
      <c r="Q12" s="187"/>
    </row>
    <row r="13" ht="15.75" customHeight="1">
      <c r="A13" s="236" t="s">
        <v>239</v>
      </c>
      <c r="B13" s="5"/>
      <c r="C13" s="5"/>
      <c r="D13" s="5"/>
      <c r="E13" s="5"/>
      <c r="F13" s="5"/>
      <c r="G13" s="5"/>
      <c r="H13" s="5"/>
      <c r="I13" s="5"/>
      <c r="J13" s="5"/>
      <c r="K13" s="5"/>
      <c r="L13" s="5"/>
      <c r="M13" s="5"/>
      <c r="N13" s="5"/>
      <c r="O13" s="5"/>
      <c r="P13" s="5"/>
      <c r="Q13" s="6"/>
    </row>
    <row r="14" ht="16.5" customHeight="1">
      <c r="A14" s="237"/>
      <c r="B14" s="237"/>
      <c r="C14" s="237"/>
      <c r="D14" s="237"/>
      <c r="E14" s="238"/>
      <c r="F14" s="238"/>
      <c r="G14" s="225"/>
      <c r="H14" s="225"/>
      <c r="I14" s="238"/>
      <c r="J14" s="238"/>
      <c r="K14" s="238"/>
      <c r="L14" s="225"/>
      <c r="M14" s="225"/>
      <c r="N14" s="238"/>
      <c r="O14" s="238"/>
      <c r="P14" s="238"/>
      <c r="Q14" s="225"/>
    </row>
    <row r="15" ht="16.5" customHeight="1">
      <c r="A15" s="237"/>
      <c r="B15" s="237"/>
      <c r="C15" s="237"/>
      <c r="D15" s="237"/>
      <c r="E15" s="238"/>
      <c r="F15" s="238"/>
      <c r="G15" s="225"/>
      <c r="H15" s="225"/>
      <c r="I15" s="238"/>
      <c r="J15" s="238"/>
      <c r="K15" s="238"/>
      <c r="L15" s="225"/>
      <c r="M15" s="225"/>
      <c r="N15" s="238"/>
      <c r="O15" s="238"/>
      <c r="P15" s="238"/>
      <c r="Q15" s="225"/>
    </row>
    <row r="16" ht="16.5" customHeight="1">
      <c r="A16" s="237"/>
      <c r="B16" s="237"/>
      <c r="C16" s="237"/>
      <c r="D16" s="237"/>
      <c r="E16" s="238"/>
      <c r="F16" s="238"/>
      <c r="G16" s="225"/>
      <c r="H16" s="225"/>
      <c r="I16" s="238"/>
      <c r="J16" s="238"/>
      <c r="K16" s="238"/>
      <c r="L16" s="225"/>
      <c r="M16" s="225"/>
      <c r="N16" s="238"/>
      <c r="O16" s="238"/>
      <c r="P16" s="238"/>
      <c r="Q16" s="225"/>
    </row>
    <row r="17" ht="16.5" customHeight="1">
      <c r="A17" s="237"/>
      <c r="B17" s="237"/>
      <c r="C17" s="237"/>
      <c r="D17" s="237"/>
      <c r="E17" s="238"/>
      <c r="F17" s="238"/>
      <c r="G17" s="225"/>
      <c r="H17" s="225"/>
      <c r="I17" s="238"/>
      <c r="J17" s="238"/>
      <c r="K17" s="238"/>
      <c r="L17" s="225"/>
      <c r="M17" s="225"/>
      <c r="N17" s="238"/>
      <c r="O17" s="238"/>
      <c r="P17" s="238"/>
      <c r="Q17" s="225"/>
    </row>
    <row r="18" ht="16.5" customHeight="1">
      <c r="A18" s="237"/>
      <c r="B18" s="237"/>
      <c r="C18" s="237"/>
      <c r="D18" s="237"/>
      <c r="E18" s="238"/>
      <c r="F18" s="238"/>
      <c r="G18" s="225"/>
      <c r="H18" s="225"/>
      <c r="I18" s="238"/>
      <c r="J18" s="238"/>
      <c r="K18" s="238"/>
      <c r="L18" s="225"/>
      <c r="M18" s="225"/>
      <c r="N18" s="238"/>
      <c r="O18" s="238"/>
      <c r="P18" s="238"/>
      <c r="Q18" s="225"/>
    </row>
    <row r="19" ht="16.5" customHeight="1">
      <c r="A19" s="237"/>
      <c r="B19" s="237"/>
      <c r="C19" s="237"/>
      <c r="D19" s="237"/>
      <c r="E19" s="238"/>
      <c r="F19" s="238"/>
      <c r="G19" s="225"/>
      <c r="H19" s="225"/>
      <c r="I19" s="238"/>
      <c r="J19" s="238"/>
      <c r="K19" s="238"/>
      <c r="L19" s="225"/>
      <c r="M19" s="225"/>
      <c r="N19" s="238"/>
      <c r="O19" s="238"/>
      <c r="P19" s="238"/>
      <c r="Q19" s="225"/>
    </row>
    <row r="20" ht="16.5" customHeight="1">
      <c r="A20" s="239" t="s">
        <v>240</v>
      </c>
      <c r="B20" s="6"/>
      <c r="C20" s="238"/>
      <c r="D20" s="237"/>
      <c r="E20" s="238"/>
      <c r="F20" s="238"/>
      <c r="G20" s="237"/>
      <c r="H20" s="237"/>
      <c r="I20" s="238"/>
      <c r="J20" s="238"/>
      <c r="K20" s="238"/>
      <c r="L20" s="237"/>
      <c r="M20" s="237"/>
      <c r="N20" s="238"/>
      <c r="O20" s="238"/>
      <c r="P20" s="238"/>
      <c r="Q20" s="237"/>
    </row>
    <row r="21" ht="16.5" customHeight="1">
      <c r="A21" s="239" t="s">
        <v>241</v>
      </c>
      <c r="B21" s="6"/>
      <c r="C21" s="238"/>
      <c r="D21" s="237"/>
      <c r="E21" s="238"/>
      <c r="F21" s="238"/>
      <c r="G21" s="237"/>
      <c r="H21" s="237"/>
      <c r="I21" s="238"/>
      <c r="J21" s="238"/>
      <c r="K21" s="238"/>
      <c r="L21" s="237"/>
      <c r="M21" s="237"/>
      <c r="N21" s="238"/>
      <c r="O21" s="238"/>
      <c r="P21" s="238"/>
      <c r="Q21" s="237"/>
    </row>
    <row r="22" ht="16.5" customHeight="1">
      <c r="A22" s="240" t="s">
        <v>242</v>
      </c>
      <c r="B22" s="5"/>
      <c r="C22" s="5"/>
      <c r="D22" s="5"/>
      <c r="E22" s="5"/>
      <c r="F22" s="5"/>
      <c r="G22" s="5"/>
      <c r="H22" s="5"/>
      <c r="I22" s="5"/>
      <c r="J22" s="5"/>
      <c r="K22" s="5"/>
      <c r="L22" s="5"/>
      <c r="M22" s="5"/>
      <c r="N22" s="5"/>
      <c r="O22" s="5"/>
      <c r="P22" s="5"/>
      <c r="Q22" s="6"/>
    </row>
    <row r="23" ht="16.5" customHeight="1">
      <c r="A23" s="241" t="s">
        <v>243</v>
      </c>
      <c r="B23" s="5"/>
      <c r="C23" s="5"/>
      <c r="D23" s="5"/>
      <c r="E23" s="6"/>
      <c r="F23" s="242" t="s">
        <v>244</v>
      </c>
      <c r="G23" s="242" t="s">
        <v>245</v>
      </c>
      <c r="H23" s="242"/>
      <c r="I23" s="243"/>
      <c r="J23" s="2"/>
      <c r="K23" s="2"/>
      <c r="L23" s="2"/>
      <c r="M23" s="2"/>
      <c r="N23" s="2"/>
      <c r="O23" s="2"/>
      <c r="P23" s="2"/>
      <c r="Q23" s="3"/>
    </row>
    <row r="24" ht="16.5" customHeight="1">
      <c r="A24" s="241" t="s">
        <v>246</v>
      </c>
      <c r="B24" s="5"/>
      <c r="C24" s="5"/>
      <c r="D24" s="5"/>
      <c r="E24" s="6"/>
      <c r="F24" s="242" t="s">
        <v>244</v>
      </c>
      <c r="G24" s="242" t="s">
        <v>245</v>
      </c>
      <c r="H24" s="242"/>
      <c r="I24" s="14"/>
      <c r="J24" s="15"/>
      <c r="K24" s="15"/>
      <c r="L24" s="15"/>
      <c r="M24" s="15"/>
      <c r="N24" s="15"/>
      <c r="O24" s="15"/>
      <c r="P24" s="15"/>
      <c r="Q24" s="16"/>
    </row>
    <row r="25" ht="16.5" customHeight="1">
      <c r="A25" s="244" t="s">
        <v>247</v>
      </c>
      <c r="B25" s="5"/>
      <c r="C25" s="5"/>
      <c r="D25" s="5"/>
      <c r="E25" s="5"/>
      <c r="F25" s="5"/>
      <c r="G25" s="5"/>
      <c r="H25" s="6"/>
      <c r="I25" s="244" t="s">
        <v>248</v>
      </c>
      <c r="J25" s="5"/>
      <c r="K25" s="5"/>
      <c r="L25" s="5"/>
      <c r="M25" s="5"/>
      <c r="N25" s="5"/>
      <c r="O25" s="5"/>
      <c r="P25" s="5"/>
      <c r="Q25" s="6"/>
    </row>
    <row r="26" ht="33.0" customHeight="1">
      <c r="A26" s="245" t="s">
        <v>249</v>
      </c>
      <c r="B26" s="238">
        <f>G20+G21+L20+L21+Q20+Q21</f>
        <v>0</v>
      </c>
      <c r="C26" s="238"/>
      <c r="D26" s="246" t="s">
        <v>250</v>
      </c>
      <c r="E26" s="247">
        <f>G20+L20+Q20</f>
        <v>0</v>
      </c>
      <c r="F26" s="248" t="s">
        <v>251</v>
      </c>
      <c r="G26" s="245"/>
      <c r="H26" s="245"/>
      <c r="I26" s="249"/>
      <c r="J26" s="5"/>
      <c r="K26" s="5"/>
      <c r="L26" s="5"/>
      <c r="M26" s="5"/>
      <c r="N26" s="5"/>
      <c r="O26" s="5"/>
      <c r="P26" s="5"/>
      <c r="Q26" s="6"/>
    </row>
    <row r="27" ht="85.5" customHeight="1"/>
    <row r="28" ht="85.5" customHeight="1"/>
    <row r="29" ht="85.5" customHeight="1"/>
    <row r="30" ht="85.5" customHeight="1"/>
    <row r="31" ht="85.5" customHeight="1"/>
    <row r="32" ht="85.5" customHeight="1"/>
    <row r="33" ht="85.5" customHeight="1"/>
    <row r="34" ht="85.5" customHeight="1"/>
    <row r="35" ht="85.5" customHeight="1"/>
    <row r="36" ht="85.5" customHeight="1"/>
    <row r="37" ht="85.5" customHeight="1"/>
    <row r="38" ht="85.5" customHeight="1"/>
    <row r="39" ht="85.5" customHeight="1"/>
    <row r="40" ht="85.5" customHeight="1"/>
    <row r="41" ht="85.5" customHeight="1"/>
    <row r="42" ht="85.5" customHeight="1"/>
    <row r="43" ht="85.5" customHeight="1"/>
    <row r="44" ht="85.5" customHeight="1"/>
    <row r="45" ht="85.5" customHeight="1"/>
    <row r="46" ht="85.5" customHeight="1"/>
    <row r="47" ht="85.5" customHeight="1"/>
    <row r="48" ht="85.5" customHeight="1"/>
    <row r="49" ht="85.5" customHeight="1"/>
    <row r="50" ht="85.5" customHeight="1"/>
    <row r="51" ht="85.5" customHeight="1"/>
    <row r="52" ht="85.5" customHeight="1"/>
    <row r="53" ht="85.5" customHeight="1"/>
    <row r="54" ht="85.5" customHeight="1"/>
    <row r="55" ht="85.5" customHeight="1"/>
    <row r="56" ht="85.5" customHeight="1"/>
    <row r="57" ht="85.5" customHeight="1"/>
    <row r="58" ht="85.5" customHeight="1"/>
    <row r="59" ht="85.5" customHeight="1"/>
    <row r="60" ht="85.5" customHeight="1"/>
    <row r="61" ht="85.5" customHeight="1"/>
    <row r="62" ht="85.5" customHeight="1"/>
    <row r="63" ht="85.5" customHeight="1"/>
    <row r="64" ht="85.5" customHeight="1"/>
    <row r="65" ht="85.5" customHeight="1"/>
    <row r="66" ht="85.5" customHeight="1"/>
    <row r="67" ht="85.5" customHeight="1"/>
    <row r="68" ht="85.5" customHeight="1"/>
    <row r="69" ht="85.5" customHeight="1"/>
    <row r="70" ht="85.5" customHeight="1"/>
    <row r="71" ht="85.5" customHeight="1"/>
    <row r="72" ht="85.5" customHeight="1"/>
    <row r="73" ht="85.5" customHeight="1"/>
    <row r="74" ht="85.5" customHeight="1"/>
    <row r="75" ht="85.5" customHeight="1"/>
    <row r="76" ht="85.5" customHeight="1"/>
    <row r="77" ht="85.5" customHeight="1"/>
    <row r="78" ht="85.5" customHeight="1"/>
    <row r="79" ht="85.5" customHeight="1"/>
    <row r="80" ht="85.5" customHeight="1"/>
    <row r="81" ht="85.5" customHeight="1"/>
    <row r="82" ht="85.5" customHeight="1"/>
    <row r="83" ht="85.5" customHeight="1"/>
    <row r="84" ht="85.5" customHeight="1"/>
    <row r="85" ht="85.5" customHeight="1"/>
    <row r="86" ht="85.5" customHeight="1"/>
    <row r="87" ht="85.5" customHeight="1"/>
    <row r="88" ht="85.5" customHeight="1"/>
    <row r="89" ht="85.5" customHeight="1"/>
    <row r="90" ht="85.5" customHeight="1"/>
    <row r="91" ht="85.5" customHeight="1"/>
    <row r="92" ht="85.5" customHeight="1"/>
    <row r="93" ht="85.5" customHeight="1"/>
    <row r="94" ht="85.5" customHeight="1"/>
    <row r="95" ht="85.5" customHeight="1"/>
    <row r="96" ht="85.5" customHeight="1"/>
    <row r="97" ht="85.5" customHeight="1"/>
    <row r="98" ht="85.5" customHeight="1"/>
    <row r="99" ht="85.5" customHeight="1"/>
    <row r="100" ht="85.5" customHeight="1"/>
    <row r="101" ht="85.5" customHeight="1"/>
    <row r="102" ht="85.5" customHeight="1"/>
    <row r="103" ht="85.5" customHeight="1"/>
    <row r="104" ht="85.5" customHeight="1"/>
    <row r="105" ht="85.5" customHeight="1"/>
    <row r="106" ht="85.5" customHeight="1"/>
    <row r="107" ht="85.5" customHeight="1"/>
    <row r="108" ht="85.5" customHeight="1"/>
    <row r="109" ht="85.5" customHeight="1"/>
    <row r="110" ht="85.5" customHeight="1"/>
    <row r="111" ht="85.5" customHeight="1"/>
    <row r="112" ht="85.5" customHeight="1"/>
    <row r="113" ht="85.5" customHeight="1"/>
    <row r="114" ht="85.5" customHeight="1"/>
    <row r="115" ht="85.5" customHeight="1"/>
    <row r="116" ht="85.5" customHeight="1"/>
    <row r="117" ht="85.5" customHeight="1"/>
    <row r="118" ht="85.5" customHeight="1"/>
    <row r="119" ht="85.5" customHeight="1"/>
    <row r="120" ht="85.5" customHeight="1"/>
    <row r="121" ht="85.5" customHeight="1"/>
    <row r="122" ht="85.5" customHeight="1"/>
    <row r="123" ht="85.5" customHeight="1"/>
    <row r="124" ht="85.5" customHeight="1"/>
    <row r="125" ht="85.5" customHeight="1"/>
    <row r="126" ht="85.5" customHeight="1"/>
    <row r="127" ht="85.5" customHeight="1"/>
    <row r="128" ht="85.5" customHeight="1"/>
    <row r="129" ht="85.5" customHeight="1"/>
    <row r="130" ht="85.5" customHeight="1"/>
    <row r="131" ht="85.5" customHeight="1"/>
    <row r="132" ht="85.5" customHeight="1"/>
    <row r="133" ht="85.5" customHeight="1"/>
    <row r="134" ht="85.5" customHeight="1"/>
    <row r="135" ht="85.5" customHeight="1"/>
    <row r="136" ht="85.5" customHeight="1"/>
    <row r="137" ht="85.5" customHeight="1"/>
    <row r="138" ht="85.5" customHeight="1"/>
    <row r="139" ht="85.5" customHeight="1"/>
    <row r="140" ht="85.5" customHeight="1"/>
    <row r="141" ht="85.5" customHeight="1"/>
    <row r="142" ht="85.5" customHeight="1"/>
    <row r="143" ht="85.5" customHeight="1"/>
    <row r="144" ht="85.5" customHeight="1"/>
    <row r="145" ht="85.5" customHeight="1"/>
    <row r="146" ht="85.5" customHeight="1"/>
    <row r="147" ht="85.5" customHeight="1"/>
    <row r="148" ht="85.5" customHeight="1"/>
    <row r="149" ht="85.5" customHeight="1"/>
    <row r="150" ht="85.5" customHeight="1"/>
    <row r="151" ht="85.5" customHeight="1"/>
    <row r="152" ht="85.5" customHeight="1"/>
    <row r="153" ht="85.5" customHeight="1"/>
    <row r="154" ht="85.5" customHeight="1"/>
    <row r="155" ht="85.5" customHeight="1"/>
    <row r="156" ht="85.5" customHeight="1"/>
    <row r="157" ht="85.5" customHeight="1"/>
    <row r="158" ht="85.5" customHeight="1"/>
    <row r="159" ht="85.5" customHeight="1"/>
    <row r="160" ht="85.5" customHeight="1"/>
    <row r="161" ht="85.5" customHeight="1"/>
    <row r="162" ht="85.5" customHeight="1"/>
    <row r="163" ht="85.5" customHeight="1"/>
    <row r="164" ht="85.5" customHeight="1"/>
    <row r="165" ht="85.5" customHeight="1"/>
    <row r="166" ht="85.5" customHeight="1"/>
    <row r="167" ht="85.5" customHeight="1"/>
    <row r="168" ht="85.5" customHeight="1"/>
    <row r="169" ht="85.5" customHeight="1"/>
    <row r="170" ht="85.5" customHeight="1"/>
    <row r="171" ht="85.5" customHeight="1"/>
    <row r="172" ht="85.5" customHeight="1"/>
    <row r="173" ht="85.5" customHeight="1"/>
    <row r="174" ht="85.5" customHeight="1"/>
    <row r="175" ht="85.5" customHeight="1"/>
    <row r="176" ht="85.5" customHeight="1"/>
    <row r="177" ht="85.5" customHeight="1"/>
    <row r="178" ht="85.5" customHeight="1"/>
    <row r="179" ht="85.5" customHeight="1"/>
    <row r="180" ht="85.5" customHeight="1"/>
    <row r="181" ht="85.5" customHeight="1"/>
    <row r="182" ht="85.5" customHeight="1"/>
    <row r="183" ht="85.5" customHeight="1"/>
    <row r="184" ht="85.5" customHeight="1"/>
    <row r="185" ht="85.5" customHeight="1"/>
    <row r="186" ht="85.5" customHeight="1"/>
    <row r="187" ht="85.5" customHeight="1"/>
    <row r="188" ht="85.5" customHeight="1"/>
    <row r="189" ht="85.5" customHeight="1"/>
    <row r="190" ht="85.5" customHeight="1"/>
    <row r="191" ht="85.5" customHeight="1"/>
    <row r="192" ht="85.5" customHeight="1"/>
    <row r="193" ht="85.5" customHeight="1"/>
    <row r="194" ht="85.5" customHeight="1"/>
    <row r="195" ht="85.5" customHeight="1"/>
    <row r="196" ht="85.5" customHeight="1"/>
    <row r="197" ht="85.5" customHeight="1"/>
    <row r="198" ht="85.5" customHeight="1"/>
    <row r="199" ht="85.5" customHeight="1"/>
    <row r="200" ht="85.5" customHeight="1"/>
    <row r="201" ht="85.5" customHeight="1"/>
    <row r="202" ht="85.5" customHeight="1"/>
    <row r="203" ht="85.5" customHeight="1"/>
    <row r="204" ht="85.5" customHeight="1"/>
    <row r="205" ht="85.5" customHeight="1"/>
    <row r="206" ht="85.5" customHeight="1"/>
    <row r="207" ht="85.5" customHeight="1"/>
    <row r="208" ht="85.5" customHeight="1"/>
    <row r="209" ht="85.5" customHeight="1"/>
    <row r="210" ht="85.5" customHeight="1"/>
    <row r="211" ht="85.5" customHeight="1"/>
    <row r="212" ht="85.5" customHeight="1"/>
    <row r="213" ht="85.5" customHeight="1"/>
    <row r="214" ht="85.5" customHeight="1"/>
    <row r="215" ht="85.5" customHeight="1"/>
    <row r="216" ht="85.5" customHeight="1"/>
    <row r="217" ht="85.5" customHeight="1"/>
    <row r="218" ht="85.5" customHeight="1"/>
    <row r="219" ht="85.5" customHeight="1"/>
    <row r="220" ht="85.5" customHeight="1"/>
    <row r="221" ht="85.5" customHeight="1"/>
    <row r="222" ht="85.5" customHeight="1"/>
    <row r="223" ht="85.5" customHeight="1"/>
    <row r="224" ht="85.5" customHeight="1"/>
    <row r="225" ht="85.5" customHeight="1"/>
    <row r="226" ht="85.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2">
    <mergeCell ref="N4:O4"/>
    <mergeCell ref="P4:Q4"/>
    <mergeCell ref="P7:Q8"/>
    <mergeCell ref="I4:J4"/>
    <mergeCell ref="K4:L4"/>
    <mergeCell ref="A5:A6"/>
    <mergeCell ref="D5:F5"/>
    <mergeCell ref="H5:J5"/>
    <mergeCell ref="D6:F6"/>
    <mergeCell ref="A9:Q9"/>
    <mergeCell ref="A7:B8"/>
    <mergeCell ref="A10:B10"/>
    <mergeCell ref="A11:A12"/>
    <mergeCell ref="B11:B12"/>
    <mergeCell ref="F11:F12"/>
    <mergeCell ref="G11:G12"/>
    <mergeCell ref="A20:B20"/>
    <mergeCell ref="C10:L10"/>
    <mergeCell ref="M10:Q10"/>
    <mergeCell ref="A13:Q13"/>
    <mergeCell ref="A22:Q22"/>
    <mergeCell ref="I23:Q24"/>
    <mergeCell ref="A24:E24"/>
    <mergeCell ref="A25:H25"/>
    <mergeCell ref="N2:O2"/>
    <mergeCell ref="P2:Q2"/>
    <mergeCell ref="A1:H1"/>
    <mergeCell ref="I1:J1"/>
    <mergeCell ref="K1:Q1"/>
    <mergeCell ref="A2:D2"/>
    <mergeCell ref="E2:G2"/>
    <mergeCell ref="I2:J2"/>
    <mergeCell ref="K2:L2"/>
    <mergeCell ref="A3:D3"/>
    <mergeCell ref="E3:G3"/>
    <mergeCell ref="I3:J3"/>
    <mergeCell ref="K3:L3"/>
    <mergeCell ref="N3:O3"/>
    <mergeCell ref="P3:Q3"/>
    <mergeCell ref="B4:H4"/>
    <mergeCell ref="L5:N5"/>
    <mergeCell ref="L6:N6"/>
    <mergeCell ref="H6:J6"/>
    <mergeCell ref="H7:J8"/>
    <mergeCell ref="K11:K12"/>
    <mergeCell ref="L11:L12"/>
    <mergeCell ref="P11:P12"/>
    <mergeCell ref="Q11:Q12"/>
    <mergeCell ref="A21:B21"/>
    <mergeCell ref="A23:E23"/>
    <mergeCell ref="I25:Q25"/>
    <mergeCell ref="I26:Q26"/>
  </mergeCells>
  <dataValidations>
    <dataValidation type="list" allowBlank="1" showErrorMessage="1" sqref="G14:H19 L14:M19 Q14:Q19">
      <formula1>$A$20:$A$21</formula1>
    </dataValidation>
  </dataValidation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14"/>
    <col customWidth="1" min="2" max="2" width="3.0"/>
    <col customWidth="1" min="3" max="3" width="52.86"/>
    <col customWidth="1" min="4" max="6" width="10.71"/>
  </cols>
  <sheetData>
    <row r="1" ht="54.75" customHeight="1">
      <c r="A1" s="250" t="s">
        <v>252</v>
      </c>
      <c r="B1" s="20"/>
      <c r="C1" s="20"/>
    </row>
    <row r="2" ht="54.75" customHeight="1">
      <c r="A2" s="251" t="s">
        <v>253</v>
      </c>
      <c r="B2" s="20"/>
      <c r="C2" s="20"/>
    </row>
    <row r="3" ht="54.75" customHeight="1"/>
    <row r="4" ht="54.75" customHeight="1">
      <c r="A4" s="252" t="s">
        <v>254</v>
      </c>
      <c r="B4" s="20"/>
      <c r="C4" s="20"/>
    </row>
    <row r="5" ht="54.75" customHeight="1">
      <c r="A5" s="253" t="s">
        <v>255</v>
      </c>
    </row>
    <row r="6" ht="54.75" customHeight="1">
      <c r="A6" s="254" t="s">
        <v>256</v>
      </c>
      <c r="C6" s="254" t="s">
        <v>257</v>
      </c>
    </row>
    <row r="7" ht="54.75" customHeight="1">
      <c r="A7" s="255" t="s">
        <v>258</v>
      </c>
      <c r="C7" s="255" t="s">
        <v>259</v>
      </c>
    </row>
    <row r="8" ht="54.75" customHeight="1">
      <c r="A8" s="256"/>
      <c r="C8" s="256"/>
    </row>
    <row r="9" ht="54.75" customHeight="1">
      <c r="A9" s="256"/>
      <c r="C9" s="256"/>
    </row>
    <row r="10" ht="54.75" customHeight="1">
      <c r="A10" s="256"/>
      <c r="C10" s="256"/>
    </row>
    <row r="11" ht="54.75" customHeight="1">
      <c r="A11" s="256"/>
      <c r="C11" s="256"/>
    </row>
    <row r="12" ht="54.75" customHeight="1">
      <c r="A12" s="256"/>
      <c r="C12" s="256"/>
    </row>
    <row r="13" ht="54.75" customHeight="1">
      <c r="A13" s="256"/>
      <c r="C13" s="256"/>
    </row>
    <row r="14" ht="54.75" customHeight="1">
      <c r="A14" s="256"/>
      <c r="C14" s="256"/>
    </row>
    <row r="15" ht="54.75" customHeight="1">
      <c r="A15" s="256"/>
      <c r="C15" s="256"/>
    </row>
    <row r="16" ht="54.75" customHeight="1">
      <c r="A16" s="256"/>
      <c r="C16" s="256"/>
    </row>
    <row r="17" ht="54.75" customHeight="1">
      <c r="A17" s="256"/>
      <c r="C17" s="256"/>
    </row>
    <row r="18" ht="54.75" customHeight="1">
      <c r="A18" s="256"/>
      <c r="C18" s="256"/>
    </row>
    <row r="19" ht="54.75" customHeight="1">
      <c r="A19" s="256"/>
      <c r="C19" s="256"/>
    </row>
    <row r="20" ht="54.75" customHeight="1">
      <c r="A20" s="256"/>
      <c r="C20" s="256"/>
    </row>
    <row r="21" ht="54.75" customHeight="1">
      <c r="A21" s="256"/>
      <c r="C21" s="256"/>
    </row>
    <row r="22" ht="54.75" customHeight="1">
      <c r="A22" s="256"/>
      <c r="C22" s="256"/>
    </row>
    <row r="23" ht="54.75" customHeight="1">
      <c r="A23" s="256"/>
      <c r="C23" s="256"/>
    </row>
    <row r="24" ht="54.75" customHeight="1">
      <c r="A24" s="257"/>
      <c r="C24" s="257"/>
    </row>
    <row r="25" ht="54.75" customHeight="1">
      <c r="A25" s="258" t="s">
        <v>260</v>
      </c>
      <c r="C25" s="258" t="s">
        <v>261</v>
      </c>
    </row>
    <row r="26" ht="54.75" customHeight="1">
      <c r="A26" s="256"/>
      <c r="C26" s="256"/>
    </row>
    <row r="27" ht="54.75" customHeight="1">
      <c r="A27" s="256"/>
      <c r="C27" s="256"/>
    </row>
    <row r="28" ht="54.75" customHeight="1">
      <c r="A28" s="257"/>
      <c r="C28" s="257"/>
    </row>
    <row r="29" ht="54.75" customHeight="1"/>
    <row r="30" ht="54.75" customHeight="1">
      <c r="A30" s="255" t="s">
        <v>262</v>
      </c>
      <c r="C30" s="255" t="s">
        <v>263</v>
      </c>
    </row>
    <row r="31" ht="54.75" customHeight="1">
      <c r="A31" s="256"/>
      <c r="C31" s="256"/>
    </row>
    <row r="32" ht="54.75" customHeight="1">
      <c r="A32" s="256"/>
      <c r="C32" s="256"/>
    </row>
    <row r="33" ht="54.75" customHeight="1">
      <c r="A33" s="256"/>
      <c r="C33" s="256"/>
    </row>
    <row r="34" ht="54.75" customHeight="1">
      <c r="A34" s="256"/>
      <c r="C34" s="256"/>
    </row>
    <row r="35" ht="54.75" customHeight="1">
      <c r="A35" s="256"/>
      <c r="C35" s="256"/>
    </row>
    <row r="36" ht="54.75" customHeight="1">
      <c r="A36" s="256"/>
      <c r="C36" s="256"/>
    </row>
    <row r="37" ht="54.75" customHeight="1">
      <c r="A37" s="256"/>
      <c r="C37" s="256"/>
    </row>
    <row r="38" ht="54.75" customHeight="1">
      <c r="A38" s="256"/>
      <c r="C38" s="256"/>
    </row>
    <row r="39" ht="54.75" customHeight="1">
      <c r="A39" s="256"/>
      <c r="C39" s="256"/>
    </row>
    <row r="40" ht="54.75" customHeight="1">
      <c r="A40" s="256"/>
      <c r="C40" s="256"/>
    </row>
    <row r="41" ht="54.75" customHeight="1">
      <c r="A41" s="256"/>
      <c r="C41" s="256"/>
    </row>
    <row r="42" ht="54.75" customHeight="1">
      <c r="A42" s="256"/>
      <c r="C42" s="256"/>
    </row>
    <row r="43" ht="54.75" customHeight="1">
      <c r="A43" s="256"/>
      <c r="C43" s="256"/>
    </row>
    <row r="44" ht="54.75" customHeight="1">
      <c r="A44" s="256"/>
      <c r="C44" s="256"/>
    </row>
    <row r="45" ht="54.75" customHeight="1">
      <c r="A45" s="256"/>
      <c r="C45" s="256"/>
    </row>
    <row r="46" ht="54.75" customHeight="1">
      <c r="A46" s="256"/>
      <c r="C46" s="256"/>
    </row>
    <row r="47" ht="54.75" customHeight="1">
      <c r="A47" s="257"/>
      <c r="C47" s="257"/>
    </row>
    <row r="48" ht="54.75" customHeight="1">
      <c r="A48" s="258" t="s">
        <v>264</v>
      </c>
      <c r="C48" s="258" t="s">
        <v>265</v>
      </c>
    </row>
    <row r="49" ht="54.75" customHeight="1">
      <c r="A49" s="256"/>
      <c r="C49" s="256"/>
    </row>
    <row r="50" ht="54.75" customHeight="1">
      <c r="A50" s="256"/>
      <c r="C50" s="256"/>
    </row>
    <row r="51" ht="54.75" customHeight="1">
      <c r="A51" s="257"/>
      <c r="C51" s="257"/>
    </row>
    <row r="52" ht="54.75" customHeight="1"/>
    <row r="53" ht="54.75" customHeight="1">
      <c r="A53" s="255" t="s">
        <v>266</v>
      </c>
      <c r="C53" s="255" t="s">
        <v>267</v>
      </c>
    </row>
    <row r="54" ht="54.75" customHeight="1">
      <c r="A54" s="256"/>
      <c r="C54" s="256"/>
    </row>
    <row r="55" ht="54.75" customHeight="1">
      <c r="A55" s="256"/>
      <c r="C55" s="256"/>
    </row>
    <row r="56" ht="54.75" customHeight="1">
      <c r="A56" s="256"/>
      <c r="C56" s="256"/>
    </row>
    <row r="57" ht="54.75" customHeight="1">
      <c r="A57" s="256"/>
      <c r="C57" s="256"/>
    </row>
    <row r="58" ht="54.75" customHeight="1">
      <c r="A58" s="256"/>
      <c r="C58" s="256"/>
    </row>
    <row r="59" ht="54.75" customHeight="1">
      <c r="A59" s="256"/>
      <c r="C59" s="256"/>
    </row>
    <row r="60" ht="54.75" customHeight="1">
      <c r="A60" s="256"/>
      <c r="C60" s="256"/>
    </row>
    <row r="61" ht="54.75" customHeight="1">
      <c r="A61" s="256"/>
      <c r="C61" s="256"/>
    </row>
    <row r="62" ht="54.75" customHeight="1">
      <c r="A62" s="256"/>
      <c r="C62" s="256"/>
    </row>
    <row r="63" ht="54.75" customHeight="1">
      <c r="A63" s="256"/>
      <c r="C63" s="256"/>
    </row>
    <row r="64" ht="54.75" customHeight="1">
      <c r="A64" s="256"/>
      <c r="C64" s="256"/>
    </row>
    <row r="65" ht="54.75" customHeight="1">
      <c r="A65" s="256"/>
      <c r="C65" s="256"/>
    </row>
    <row r="66" ht="54.75" customHeight="1">
      <c r="A66" s="256"/>
      <c r="C66" s="256"/>
    </row>
    <row r="67" ht="54.75" customHeight="1">
      <c r="A67" s="256"/>
      <c r="C67" s="256"/>
    </row>
    <row r="68" ht="54.75" customHeight="1">
      <c r="A68" s="256"/>
      <c r="C68" s="256"/>
    </row>
    <row r="69" ht="54.75" customHeight="1">
      <c r="A69" s="256"/>
      <c r="C69" s="256"/>
    </row>
    <row r="70" ht="54.75" customHeight="1">
      <c r="A70" s="257"/>
      <c r="C70" s="257"/>
    </row>
    <row r="71" ht="54.75" customHeight="1">
      <c r="A71" s="258" t="s">
        <v>268</v>
      </c>
      <c r="C71" s="258" t="s">
        <v>269</v>
      </c>
    </row>
    <row r="72" ht="54.75" customHeight="1">
      <c r="A72" s="256"/>
      <c r="C72" s="256"/>
    </row>
    <row r="73" ht="54.75" customHeight="1">
      <c r="A73" s="256"/>
      <c r="C73" s="256"/>
    </row>
    <row r="74" ht="54.75" customHeight="1">
      <c r="A74" s="257"/>
      <c r="C74" s="257"/>
    </row>
    <row r="75" ht="54.75" customHeight="1"/>
    <row r="76" ht="54.75" customHeight="1">
      <c r="A76" s="255" t="s">
        <v>270</v>
      </c>
      <c r="C76" s="255" t="s">
        <v>271</v>
      </c>
    </row>
    <row r="77" ht="54.75" customHeight="1">
      <c r="A77" s="256"/>
      <c r="C77" s="256"/>
    </row>
    <row r="78" ht="54.75" customHeight="1">
      <c r="A78" s="256"/>
      <c r="C78" s="256"/>
    </row>
    <row r="79" ht="54.75" customHeight="1">
      <c r="A79" s="256"/>
      <c r="C79" s="256"/>
    </row>
    <row r="80" ht="54.75" customHeight="1">
      <c r="A80" s="256"/>
      <c r="C80" s="256"/>
    </row>
    <row r="81" ht="54.75" customHeight="1">
      <c r="A81" s="256"/>
      <c r="C81" s="256"/>
    </row>
    <row r="82" ht="54.75" customHeight="1">
      <c r="A82" s="256"/>
      <c r="C82" s="256"/>
    </row>
    <row r="83" ht="54.75" customHeight="1">
      <c r="A83" s="256"/>
      <c r="C83" s="256"/>
    </row>
    <row r="84" ht="54.75" customHeight="1">
      <c r="A84" s="256"/>
      <c r="C84" s="256"/>
    </row>
    <row r="85" ht="54.75" customHeight="1">
      <c r="A85" s="256"/>
      <c r="C85" s="256"/>
    </row>
    <row r="86" ht="54.75" customHeight="1">
      <c r="A86" s="256"/>
      <c r="C86" s="256"/>
    </row>
    <row r="87" ht="54.75" customHeight="1">
      <c r="A87" s="256"/>
      <c r="C87" s="256"/>
    </row>
    <row r="88" ht="54.75" customHeight="1">
      <c r="A88" s="256"/>
      <c r="C88" s="256"/>
    </row>
    <row r="89" ht="54.75" customHeight="1">
      <c r="A89" s="256"/>
      <c r="C89" s="256"/>
    </row>
    <row r="90" ht="54.75" customHeight="1">
      <c r="A90" s="256"/>
      <c r="C90" s="256"/>
    </row>
    <row r="91" ht="54.75" customHeight="1">
      <c r="A91" s="256"/>
      <c r="C91" s="256"/>
    </row>
    <row r="92" ht="54.75" customHeight="1">
      <c r="A92" s="256"/>
      <c r="C92" s="256"/>
    </row>
    <row r="93" ht="54.75" customHeight="1">
      <c r="A93" s="257"/>
      <c r="C93" s="257"/>
    </row>
    <row r="94" ht="54.75" customHeight="1">
      <c r="A94" s="258" t="s">
        <v>272</v>
      </c>
      <c r="C94" s="258" t="s">
        <v>273</v>
      </c>
    </row>
    <row r="95" ht="54.75" customHeight="1">
      <c r="A95" s="256"/>
      <c r="C95" s="256"/>
    </row>
    <row r="96" ht="54.75" customHeight="1">
      <c r="A96" s="256"/>
      <c r="C96" s="256"/>
    </row>
    <row r="97" ht="54.75" customHeight="1">
      <c r="A97" s="257"/>
      <c r="C97" s="257"/>
    </row>
    <row r="98" ht="54.75" customHeight="1"/>
    <row r="99" ht="54.75" customHeight="1">
      <c r="A99" s="255" t="s">
        <v>274</v>
      </c>
      <c r="C99" s="255" t="s">
        <v>275</v>
      </c>
    </row>
    <row r="100" ht="54.75" customHeight="1">
      <c r="A100" s="256"/>
      <c r="C100" s="256"/>
    </row>
    <row r="101" ht="54.75" customHeight="1">
      <c r="A101" s="256"/>
      <c r="C101" s="256"/>
    </row>
    <row r="102" ht="54.75" customHeight="1">
      <c r="A102" s="256"/>
      <c r="C102" s="256"/>
    </row>
    <row r="103" ht="54.75" customHeight="1">
      <c r="A103" s="256"/>
      <c r="C103" s="256"/>
    </row>
    <row r="104" ht="54.75" customHeight="1">
      <c r="A104" s="256"/>
      <c r="C104" s="256"/>
    </row>
    <row r="105" ht="54.75" customHeight="1">
      <c r="A105" s="256"/>
      <c r="C105" s="256"/>
    </row>
    <row r="106" ht="54.75" customHeight="1">
      <c r="A106" s="256"/>
      <c r="C106" s="256"/>
    </row>
    <row r="107" ht="54.75" customHeight="1">
      <c r="A107" s="256"/>
      <c r="C107" s="256"/>
    </row>
    <row r="108" ht="54.75" customHeight="1">
      <c r="A108" s="256"/>
      <c r="C108" s="256"/>
    </row>
    <row r="109" ht="54.75" customHeight="1">
      <c r="A109" s="256"/>
      <c r="C109" s="256"/>
    </row>
    <row r="110" ht="54.75" customHeight="1">
      <c r="A110" s="256"/>
      <c r="C110" s="256"/>
    </row>
    <row r="111" ht="54.75" customHeight="1">
      <c r="A111" s="256"/>
      <c r="C111" s="256"/>
    </row>
    <row r="112" ht="54.75" customHeight="1">
      <c r="A112" s="256"/>
      <c r="C112" s="256"/>
    </row>
    <row r="113" ht="54.75" customHeight="1">
      <c r="A113" s="256"/>
      <c r="C113" s="256"/>
    </row>
    <row r="114" ht="54.75" customHeight="1">
      <c r="A114" s="256"/>
      <c r="C114" s="256"/>
    </row>
    <row r="115" ht="54.75" customHeight="1">
      <c r="A115" s="256"/>
      <c r="C115" s="256"/>
    </row>
    <row r="116" ht="54.75" customHeight="1">
      <c r="A116" s="257"/>
      <c r="C116" s="257"/>
    </row>
    <row r="117" ht="54.75" customHeight="1">
      <c r="A117" s="258" t="s">
        <v>276</v>
      </c>
      <c r="C117" s="258" t="s">
        <v>277</v>
      </c>
    </row>
    <row r="118" ht="54.75" customHeight="1">
      <c r="A118" s="256"/>
      <c r="C118" s="256"/>
    </row>
    <row r="119" ht="54.75" customHeight="1">
      <c r="A119" s="256"/>
      <c r="C119" s="256"/>
    </row>
    <row r="120" ht="54.75" customHeight="1">
      <c r="A120" s="257"/>
      <c r="C120" s="257"/>
    </row>
    <row r="121" ht="54.75" customHeight="1"/>
    <row r="122" ht="54.75" customHeight="1">
      <c r="A122" s="255" t="s">
        <v>278</v>
      </c>
      <c r="C122" s="255" t="s">
        <v>279</v>
      </c>
    </row>
    <row r="123" ht="54.75" customHeight="1">
      <c r="A123" s="256"/>
      <c r="C123" s="256"/>
    </row>
    <row r="124" ht="54.75" customHeight="1">
      <c r="A124" s="256"/>
      <c r="C124" s="256"/>
    </row>
    <row r="125" ht="54.75" customHeight="1">
      <c r="A125" s="256"/>
      <c r="C125" s="256"/>
    </row>
    <row r="126" ht="54.75" customHeight="1">
      <c r="A126" s="256"/>
      <c r="C126" s="256"/>
    </row>
    <row r="127" ht="54.75" customHeight="1">
      <c r="A127" s="256"/>
      <c r="C127" s="256"/>
    </row>
    <row r="128" ht="54.75" customHeight="1">
      <c r="A128" s="256"/>
      <c r="C128" s="256"/>
    </row>
    <row r="129" ht="54.75" customHeight="1">
      <c r="A129" s="256"/>
      <c r="C129" s="256"/>
    </row>
    <row r="130" ht="54.75" customHeight="1">
      <c r="A130" s="256"/>
      <c r="C130" s="256"/>
    </row>
    <row r="131" ht="54.75" customHeight="1">
      <c r="A131" s="256"/>
      <c r="C131" s="256"/>
    </row>
    <row r="132" ht="54.75" customHeight="1">
      <c r="A132" s="256"/>
      <c r="C132" s="256"/>
    </row>
    <row r="133" ht="54.75" customHeight="1">
      <c r="A133" s="256"/>
      <c r="C133" s="256"/>
    </row>
    <row r="134" ht="54.75" customHeight="1">
      <c r="A134" s="256"/>
      <c r="C134" s="256"/>
    </row>
    <row r="135" ht="54.75" customHeight="1">
      <c r="A135" s="256"/>
      <c r="C135" s="256"/>
    </row>
    <row r="136" ht="54.75" customHeight="1">
      <c r="A136" s="256"/>
      <c r="C136" s="256"/>
    </row>
    <row r="137" ht="54.75" customHeight="1">
      <c r="A137" s="256"/>
      <c r="C137" s="256"/>
    </row>
    <row r="138" ht="54.75" customHeight="1">
      <c r="A138" s="256"/>
      <c r="C138" s="256"/>
    </row>
    <row r="139" ht="54.75" customHeight="1">
      <c r="A139" s="257"/>
      <c r="C139" s="257"/>
    </row>
    <row r="140" ht="54.75" customHeight="1">
      <c r="A140" s="258" t="s">
        <v>280</v>
      </c>
      <c r="C140" s="258" t="s">
        <v>281</v>
      </c>
    </row>
    <row r="141" ht="54.75" customHeight="1">
      <c r="A141" s="256"/>
      <c r="C141" s="256"/>
    </row>
    <row r="142" ht="54.75" customHeight="1">
      <c r="A142" s="256"/>
      <c r="C142" s="256"/>
    </row>
    <row r="143" ht="54.75" customHeight="1">
      <c r="A143" s="257"/>
      <c r="C143" s="257"/>
    </row>
    <row r="144" ht="54.75" customHeight="1"/>
    <row r="145" ht="54.75" customHeight="1"/>
    <row r="146" ht="54.75" customHeight="1">
      <c r="A146" s="259" t="s">
        <v>282</v>
      </c>
      <c r="B146" s="260"/>
      <c r="C146" s="260"/>
    </row>
    <row r="147" ht="54.75" customHeight="1"/>
    <row r="148" ht="54.75" customHeight="1"/>
    <row r="149" ht="54.75" customHeight="1"/>
    <row r="150" ht="54.75" customHeight="1"/>
    <row r="151" ht="54.75" customHeight="1"/>
    <row r="152" ht="54.75" customHeight="1"/>
    <row r="153" ht="54.75" customHeight="1"/>
    <row r="154" ht="54.75" customHeight="1"/>
    <row r="155" ht="54.75" customHeight="1"/>
    <row r="156" ht="54.75" customHeight="1"/>
    <row r="157" ht="54.75" customHeight="1"/>
    <row r="158" ht="54.75" customHeight="1"/>
    <row r="159" ht="54.75" customHeight="1"/>
    <row r="160" ht="54.75" customHeight="1"/>
    <row r="161" ht="54.75" customHeight="1"/>
    <row r="162" ht="54.75" customHeight="1"/>
    <row r="163" ht="54.75" customHeight="1"/>
    <row r="164" ht="54.75" customHeight="1"/>
    <row r="165" ht="54.75" customHeight="1"/>
    <row r="166" ht="54.75" customHeight="1"/>
    <row r="167" ht="54.75" customHeight="1"/>
    <row r="168" ht="54.75" customHeight="1"/>
    <row r="169" ht="54.75" customHeight="1"/>
    <row r="170" ht="54.75" customHeight="1"/>
    <row r="171" ht="54.75" customHeight="1"/>
    <row r="172" ht="54.75" customHeight="1"/>
    <row r="173" ht="54.75" customHeight="1"/>
    <row r="174" ht="54.75" customHeight="1"/>
    <row r="175" ht="54.75" customHeight="1"/>
    <row r="176" ht="54.75" customHeight="1"/>
    <row r="177" ht="54.75" customHeight="1"/>
    <row r="178" ht="54.75" customHeight="1"/>
    <row r="179" ht="54.75" customHeight="1"/>
    <row r="180" ht="54.75" customHeight="1"/>
    <row r="181" ht="54.75" customHeight="1"/>
    <row r="182" ht="54.75" customHeight="1"/>
    <row r="183" ht="54.75" customHeight="1"/>
    <row r="184" ht="54.75" customHeight="1"/>
    <row r="185" ht="54.75" customHeight="1"/>
    <row r="186" ht="54.75" customHeight="1"/>
    <row r="187" ht="54.75" customHeight="1"/>
    <row r="188" ht="54.75" customHeight="1"/>
    <row r="189" ht="54.75" customHeight="1"/>
    <row r="190" ht="54.75" customHeight="1"/>
    <row r="191" ht="54.75" customHeight="1"/>
    <row r="192" ht="54.75" customHeight="1"/>
    <row r="193" ht="54.75" customHeight="1"/>
    <row r="194" ht="54.75" customHeight="1"/>
    <row r="195" ht="54.75" customHeight="1"/>
    <row r="196" ht="54.75" customHeight="1"/>
    <row r="197" ht="54.75" customHeight="1"/>
    <row r="198" ht="54.75" customHeight="1"/>
    <row r="199" ht="54.75" customHeight="1"/>
    <row r="200" ht="54.75" customHeight="1"/>
    <row r="201" ht="54.75" customHeight="1"/>
    <row r="202" ht="54.75" customHeight="1"/>
    <row r="203" ht="54.75" customHeight="1"/>
    <row r="204" ht="54.75" customHeight="1"/>
    <row r="205" ht="54.75" customHeight="1"/>
    <row r="206" ht="54.75" customHeight="1"/>
    <row r="207" ht="54.75" customHeight="1"/>
    <row r="208" ht="54.75" customHeight="1"/>
    <row r="209" ht="54.75" customHeight="1"/>
    <row r="210" ht="54.75" customHeight="1"/>
    <row r="211" ht="54.75" customHeight="1"/>
    <row r="212" ht="54.75" customHeight="1"/>
    <row r="213" ht="54.75" customHeight="1"/>
    <row r="214" ht="54.75" customHeight="1"/>
    <row r="215" ht="54.75" customHeight="1"/>
    <row r="216" ht="54.75" customHeight="1"/>
    <row r="217" ht="54.75" customHeight="1"/>
    <row r="218" ht="54.75" customHeight="1"/>
    <row r="219" ht="54.75" customHeight="1"/>
    <row r="220" ht="54.75" customHeight="1"/>
    <row r="221" ht="54.75" customHeight="1"/>
    <row r="222" ht="54.75" customHeight="1"/>
    <row r="223" ht="54.75" customHeight="1"/>
    <row r="224" ht="54.75" customHeight="1"/>
    <row r="225" ht="54.75" customHeight="1"/>
    <row r="226" ht="54.75" customHeight="1"/>
    <row r="227" ht="54.75" customHeight="1"/>
    <row r="228" ht="54.75" customHeight="1"/>
    <row r="229" ht="54.75" customHeight="1"/>
    <row r="230" ht="54.75" customHeight="1"/>
    <row r="231" ht="54.75" customHeight="1"/>
    <row r="232" ht="54.75" customHeight="1"/>
    <row r="233" ht="54.75" customHeight="1"/>
    <row r="234" ht="54.75" customHeight="1"/>
    <row r="235" ht="54.75" customHeight="1"/>
    <row r="236" ht="54.75" customHeight="1"/>
    <row r="237" ht="54.75" customHeight="1"/>
    <row r="238" ht="54.75" customHeight="1"/>
    <row r="239" ht="54.75" customHeight="1"/>
    <row r="240" ht="54.75" customHeight="1"/>
    <row r="241" ht="54.75" customHeight="1"/>
    <row r="242" ht="54.75" customHeight="1"/>
    <row r="243" ht="54.75" customHeight="1"/>
    <row r="244" ht="54.75" customHeight="1"/>
    <row r="245" ht="54.75" customHeight="1"/>
    <row r="246" ht="54.75" customHeight="1"/>
    <row r="247" ht="54.75" customHeight="1"/>
    <row r="248" ht="54.75" customHeight="1"/>
    <row r="249" ht="54.75" customHeight="1"/>
    <row r="250" ht="54.75" customHeight="1"/>
    <row r="251" ht="54.75" customHeight="1"/>
    <row r="252" ht="54.75" customHeight="1"/>
    <row r="253" ht="54.75" customHeight="1"/>
    <row r="254" ht="54.75" customHeight="1"/>
    <row r="255" ht="54.75" customHeight="1"/>
    <row r="256" ht="54.75" customHeight="1"/>
    <row r="257" ht="54.75" customHeight="1"/>
    <row r="258" ht="54.75" customHeight="1"/>
    <row r="259" ht="54.75" customHeight="1"/>
    <row r="260" ht="54.75" customHeight="1"/>
    <row r="261" ht="54.75" customHeight="1"/>
    <row r="262" ht="54.75" customHeight="1"/>
    <row r="263" ht="54.75" customHeight="1"/>
    <row r="264" ht="54.75" customHeight="1"/>
    <row r="265" ht="54.75" customHeight="1"/>
    <row r="266" ht="54.75" customHeight="1"/>
    <row r="267" ht="54.75" customHeight="1"/>
    <row r="268" ht="54.75" customHeight="1"/>
    <row r="269" ht="54.75" customHeight="1"/>
    <row r="270" ht="54.75" customHeight="1"/>
    <row r="271" ht="54.75" customHeight="1"/>
    <row r="272" ht="54.75" customHeight="1"/>
    <row r="273" ht="54.75" customHeight="1"/>
    <row r="274" ht="54.75" customHeight="1"/>
    <row r="275" ht="54.75" customHeight="1"/>
    <row r="276" ht="54.75" customHeight="1"/>
    <row r="277" ht="54.75" customHeight="1"/>
    <row r="278" ht="54.75" customHeight="1"/>
    <row r="279" ht="54.75" customHeight="1"/>
    <row r="280" ht="54.75" customHeight="1"/>
    <row r="281" ht="54.75" customHeight="1"/>
    <row r="282" ht="54.75" customHeight="1"/>
    <row r="283" ht="54.75" customHeight="1"/>
    <row r="284" ht="54.75" customHeight="1"/>
    <row r="285" ht="54.75" customHeight="1"/>
    <row r="286" ht="54.75" customHeight="1"/>
    <row r="287" ht="54.75" customHeight="1"/>
    <row r="288" ht="54.75" customHeight="1"/>
    <row r="289" ht="54.75" customHeight="1"/>
    <row r="290" ht="54.75" customHeight="1"/>
    <row r="291" ht="54.75" customHeight="1"/>
    <row r="292" ht="54.75" customHeight="1"/>
    <row r="293" ht="54.75" customHeight="1"/>
    <row r="294" ht="54.75" customHeight="1"/>
    <row r="295" ht="54.75" customHeight="1"/>
    <row r="296" ht="54.75" customHeight="1"/>
    <row r="297" ht="54.75" customHeight="1"/>
    <row r="298" ht="54.75" customHeight="1"/>
    <row r="299" ht="54.75" customHeight="1"/>
    <row r="300" ht="54.75" customHeight="1"/>
    <row r="301" ht="54.75" customHeight="1"/>
    <row r="302" ht="54.75" customHeight="1"/>
    <row r="303" ht="54.75" customHeight="1"/>
    <row r="304" ht="54.75" customHeight="1"/>
    <row r="305" ht="54.75" customHeight="1"/>
    <row r="306" ht="54.75" customHeight="1"/>
    <row r="307" ht="54.75" customHeight="1"/>
    <row r="308" ht="54.75" customHeight="1"/>
    <row r="309" ht="54.75" customHeight="1"/>
    <row r="310" ht="54.75" customHeight="1"/>
    <row r="311" ht="54.75" customHeight="1"/>
    <row r="312" ht="54.75" customHeight="1"/>
    <row r="313" ht="54.75" customHeight="1"/>
    <row r="314" ht="54.75" customHeight="1"/>
    <row r="315" ht="54.75" customHeight="1"/>
    <row r="316" ht="54.75" customHeight="1"/>
    <row r="317" ht="54.75" customHeight="1"/>
    <row r="318" ht="54.75" customHeight="1"/>
    <row r="319" ht="54.75" customHeight="1"/>
    <row r="320" ht="54.75" customHeight="1"/>
    <row r="321" ht="54.75" customHeight="1"/>
    <row r="322" ht="54.75" customHeight="1"/>
    <row r="323" ht="54.75" customHeight="1"/>
    <row r="324" ht="54.75" customHeight="1"/>
    <row r="325" ht="54.75" customHeight="1"/>
    <row r="326" ht="54.75" customHeight="1"/>
    <row r="327" ht="54.75" customHeight="1"/>
    <row r="328" ht="54.75" customHeight="1"/>
    <row r="329" ht="54.75" customHeight="1"/>
    <row r="330" ht="54.75" customHeight="1"/>
    <row r="331" ht="54.75" customHeight="1"/>
    <row r="332" ht="54.75" customHeight="1"/>
    <row r="333" ht="54.75" customHeight="1"/>
    <row r="334" ht="54.75" customHeight="1"/>
    <row r="335" ht="54.75" customHeight="1"/>
    <row r="336" ht="54.75" customHeight="1"/>
    <row r="337" ht="54.75" customHeight="1"/>
    <row r="338" ht="54.75" customHeight="1"/>
    <row r="339" ht="54.75" customHeight="1"/>
    <row r="340" ht="54.75" customHeight="1"/>
    <row r="341" ht="54.75" customHeight="1"/>
    <row r="342" ht="54.75" customHeight="1"/>
    <row r="343" ht="54.75" customHeight="1"/>
    <row r="344" ht="54.75" customHeight="1"/>
    <row r="345" ht="54.75" customHeight="1"/>
    <row r="346" ht="54.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9">
    <mergeCell ref="A1:C1"/>
    <mergeCell ref="A2:C2"/>
    <mergeCell ref="A4:C4"/>
    <mergeCell ref="A5:C5"/>
    <mergeCell ref="A7:A24"/>
    <mergeCell ref="C7:C24"/>
    <mergeCell ref="C25:C28"/>
    <mergeCell ref="C53:C70"/>
    <mergeCell ref="C71:C74"/>
    <mergeCell ref="A25:A28"/>
    <mergeCell ref="A30:A47"/>
    <mergeCell ref="C30:C47"/>
    <mergeCell ref="A48:A51"/>
    <mergeCell ref="C48:C51"/>
    <mergeCell ref="A53:A70"/>
    <mergeCell ref="A71:A74"/>
    <mergeCell ref="A117:A120"/>
    <mergeCell ref="A122:A139"/>
    <mergeCell ref="C122:C139"/>
    <mergeCell ref="A140:A143"/>
    <mergeCell ref="C140:C143"/>
    <mergeCell ref="A146:C146"/>
    <mergeCell ref="A76:A93"/>
    <mergeCell ref="C76:C93"/>
    <mergeCell ref="A94:A97"/>
    <mergeCell ref="C94:C97"/>
    <mergeCell ref="A99:A116"/>
    <mergeCell ref="C99:C116"/>
    <mergeCell ref="C117:C120"/>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14"/>
    <col customWidth="1" min="2" max="2" width="3.0"/>
    <col customWidth="1" min="3" max="3" width="52.86"/>
    <col customWidth="1" min="4" max="6" width="10.71"/>
  </cols>
  <sheetData>
    <row r="1">
      <c r="A1" s="261" t="s">
        <v>252</v>
      </c>
      <c r="B1" s="20"/>
      <c r="C1" s="20"/>
    </row>
    <row r="2" ht="41.25" customHeight="1">
      <c r="A2" s="262" t="s">
        <v>283</v>
      </c>
      <c r="B2" s="20"/>
      <c r="C2" s="20"/>
    </row>
    <row r="4">
      <c r="A4" s="252" t="s">
        <v>254</v>
      </c>
      <c r="B4" s="20"/>
      <c r="C4" s="20"/>
    </row>
    <row r="5">
      <c r="A5" s="253" t="s">
        <v>255</v>
      </c>
    </row>
    <row r="6">
      <c r="A6" s="254" t="s">
        <v>256</v>
      </c>
      <c r="C6" s="254" t="s">
        <v>257</v>
      </c>
    </row>
    <row r="7">
      <c r="A7" s="255" t="s">
        <v>258</v>
      </c>
      <c r="C7" s="255" t="s">
        <v>259</v>
      </c>
    </row>
    <row r="8">
      <c r="A8" s="256"/>
      <c r="C8" s="256"/>
    </row>
    <row r="9">
      <c r="A9" s="256"/>
      <c r="C9" s="256"/>
    </row>
    <row r="10">
      <c r="A10" s="256"/>
      <c r="C10" s="256"/>
    </row>
    <row r="11">
      <c r="A11" s="256"/>
      <c r="C11" s="256"/>
    </row>
    <row r="12">
      <c r="A12" s="256"/>
      <c r="C12" s="256"/>
    </row>
    <row r="13">
      <c r="A13" s="256"/>
      <c r="C13" s="256"/>
    </row>
    <row r="14">
      <c r="A14" s="256"/>
      <c r="C14" s="256"/>
    </row>
    <row r="15">
      <c r="A15" s="256"/>
      <c r="C15" s="256"/>
    </row>
    <row r="16">
      <c r="A16" s="256"/>
      <c r="C16" s="256"/>
    </row>
    <row r="17">
      <c r="A17" s="256"/>
      <c r="C17" s="256"/>
    </row>
    <row r="18">
      <c r="A18" s="256"/>
      <c r="C18" s="256"/>
    </row>
    <row r="19">
      <c r="A19" s="256"/>
      <c r="C19" s="256"/>
    </row>
    <row r="20">
      <c r="A20" s="256"/>
      <c r="C20" s="256"/>
    </row>
    <row r="21" ht="15.75" customHeight="1">
      <c r="A21" s="256"/>
      <c r="C21" s="256"/>
    </row>
    <row r="22" ht="15.75" customHeight="1">
      <c r="A22" s="256"/>
      <c r="C22" s="256"/>
    </row>
    <row r="23" ht="15.75" customHeight="1">
      <c r="A23" s="256"/>
      <c r="C23" s="256"/>
    </row>
    <row r="24" ht="15.75" customHeight="1">
      <c r="A24" s="257"/>
      <c r="C24" s="257"/>
    </row>
    <row r="25" ht="15.75" customHeight="1">
      <c r="A25" s="258" t="s">
        <v>260</v>
      </c>
      <c r="C25" s="258" t="s">
        <v>261</v>
      </c>
    </row>
    <row r="26" ht="15.75" customHeight="1">
      <c r="A26" s="256"/>
      <c r="C26" s="256"/>
    </row>
    <row r="27" ht="15.75" customHeight="1">
      <c r="A27" s="256"/>
      <c r="C27" s="256"/>
    </row>
    <row r="28" ht="15.75" customHeight="1">
      <c r="A28" s="257"/>
      <c r="C28" s="257"/>
    </row>
    <row r="29" ht="15.75" customHeight="1"/>
    <row r="30" ht="15.75" customHeight="1">
      <c r="A30" s="255" t="s">
        <v>262</v>
      </c>
      <c r="C30" s="255" t="s">
        <v>263</v>
      </c>
    </row>
    <row r="31" ht="15.75" customHeight="1">
      <c r="A31" s="256"/>
      <c r="C31" s="256"/>
    </row>
    <row r="32" ht="15.75" customHeight="1">
      <c r="A32" s="256"/>
      <c r="C32" s="256"/>
    </row>
    <row r="33" ht="15.75" customHeight="1">
      <c r="A33" s="256"/>
      <c r="C33" s="256"/>
    </row>
    <row r="34" ht="15.75" customHeight="1">
      <c r="A34" s="256"/>
      <c r="C34" s="256"/>
    </row>
    <row r="35" ht="15.75" customHeight="1">
      <c r="A35" s="256"/>
      <c r="C35" s="256"/>
    </row>
    <row r="36" ht="15.75" customHeight="1">
      <c r="A36" s="256"/>
      <c r="C36" s="256"/>
    </row>
    <row r="37" ht="15.75" customHeight="1">
      <c r="A37" s="256"/>
      <c r="C37" s="256"/>
    </row>
    <row r="38" ht="15.75" customHeight="1">
      <c r="A38" s="256"/>
      <c r="C38" s="256"/>
    </row>
    <row r="39" ht="15.75" customHeight="1">
      <c r="A39" s="256"/>
      <c r="C39" s="256"/>
    </row>
    <row r="40" ht="15.75" customHeight="1">
      <c r="A40" s="256"/>
      <c r="C40" s="256"/>
    </row>
    <row r="41" ht="15.75" customHeight="1">
      <c r="A41" s="256"/>
      <c r="C41" s="256"/>
    </row>
    <row r="42" ht="15.75" customHeight="1">
      <c r="A42" s="256"/>
      <c r="C42" s="256"/>
    </row>
    <row r="43" ht="15.75" customHeight="1">
      <c r="A43" s="256"/>
      <c r="C43" s="256"/>
    </row>
    <row r="44" ht="15.75" customHeight="1">
      <c r="A44" s="256"/>
      <c r="C44" s="256"/>
    </row>
    <row r="45" ht="15.75" customHeight="1">
      <c r="A45" s="256"/>
      <c r="C45" s="256"/>
    </row>
    <row r="46" ht="15.75" customHeight="1">
      <c r="A46" s="256"/>
      <c r="C46" s="256"/>
    </row>
    <row r="47" ht="15.75" customHeight="1">
      <c r="A47" s="257"/>
      <c r="C47" s="257"/>
    </row>
    <row r="48" ht="15.75" customHeight="1">
      <c r="A48" s="258" t="s">
        <v>264</v>
      </c>
      <c r="C48" s="258" t="s">
        <v>265</v>
      </c>
    </row>
    <row r="49" ht="15.75" customHeight="1">
      <c r="A49" s="256"/>
      <c r="C49" s="256"/>
    </row>
    <row r="50" ht="15.75" customHeight="1">
      <c r="A50" s="256"/>
      <c r="C50" s="256"/>
    </row>
    <row r="51" ht="15.75" customHeight="1">
      <c r="A51" s="257"/>
      <c r="C51" s="257"/>
    </row>
    <row r="52" ht="15.75" customHeight="1"/>
    <row r="53" ht="15.75" customHeight="1">
      <c r="A53" s="255" t="s">
        <v>266</v>
      </c>
      <c r="C53" s="255" t="s">
        <v>267</v>
      </c>
    </row>
    <row r="54" ht="15.75" customHeight="1">
      <c r="A54" s="256"/>
      <c r="C54" s="256"/>
    </row>
    <row r="55" ht="15.75" customHeight="1">
      <c r="A55" s="256"/>
      <c r="C55" s="256"/>
    </row>
    <row r="56" ht="15.75" customHeight="1">
      <c r="A56" s="256"/>
      <c r="C56" s="256"/>
    </row>
    <row r="57" ht="15.75" customHeight="1">
      <c r="A57" s="256"/>
      <c r="C57" s="256"/>
    </row>
    <row r="58" ht="15.75" customHeight="1">
      <c r="A58" s="256"/>
      <c r="C58" s="256"/>
    </row>
    <row r="59" ht="15.75" customHeight="1">
      <c r="A59" s="256"/>
      <c r="C59" s="256"/>
    </row>
    <row r="60" ht="15.75" customHeight="1">
      <c r="A60" s="256"/>
      <c r="C60" s="256"/>
    </row>
    <row r="61" ht="15.75" customHeight="1">
      <c r="A61" s="256"/>
      <c r="C61" s="256"/>
    </row>
    <row r="62" ht="15.75" customHeight="1">
      <c r="A62" s="256"/>
      <c r="C62" s="256"/>
    </row>
    <row r="63" ht="15.75" customHeight="1">
      <c r="A63" s="256"/>
      <c r="C63" s="256"/>
    </row>
    <row r="64" ht="15.75" customHeight="1">
      <c r="A64" s="256"/>
      <c r="C64" s="256"/>
    </row>
    <row r="65" ht="15.75" customHeight="1">
      <c r="A65" s="256"/>
      <c r="C65" s="256"/>
    </row>
    <row r="66" ht="15.75" customHeight="1">
      <c r="A66" s="256"/>
      <c r="C66" s="256"/>
    </row>
    <row r="67" ht="15.75" customHeight="1">
      <c r="A67" s="256"/>
      <c r="C67" s="256"/>
    </row>
    <row r="68" ht="15.75" customHeight="1">
      <c r="A68" s="256"/>
      <c r="C68" s="256"/>
    </row>
    <row r="69" ht="15.75" customHeight="1">
      <c r="A69" s="256"/>
      <c r="C69" s="256"/>
    </row>
    <row r="70" ht="15.75" customHeight="1">
      <c r="A70" s="257"/>
      <c r="C70" s="257"/>
    </row>
    <row r="71" ht="15.75" customHeight="1">
      <c r="A71" s="258" t="s">
        <v>268</v>
      </c>
      <c r="C71" s="258" t="s">
        <v>269</v>
      </c>
    </row>
    <row r="72" ht="15.75" customHeight="1">
      <c r="A72" s="256"/>
      <c r="C72" s="256"/>
    </row>
    <row r="73" ht="15.75" customHeight="1">
      <c r="A73" s="256"/>
      <c r="C73" s="256"/>
    </row>
    <row r="74" ht="15.75" customHeight="1">
      <c r="A74" s="257"/>
      <c r="C74" s="257"/>
    </row>
    <row r="75" ht="15.75" customHeight="1"/>
    <row r="76" ht="15.75" customHeight="1">
      <c r="A76" s="255" t="s">
        <v>270</v>
      </c>
      <c r="C76" s="255" t="s">
        <v>271</v>
      </c>
    </row>
    <row r="77" ht="15.75" customHeight="1">
      <c r="A77" s="256"/>
      <c r="C77" s="256"/>
    </row>
    <row r="78" ht="15.75" customHeight="1">
      <c r="A78" s="256"/>
      <c r="C78" s="256"/>
    </row>
    <row r="79" ht="15.75" customHeight="1">
      <c r="A79" s="256"/>
      <c r="C79" s="256"/>
    </row>
    <row r="80" ht="15.75" customHeight="1">
      <c r="A80" s="256"/>
      <c r="C80" s="256"/>
    </row>
    <row r="81" ht="15.75" customHeight="1">
      <c r="A81" s="256"/>
      <c r="C81" s="256"/>
    </row>
    <row r="82" ht="15.75" customHeight="1">
      <c r="A82" s="256"/>
      <c r="C82" s="256"/>
    </row>
    <row r="83" ht="15.75" customHeight="1">
      <c r="A83" s="256"/>
      <c r="C83" s="256"/>
    </row>
    <row r="84" ht="15.75" customHeight="1">
      <c r="A84" s="256"/>
      <c r="C84" s="256"/>
    </row>
    <row r="85" ht="15.75" customHeight="1">
      <c r="A85" s="256"/>
      <c r="C85" s="256"/>
    </row>
    <row r="86" ht="15.75" customHeight="1">
      <c r="A86" s="256"/>
      <c r="C86" s="256"/>
    </row>
    <row r="87" ht="15.75" customHeight="1">
      <c r="A87" s="256"/>
      <c r="C87" s="256"/>
    </row>
    <row r="88" ht="15.75" customHeight="1">
      <c r="A88" s="256"/>
      <c r="C88" s="256"/>
    </row>
    <row r="89" ht="15.75" customHeight="1">
      <c r="A89" s="256"/>
      <c r="C89" s="256"/>
    </row>
    <row r="90" ht="15.75" customHeight="1">
      <c r="A90" s="256"/>
      <c r="C90" s="256"/>
    </row>
    <row r="91" ht="15.75" customHeight="1">
      <c r="A91" s="256"/>
      <c r="C91" s="256"/>
    </row>
    <row r="92" ht="15.75" customHeight="1">
      <c r="A92" s="256"/>
      <c r="C92" s="256"/>
    </row>
    <row r="93" ht="15.75" customHeight="1">
      <c r="A93" s="257"/>
      <c r="C93" s="257"/>
    </row>
    <row r="94" ht="15.75" customHeight="1">
      <c r="A94" s="258" t="s">
        <v>272</v>
      </c>
      <c r="C94" s="258" t="s">
        <v>273</v>
      </c>
    </row>
    <row r="95" ht="15.75" customHeight="1">
      <c r="A95" s="256"/>
      <c r="C95" s="256"/>
    </row>
    <row r="96" ht="15.75" customHeight="1">
      <c r="A96" s="256"/>
      <c r="C96" s="256"/>
    </row>
    <row r="97" ht="15.75" customHeight="1">
      <c r="A97" s="257"/>
      <c r="C97" s="257"/>
    </row>
    <row r="98" ht="15.75" customHeight="1"/>
    <row r="99" ht="15.75" customHeight="1">
      <c r="A99" s="255" t="s">
        <v>274</v>
      </c>
      <c r="C99" s="255" t="s">
        <v>275</v>
      </c>
    </row>
    <row r="100" ht="15.75" customHeight="1">
      <c r="A100" s="256"/>
      <c r="C100" s="256"/>
    </row>
    <row r="101" ht="15.75" customHeight="1">
      <c r="A101" s="256"/>
      <c r="C101" s="256"/>
    </row>
    <row r="102" ht="15.75" customHeight="1">
      <c r="A102" s="256"/>
      <c r="C102" s="256"/>
    </row>
    <row r="103" ht="15.75" customHeight="1">
      <c r="A103" s="256"/>
      <c r="C103" s="256"/>
    </row>
    <row r="104" ht="15.75" customHeight="1">
      <c r="A104" s="256"/>
      <c r="C104" s="256"/>
    </row>
    <row r="105" ht="15.75" customHeight="1">
      <c r="A105" s="256"/>
      <c r="C105" s="256"/>
    </row>
    <row r="106" ht="15.75" customHeight="1">
      <c r="A106" s="256"/>
      <c r="C106" s="256"/>
    </row>
    <row r="107" ht="15.75" customHeight="1">
      <c r="A107" s="256"/>
      <c r="C107" s="256"/>
    </row>
    <row r="108" ht="15.75" customHeight="1">
      <c r="A108" s="256"/>
      <c r="C108" s="256"/>
    </row>
    <row r="109" ht="15.75" customHeight="1">
      <c r="A109" s="256"/>
      <c r="C109" s="256"/>
    </row>
    <row r="110" ht="15.75" customHeight="1">
      <c r="A110" s="256"/>
      <c r="C110" s="256"/>
    </row>
    <row r="111" ht="15.75" customHeight="1">
      <c r="A111" s="256"/>
      <c r="C111" s="256"/>
    </row>
    <row r="112" ht="15.75" customHeight="1">
      <c r="A112" s="256"/>
      <c r="C112" s="256"/>
    </row>
    <row r="113" ht="15.75" customHeight="1">
      <c r="A113" s="256"/>
      <c r="C113" s="256"/>
    </row>
    <row r="114" ht="15.75" customHeight="1">
      <c r="A114" s="256"/>
      <c r="C114" s="256"/>
    </row>
    <row r="115" ht="15.75" customHeight="1">
      <c r="A115" s="256"/>
      <c r="C115" s="256"/>
    </row>
    <row r="116" ht="15.75" customHeight="1">
      <c r="A116" s="257"/>
      <c r="C116" s="257"/>
    </row>
    <row r="117" ht="15.75" customHeight="1">
      <c r="A117" s="258" t="s">
        <v>276</v>
      </c>
      <c r="C117" s="258" t="s">
        <v>277</v>
      </c>
    </row>
    <row r="118" ht="15.75" customHeight="1">
      <c r="A118" s="256"/>
      <c r="C118" s="256"/>
    </row>
    <row r="119" ht="15.75" customHeight="1">
      <c r="A119" s="256"/>
      <c r="C119" s="256"/>
    </row>
    <row r="120" ht="15.75" customHeight="1">
      <c r="A120" s="257"/>
      <c r="C120" s="257"/>
    </row>
    <row r="121" ht="15.75" customHeight="1"/>
    <row r="122" ht="15.75" customHeight="1">
      <c r="A122" s="255" t="s">
        <v>278</v>
      </c>
      <c r="C122" s="255" t="s">
        <v>279</v>
      </c>
    </row>
    <row r="123" ht="15.75" customHeight="1">
      <c r="A123" s="256"/>
      <c r="C123" s="256"/>
    </row>
    <row r="124" ht="15.75" customHeight="1">
      <c r="A124" s="256"/>
      <c r="C124" s="256"/>
    </row>
    <row r="125" ht="15.75" customHeight="1">
      <c r="A125" s="256"/>
      <c r="C125" s="256"/>
    </row>
    <row r="126" ht="15.75" customHeight="1">
      <c r="A126" s="256"/>
      <c r="C126" s="256"/>
    </row>
    <row r="127" ht="15.75" customHeight="1">
      <c r="A127" s="256"/>
      <c r="C127" s="256"/>
    </row>
    <row r="128" ht="15.75" customHeight="1">
      <c r="A128" s="256"/>
      <c r="C128" s="256"/>
    </row>
    <row r="129" ht="15.75" customHeight="1">
      <c r="A129" s="256"/>
      <c r="C129" s="256"/>
    </row>
    <row r="130" ht="15.75" customHeight="1">
      <c r="A130" s="256"/>
      <c r="C130" s="256"/>
    </row>
    <row r="131" ht="15.75" customHeight="1">
      <c r="A131" s="256"/>
      <c r="C131" s="256"/>
    </row>
    <row r="132" ht="15.75" customHeight="1">
      <c r="A132" s="256"/>
      <c r="C132" s="256"/>
    </row>
    <row r="133" ht="15.75" customHeight="1">
      <c r="A133" s="256"/>
      <c r="C133" s="256"/>
    </row>
    <row r="134" ht="15.75" customHeight="1">
      <c r="A134" s="256"/>
      <c r="C134" s="256"/>
    </row>
    <row r="135" ht="15.75" customHeight="1">
      <c r="A135" s="256"/>
      <c r="C135" s="256"/>
    </row>
    <row r="136" ht="15.75" customHeight="1">
      <c r="A136" s="256"/>
      <c r="C136" s="256"/>
    </row>
    <row r="137" ht="15.75" customHeight="1">
      <c r="A137" s="256"/>
      <c r="C137" s="256"/>
    </row>
    <row r="138" ht="15.75" customHeight="1">
      <c r="A138" s="256"/>
      <c r="C138" s="256"/>
    </row>
    <row r="139" ht="15.75" customHeight="1">
      <c r="A139" s="257"/>
      <c r="C139" s="257"/>
    </row>
    <row r="140" ht="15.75" customHeight="1">
      <c r="A140" s="258" t="s">
        <v>280</v>
      </c>
      <c r="C140" s="258" t="s">
        <v>281</v>
      </c>
    </row>
    <row r="141" ht="15.75" customHeight="1">
      <c r="A141" s="256"/>
      <c r="C141" s="256"/>
    </row>
    <row r="142" ht="15.75" customHeight="1">
      <c r="A142" s="256"/>
      <c r="C142" s="256"/>
    </row>
    <row r="143" ht="15.75" customHeight="1">
      <c r="A143" s="257"/>
      <c r="C143" s="257"/>
    </row>
    <row r="144" ht="15.75" customHeight="1"/>
    <row r="145" ht="15.75" customHeight="1"/>
    <row r="146" ht="15.75" customHeight="1">
      <c r="A146" s="259" t="s">
        <v>282</v>
      </c>
      <c r="B146" s="260"/>
      <c r="C146" s="260"/>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9">
    <mergeCell ref="A1:C1"/>
    <mergeCell ref="A2:C2"/>
    <mergeCell ref="A4:C4"/>
    <mergeCell ref="A5:C5"/>
    <mergeCell ref="A7:A24"/>
    <mergeCell ref="C7:C24"/>
    <mergeCell ref="C25:C28"/>
    <mergeCell ref="C53:C70"/>
    <mergeCell ref="C71:C74"/>
    <mergeCell ref="A25:A28"/>
    <mergeCell ref="A30:A47"/>
    <mergeCell ref="C30:C47"/>
    <mergeCell ref="A48:A51"/>
    <mergeCell ref="C48:C51"/>
    <mergeCell ref="A53:A70"/>
    <mergeCell ref="A71:A74"/>
    <mergeCell ref="A117:A120"/>
    <mergeCell ref="A122:A139"/>
    <mergeCell ref="C122:C139"/>
    <mergeCell ref="A140:A143"/>
    <mergeCell ref="C140:C143"/>
    <mergeCell ref="A146:C146"/>
    <mergeCell ref="A76:A93"/>
    <mergeCell ref="C76:C93"/>
    <mergeCell ref="A94:A97"/>
    <mergeCell ref="C94:C97"/>
    <mergeCell ref="A99:A116"/>
    <mergeCell ref="C99:C116"/>
    <mergeCell ref="C117:C120"/>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0"/>
    <col customWidth="1" min="2" max="2" width="35.0"/>
    <col customWidth="1" min="3" max="4" width="25.0"/>
    <col customWidth="1" min="5" max="8" width="18.0"/>
    <col customWidth="1" min="9" max="10" width="40.0"/>
    <col customWidth="1" min="11" max="11" width="9.14"/>
    <col customWidth="1" min="12" max="12" width="23.29"/>
    <col customWidth="1" min="13" max="18" width="9.14"/>
  </cols>
  <sheetData>
    <row r="1">
      <c r="A1" s="263" t="s">
        <v>284</v>
      </c>
    </row>
    <row r="3">
      <c r="A3" s="264" t="s">
        <v>285</v>
      </c>
      <c r="B3" s="264" t="s">
        <v>286</v>
      </c>
      <c r="C3" s="264" t="s">
        <v>287</v>
      </c>
      <c r="D3" s="264" t="s">
        <v>288</v>
      </c>
      <c r="E3" s="264" t="s">
        <v>148</v>
      </c>
      <c r="F3" s="264" t="s">
        <v>289</v>
      </c>
      <c r="G3" s="264" t="s">
        <v>290</v>
      </c>
      <c r="H3" s="264" t="s">
        <v>291</v>
      </c>
      <c r="I3" s="264" t="s">
        <v>292</v>
      </c>
      <c r="J3" s="264" t="s">
        <v>248</v>
      </c>
      <c r="L3" s="265" t="s">
        <v>293</v>
      </c>
    </row>
    <row r="4">
      <c r="F4" s="266">
        <v>100.0</v>
      </c>
      <c r="G4" s="267">
        <f t="shared" ref="G4:G303" si="1">IF(F4=0,0,E4/F4)</f>
        <v>0</v>
      </c>
      <c r="H4" s="266" t="str">
        <f t="shared" ref="H4:H303" si="2">IF(G4&gt;=0.95,"EXCELENTE",IF(G4&gt;=0.85,"BUENO",IF(G4&gt;=0.7,"ACEPTABLE","CRÍTICO")))</f>
        <v>CRÍTICO</v>
      </c>
    </row>
    <row r="5">
      <c r="F5" s="266">
        <v>100.0</v>
      </c>
      <c r="G5" s="267">
        <f t="shared" si="1"/>
        <v>0</v>
      </c>
      <c r="H5" s="266" t="str">
        <f t="shared" si="2"/>
        <v>CRÍTICO</v>
      </c>
      <c r="L5" s="266" t="s">
        <v>294</v>
      </c>
      <c r="M5" s="268">
        <f>AVERAGE(G4:G303)</f>
        <v>0</v>
      </c>
      <c r="Q5" s="266" t="s">
        <v>295</v>
      </c>
      <c r="R5" s="266">
        <f>COUNTIF(H4:H303,"EXCELENTE")</f>
        <v>0</v>
      </c>
    </row>
    <row r="6">
      <c r="F6" s="266">
        <v>100.0</v>
      </c>
      <c r="G6" s="267">
        <f t="shared" si="1"/>
        <v>0</v>
      </c>
      <c r="H6" s="266" t="str">
        <f t="shared" si="2"/>
        <v>CRÍTICO</v>
      </c>
      <c r="L6" s="266" t="s">
        <v>296</v>
      </c>
      <c r="M6" s="268">
        <f>MAX(G4:G303)</f>
        <v>0</v>
      </c>
      <c r="Q6" s="266" t="s">
        <v>297</v>
      </c>
      <c r="R6" s="266">
        <f>COUNTIF(H4:H303,"BUENO")</f>
        <v>0</v>
      </c>
    </row>
    <row r="7">
      <c r="F7" s="266">
        <v>100.0</v>
      </c>
      <c r="G7" s="267">
        <f t="shared" si="1"/>
        <v>0</v>
      </c>
      <c r="H7" s="266" t="str">
        <f t="shared" si="2"/>
        <v>CRÍTICO</v>
      </c>
      <c r="L7" s="266" t="s">
        <v>298</v>
      </c>
      <c r="M7" s="268">
        <f>MIN(G4:G303)</f>
        <v>0</v>
      </c>
      <c r="Q7" s="266" t="s">
        <v>299</v>
      </c>
      <c r="R7" s="266">
        <f>COUNTIF(H4:H303,"ACEPTABLE")</f>
        <v>0</v>
      </c>
    </row>
    <row r="8">
      <c r="F8" s="266">
        <v>100.0</v>
      </c>
      <c r="G8" s="267">
        <f t="shared" si="1"/>
        <v>0</v>
      </c>
      <c r="H8" s="266" t="str">
        <f t="shared" si="2"/>
        <v>CRÍTICO</v>
      </c>
      <c r="L8" s="266" t="s">
        <v>300</v>
      </c>
      <c r="M8" s="266">
        <f>COUNTA(A4:A303)</f>
        <v>0</v>
      </c>
      <c r="Q8" s="266" t="s">
        <v>301</v>
      </c>
      <c r="R8" s="266">
        <f>COUNTIF(H4:H303,"CRÍTICO")</f>
        <v>300</v>
      </c>
    </row>
    <row r="9">
      <c r="F9" s="266">
        <v>100.0</v>
      </c>
      <c r="G9" s="267">
        <f t="shared" si="1"/>
        <v>0</v>
      </c>
      <c r="H9" s="266" t="str">
        <f t="shared" si="2"/>
        <v>CRÍTICO</v>
      </c>
      <c r="L9" s="266" t="s">
        <v>302</v>
      </c>
      <c r="M9" s="266">
        <f>COUNTIF(H4:H303,"CRÍTICO")</f>
        <v>300</v>
      </c>
    </row>
    <row r="10">
      <c r="F10" s="266">
        <v>100.0</v>
      </c>
      <c r="G10" s="267">
        <f t="shared" si="1"/>
        <v>0</v>
      </c>
      <c r="H10" s="266" t="str">
        <f t="shared" si="2"/>
        <v>CRÍTICO</v>
      </c>
      <c r="L10" s="266" t="s">
        <v>303</v>
      </c>
      <c r="M10" s="266">
        <f>COUNTIF(H4:H303,"EXCELENTE")</f>
        <v>0</v>
      </c>
    </row>
    <row r="11">
      <c r="F11" s="266">
        <v>100.0</v>
      </c>
      <c r="G11" s="267">
        <f t="shared" si="1"/>
        <v>0</v>
      </c>
      <c r="H11" s="266" t="str">
        <f t="shared" si="2"/>
        <v>CRÍTICO</v>
      </c>
    </row>
    <row r="12">
      <c r="F12" s="266">
        <v>100.0</v>
      </c>
      <c r="G12" s="267">
        <f t="shared" si="1"/>
        <v>0</v>
      </c>
      <c r="H12" s="266" t="str">
        <f t="shared" si="2"/>
        <v>CRÍTICO</v>
      </c>
    </row>
    <row r="13">
      <c r="F13" s="266">
        <v>100.0</v>
      </c>
      <c r="G13" s="267">
        <f t="shared" si="1"/>
        <v>0</v>
      </c>
      <c r="H13" s="266" t="str">
        <f t="shared" si="2"/>
        <v>CRÍTICO</v>
      </c>
    </row>
    <row r="14">
      <c r="F14" s="266">
        <v>100.0</v>
      </c>
      <c r="G14" s="267">
        <f t="shared" si="1"/>
        <v>0</v>
      </c>
      <c r="H14" s="266" t="str">
        <f t="shared" si="2"/>
        <v>CRÍTICO</v>
      </c>
    </row>
    <row r="15">
      <c r="F15" s="266">
        <v>100.0</v>
      </c>
      <c r="G15" s="267">
        <f t="shared" si="1"/>
        <v>0</v>
      </c>
      <c r="H15" s="266" t="str">
        <f t="shared" si="2"/>
        <v>CRÍTICO</v>
      </c>
    </row>
    <row r="16">
      <c r="F16" s="266">
        <v>100.0</v>
      </c>
      <c r="G16" s="267">
        <f t="shared" si="1"/>
        <v>0</v>
      </c>
      <c r="H16" s="266" t="str">
        <f t="shared" si="2"/>
        <v>CRÍTICO</v>
      </c>
    </row>
    <row r="17">
      <c r="F17" s="266">
        <v>100.0</v>
      </c>
      <c r="G17" s="267">
        <f t="shared" si="1"/>
        <v>0</v>
      </c>
      <c r="H17" s="266" t="str">
        <f t="shared" si="2"/>
        <v>CRÍTICO</v>
      </c>
    </row>
    <row r="18">
      <c r="F18" s="266">
        <v>100.0</v>
      </c>
      <c r="G18" s="267">
        <f t="shared" si="1"/>
        <v>0</v>
      </c>
      <c r="H18" s="266" t="str">
        <f t="shared" si="2"/>
        <v>CRÍTICO</v>
      </c>
    </row>
    <row r="19">
      <c r="F19" s="266">
        <v>100.0</v>
      </c>
      <c r="G19" s="267">
        <f t="shared" si="1"/>
        <v>0</v>
      </c>
      <c r="H19" s="266" t="str">
        <f t="shared" si="2"/>
        <v>CRÍTICO</v>
      </c>
    </row>
    <row r="20">
      <c r="F20" s="266">
        <v>100.0</v>
      </c>
      <c r="G20" s="267">
        <f t="shared" si="1"/>
        <v>0</v>
      </c>
      <c r="H20" s="266" t="str">
        <f t="shared" si="2"/>
        <v>CRÍTICO</v>
      </c>
    </row>
    <row r="21" ht="15.75" customHeight="1">
      <c r="F21" s="266">
        <v>100.0</v>
      </c>
      <c r="G21" s="267">
        <f t="shared" si="1"/>
        <v>0</v>
      </c>
      <c r="H21" s="266" t="str">
        <f t="shared" si="2"/>
        <v>CRÍTICO</v>
      </c>
    </row>
    <row r="22" ht="15.75" customHeight="1">
      <c r="F22" s="266">
        <v>100.0</v>
      </c>
      <c r="G22" s="267">
        <f t="shared" si="1"/>
        <v>0</v>
      </c>
      <c r="H22" s="266" t="str">
        <f t="shared" si="2"/>
        <v>CRÍTICO</v>
      </c>
    </row>
    <row r="23" ht="15.75" customHeight="1">
      <c r="F23" s="266">
        <v>100.0</v>
      </c>
      <c r="G23" s="267">
        <f t="shared" si="1"/>
        <v>0</v>
      </c>
      <c r="H23" s="266" t="str">
        <f t="shared" si="2"/>
        <v>CRÍTICO</v>
      </c>
    </row>
    <row r="24" ht="15.75" customHeight="1">
      <c r="F24" s="266">
        <v>100.0</v>
      </c>
      <c r="G24" s="267">
        <f t="shared" si="1"/>
        <v>0</v>
      </c>
      <c r="H24" s="266" t="str">
        <f t="shared" si="2"/>
        <v>CRÍTICO</v>
      </c>
    </row>
    <row r="25" ht="15.75" customHeight="1">
      <c r="F25" s="266">
        <v>100.0</v>
      </c>
      <c r="G25" s="267">
        <f t="shared" si="1"/>
        <v>0</v>
      </c>
      <c r="H25" s="266" t="str">
        <f t="shared" si="2"/>
        <v>CRÍTICO</v>
      </c>
    </row>
    <row r="26" ht="15.75" customHeight="1">
      <c r="F26" s="266">
        <v>100.0</v>
      </c>
      <c r="G26" s="267">
        <f t="shared" si="1"/>
        <v>0</v>
      </c>
      <c r="H26" s="266" t="str">
        <f t="shared" si="2"/>
        <v>CRÍTICO</v>
      </c>
    </row>
    <row r="27" ht="15.75" customHeight="1">
      <c r="F27" s="266">
        <v>100.0</v>
      </c>
      <c r="G27" s="267">
        <f t="shared" si="1"/>
        <v>0</v>
      </c>
      <c r="H27" s="266" t="str">
        <f t="shared" si="2"/>
        <v>CRÍTICO</v>
      </c>
    </row>
    <row r="28" ht="15.75" customHeight="1">
      <c r="F28" s="266">
        <v>100.0</v>
      </c>
      <c r="G28" s="267">
        <f t="shared" si="1"/>
        <v>0</v>
      </c>
      <c r="H28" s="266" t="str">
        <f t="shared" si="2"/>
        <v>CRÍTICO</v>
      </c>
    </row>
    <row r="29" ht="15.75" customHeight="1">
      <c r="F29" s="266">
        <v>100.0</v>
      </c>
      <c r="G29" s="267">
        <f t="shared" si="1"/>
        <v>0</v>
      </c>
      <c r="H29" s="266" t="str">
        <f t="shared" si="2"/>
        <v>CRÍTICO</v>
      </c>
    </row>
    <row r="30" ht="15.75" customHeight="1">
      <c r="F30" s="266">
        <v>100.0</v>
      </c>
      <c r="G30" s="267">
        <f t="shared" si="1"/>
        <v>0</v>
      </c>
      <c r="H30" s="266" t="str">
        <f t="shared" si="2"/>
        <v>CRÍTICO</v>
      </c>
    </row>
    <row r="31" ht="15.75" customHeight="1">
      <c r="F31" s="266">
        <v>100.0</v>
      </c>
      <c r="G31" s="267">
        <f t="shared" si="1"/>
        <v>0</v>
      </c>
      <c r="H31" s="266" t="str">
        <f t="shared" si="2"/>
        <v>CRÍTICO</v>
      </c>
    </row>
    <row r="32" ht="15.75" customHeight="1">
      <c r="F32" s="266">
        <v>100.0</v>
      </c>
      <c r="G32" s="267">
        <f t="shared" si="1"/>
        <v>0</v>
      </c>
      <c r="H32" s="266" t="str">
        <f t="shared" si="2"/>
        <v>CRÍTICO</v>
      </c>
    </row>
    <row r="33" ht="15.75" customHeight="1">
      <c r="F33" s="266">
        <v>100.0</v>
      </c>
      <c r="G33" s="267">
        <f t="shared" si="1"/>
        <v>0</v>
      </c>
      <c r="H33" s="266" t="str">
        <f t="shared" si="2"/>
        <v>CRÍTICO</v>
      </c>
    </row>
    <row r="34" ht="15.75" customHeight="1">
      <c r="F34" s="266">
        <v>100.0</v>
      </c>
      <c r="G34" s="267">
        <f t="shared" si="1"/>
        <v>0</v>
      </c>
      <c r="H34" s="266" t="str">
        <f t="shared" si="2"/>
        <v>CRÍTICO</v>
      </c>
    </row>
    <row r="35" ht="15.75" customHeight="1">
      <c r="F35" s="266">
        <v>100.0</v>
      </c>
      <c r="G35" s="267">
        <f t="shared" si="1"/>
        <v>0</v>
      </c>
      <c r="H35" s="266" t="str">
        <f t="shared" si="2"/>
        <v>CRÍTICO</v>
      </c>
    </row>
    <row r="36" ht="15.75" customHeight="1">
      <c r="F36" s="266">
        <v>100.0</v>
      </c>
      <c r="G36" s="267">
        <f t="shared" si="1"/>
        <v>0</v>
      </c>
      <c r="H36" s="266" t="str">
        <f t="shared" si="2"/>
        <v>CRÍTICO</v>
      </c>
    </row>
    <row r="37" ht="15.75" customHeight="1">
      <c r="F37" s="266">
        <v>100.0</v>
      </c>
      <c r="G37" s="267">
        <f t="shared" si="1"/>
        <v>0</v>
      </c>
      <c r="H37" s="266" t="str">
        <f t="shared" si="2"/>
        <v>CRÍTICO</v>
      </c>
    </row>
    <row r="38" ht="15.75" customHeight="1">
      <c r="F38" s="266">
        <v>100.0</v>
      </c>
      <c r="G38" s="267">
        <f t="shared" si="1"/>
        <v>0</v>
      </c>
      <c r="H38" s="266" t="str">
        <f t="shared" si="2"/>
        <v>CRÍTICO</v>
      </c>
    </row>
    <row r="39" ht="15.75" customHeight="1">
      <c r="F39" s="266">
        <v>100.0</v>
      </c>
      <c r="G39" s="267">
        <f t="shared" si="1"/>
        <v>0</v>
      </c>
      <c r="H39" s="266" t="str">
        <f t="shared" si="2"/>
        <v>CRÍTICO</v>
      </c>
    </row>
    <row r="40" ht="15.75" customHeight="1">
      <c r="F40" s="266">
        <v>100.0</v>
      </c>
      <c r="G40" s="267">
        <f t="shared" si="1"/>
        <v>0</v>
      </c>
      <c r="H40" s="266" t="str">
        <f t="shared" si="2"/>
        <v>CRÍTICO</v>
      </c>
    </row>
    <row r="41" ht="15.75" customHeight="1">
      <c r="F41" s="266">
        <v>100.0</v>
      </c>
      <c r="G41" s="267">
        <f t="shared" si="1"/>
        <v>0</v>
      </c>
      <c r="H41" s="266" t="str">
        <f t="shared" si="2"/>
        <v>CRÍTICO</v>
      </c>
    </row>
    <row r="42" ht="15.75" customHeight="1">
      <c r="F42" s="266">
        <v>100.0</v>
      </c>
      <c r="G42" s="267">
        <f t="shared" si="1"/>
        <v>0</v>
      </c>
      <c r="H42" s="266" t="str">
        <f t="shared" si="2"/>
        <v>CRÍTICO</v>
      </c>
    </row>
    <row r="43" ht="15.75" customHeight="1">
      <c r="F43" s="266">
        <v>100.0</v>
      </c>
      <c r="G43" s="267">
        <f t="shared" si="1"/>
        <v>0</v>
      </c>
      <c r="H43" s="266" t="str">
        <f t="shared" si="2"/>
        <v>CRÍTICO</v>
      </c>
    </row>
    <row r="44" ht="15.75" customHeight="1">
      <c r="F44" s="266">
        <v>100.0</v>
      </c>
      <c r="G44" s="267">
        <f t="shared" si="1"/>
        <v>0</v>
      </c>
      <c r="H44" s="266" t="str">
        <f t="shared" si="2"/>
        <v>CRÍTICO</v>
      </c>
    </row>
    <row r="45" ht="15.75" customHeight="1">
      <c r="F45" s="266">
        <v>100.0</v>
      </c>
      <c r="G45" s="267">
        <f t="shared" si="1"/>
        <v>0</v>
      </c>
      <c r="H45" s="266" t="str">
        <f t="shared" si="2"/>
        <v>CRÍTICO</v>
      </c>
    </row>
    <row r="46" ht="15.75" customHeight="1">
      <c r="F46" s="266">
        <v>100.0</v>
      </c>
      <c r="G46" s="267">
        <f t="shared" si="1"/>
        <v>0</v>
      </c>
      <c r="H46" s="266" t="str">
        <f t="shared" si="2"/>
        <v>CRÍTICO</v>
      </c>
    </row>
    <row r="47" ht="15.75" customHeight="1">
      <c r="F47" s="266">
        <v>100.0</v>
      </c>
      <c r="G47" s="267">
        <f t="shared" si="1"/>
        <v>0</v>
      </c>
      <c r="H47" s="266" t="str">
        <f t="shared" si="2"/>
        <v>CRÍTICO</v>
      </c>
    </row>
    <row r="48" ht="15.75" customHeight="1">
      <c r="F48" s="266">
        <v>100.0</v>
      </c>
      <c r="G48" s="267">
        <f t="shared" si="1"/>
        <v>0</v>
      </c>
      <c r="H48" s="266" t="str">
        <f t="shared" si="2"/>
        <v>CRÍTICO</v>
      </c>
    </row>
    <row r="49" ht="15.75" customHeight="1">
      <c r="F49" s="266">
        <v>100.0</v>
      </c>
      <c r="G49" s="267">
        <f t="shared" si="1"/>
        <v>0</v>
      </c>
      <c r="H49" s="266" t="str">
        <f t="shared" si="2"/>
        <v>CRÍTICO</v>
      </c>
    </row>
    <row r="50" ht="15.75" customHeight="1">
      <c r="F50" s="266">
        <v>100.0</v>
      </c>
      <c r="G50" s="267">
        <f t="shared" si="1"/>
        <v>0</v>
      </c>
      <c r="H50" s="266" t="str">
        <f t="shared" si="2"/>
        <v>CRÍTICO</v>
      </c>
    </row>
    <row r="51" ht="15.75" customHeight="1">
      <c r="F51" s="266">
        <v>100.0</v>
      </c>
      <c r="G51" s="267">
        <f t="shared" si="1"/>
        <v>0</v>
      </c>
      <c r="H51" s="266" t="str">
        <f t="shared" si="2"/>
        <v>CRÍTICO</v>
      </c>
    </row>
    <row r="52" ht="15.75" customHeight="1">
      <c r="F52" s="266">
        <v>100.0</v>
      </c>
      <c r="G52" s="267">
        <f t="shared" si="1"/>
        <v>0</v>
      </c>
      <c r="H52" s="266" t="str">
        <f t="shared" si="2"/>
        <v>CRÍTICO</v>
      </c>
    </row>
    <row r="53" ht="15.75" customHeight="1">
      <c r="F53" s="266">
        <v>100.0</v>
      </c>
      <c r="G53" s="267">
        <f t="shared" si="1"/>
        <v>0</v>
      </c>
      <c r="H53" s="266" t="str">
        <f t="shared" si="2"/>
        <v>CRÍTICO</v>
      </c>
    </row>
    <row r="54" ht="15.75" customHeight="1">
      <c r="F54" s="266">
        <v>100.0</v>
      </c>
      <c r="G54" s="267">
        <f t="shared" si="1"/>
        <v>0</v>
      </c>
      <c r="H54" s="266" t="str">
        <f t="shared" si="2"/>
        <v>CRÍTICO</v>
      </c>
    </row>
    <row r="55" ht="15.75" customHeight="1">
      <c r="F55" s="266">
        <v>100.0</v>
      </c>
      <c r="G55" s="267">
        <f t="shared" si="1"/>
        <v>0</v>
      </c>
      <c r="H55" s="266" t="str">
        <f t="shared" si="2"/>
        <v>CRÍTICO</v>
      </c>
    </row>
    <row r="56" ht="15.75" customHeight="1">
      <c r="F56" s="266">
        <v>100.0</v>
      </c>
      <c r="G56" s="267">
        <f t="shared" si="1"/>
        <v>0</v>
      </c>
      <c r="H56" s="266" t="str">
        <f t="shared" si="2"/>
        <v>CRÍTICO</v>
      </c>
    </row>
    <row r="57" ht="15.75" customHeight="1">
      <c r="F57" s="266">
        <v>100.0</v>
      </c>
      <c r="G57" s="267">
        <f t="shared" si="1"/>
        <v>0</v>
      </c>
      <c r="H57" s="266" t="str">
        <f t="shared" si="2"/>
        <v>CRÍTICO</v>
      </c>
    </row>
    <row r="58" ht="15.75" customHeight="1">
      <c r="F58" s="266">
        <v>100.0</v>
      </c>
      <c r="G58" s="267">
        <f t="shared" si="1"/>
        <v>0</v>
      </c>
      <c r="H58" s="266" t="str">
        <f t="shared" si="2"/>
        <v>CRÍTICO</v>
      </c>
    </row>
    <row r="59" ht="15.75" customHeight="1">
      <c r="F59" s="266">
        <v>100.0</v>
      </c>
      <c r="G59" s="267">
        <f t="shared" si="1"/>
        <v>0</v>
      </c>
      <c r="H59" s="266" t="str">
        <f t="shared" si="2"/>
        <v>CRÍTICO</v>
      </c>
    </row>
    <row r="60" ht="15.75" customHeight="1">
      <c r="F60" s="266">
        <v>100.0</v>
      </c>
      <c r="G60" s="267">
        <f t="shared" si="1"/>
        <v>0</v>
      </c>
      <c r="H60" s="266" t="str">
        <f t="shared" si="2"/>
        <v>CRÍTICO</v>
      </c>
    </row>
    <row r="61" ht="15.75" customHeight="1">
      <c r="F61" s="266">
        <v>100.0</v>
      </c>
      <c r="G61" s="267">
        <f t="shared" si="1"/>
        <v>0</v>
      </c>
      <c r="H61" s="266" t="str">
        <f t="shared" si="2"/>
        <v>CRÍTICO</v>
      </c>
    </row>
    <row r="62" ht="15.75" customHeight="1">
      <c r="F62" s="266">
        <v>100.0</v>
      </c>
      <c r="G62" s="267">
        <f t="shared" si="1"/>
        <v>0</v>
      </c>
      <c r="H62" s="266" t="str">
        <f t="shared" si="2"/>
        <v>CRÍTICO</v>
      </c>
    </row>
    <row r="63" ht="15.75" customHeight="1">
      <c r="F63" s="266">
        <v>100.0</v>
      </c>
      <c r="G63" s="267">
        <f t="shared" si="1"/>
        <v>0</v>
      </c>
      <c r="H63" s="266" t="str">
        <f t="shared" si="2"/>
        <v>CRÍTICO</v>
      </c>
    </row>
    <row r="64" ht="15.75" customHeight="1">
      <c r="F64" s="266">
        <v>100.0</v>
      </c>
      <c r="G64" s="267">
        <f t="shared" si="1"/>
        <v>0</v>
      </c>
      <c r="H64" s="266" t="str">
        <f t="shared" si="2"/>
        <v>CRÍTICO</v>
      </c>
    </row>
    <row r="65" ht="15.75" customHeight="1">
      <c r="F65" s="266">
        <v>100.0</v>
      </c>
      <c r="G65" s="267">
        <f t="shared" si="1"/>
        <v>0</v>
      </c>
      <c r="H65" s="266" t="str">
        <f t="shared" si="2"/>
        <v>CRÍTICO</v>
      </c>
    </row>
    <row r="66" ht="15.75" customHeight="1">
      <c r="F66" s="266">
        <v>100.0</v>
      </c>
      <c r="G66" s="267">
        <f t="shared" si="1"/>
        <v>0</v>
      </c>
      <c r="H66" s="266" t="str">
        <f t="shared" si="2"/>
        <v>CRÍTICO</v>
      </c>
    </row>
    <row r="67" ht="15.75" customHeight="1">
      <c r="F67" s="266">
        <v>100.0</v>
      </c>
      <c r="G67" s="267">
        <f t="shared" si="1"/>
        <v>0</v>
      </c>
      <c r="H67" s="266" t="str">
        <f t="shared" si="2"/>
        <v>CRÍTICO</v>
      </c>
    </row>
    <row r="68" ht="15.75" customHeight="1">
      <c r="F68" s="266">
        <v>100.0</v>
      </c>
      <c r="G68" s="267">
        <f t="shared" si="1"/>
        <v>0</v>
      </c>
      <c r="H68" s="266" t="str">
        <f t="shared" si="2"/>
        <v>CRÍTICO</v>
      </c>
    </row>
    <row r="69" ht="15.75" customHeight="1">
      <c r="F69" s="266">
        <v>100.0</v>
      </c>
      <c r="G69" s="267">
        <f t="shared" si="1"/>
        <v>0</v>
      </c>
      <c r="H69" s="266" t="str">
        <f t="shared" si="2"/>
        <v>CRÍTICO</v>
      </c>
    </row>
    <row r="70" ht="15.75" customHeight="1">
      <c r="F70" s="266">
        <v>100.0</v>
      </c>
      <c r="G70" s="267">
        <f t="shared" si="1"/>
        <v>0</v>
      </c>
      <c r="H70" s="266" t="str">
        <f t="shared" si="2"/>
        <v>CRÍTICO</v>
      </c>
    </row>
    <row r="71" ht="15.75" customHeight="1">
      <c r="F71" s="266">
        <v>100.0</v>
      </c>
      <c r="G71" s="267">
        <f t="shared" si="1"/>
        <v>0</v>
      </c>
      <c r="H71" s="266" t="str">
        <f t="shared" si="2"/>
        <v>CRÍTICO</v>
      </c>
    </row>
    <row r="72" ht="15.75" customHeight="1">
      <c r="F72" s="266">
        <v>100.0</v>
      </c>
      <c r="G72" s="267">
        <f t="shared" si="1"/>
        <v>0</v>
      </c>
      <c r="H72" s="266" t="str">
        <f t="shared" si="2"/>
        <v>CRÍTICO</v>
      </c>
    </row>
    <row r="73" ht="15.75" customHeight="1">
      <c r="F73" s="266">
        <v>100.0</v>
      </c>
      <c r="G73" s="267">
        <f t="shared" si="1"/>
        <v>0</v>
      </c>
      <c r="H73" s="266" t="str">
        <f t="shared" si="2"/>
        <v>CRÍTICO</v>
      </c>
    </row>
    <row r="74" ht="15.75" customHeight="1">
      <c r="F74" s="266">
        <v>100.0</v>
      </c>
      <c r="G74" s="267">
        <f t="shared" si="1"/>
        <v>0</v>
      </c>
      <c r="H74" s="266" t="str">
        <f t="shared" si="2"/>
        <v>CRÍTICO</v>
      </c>
    </row>
    <row r="75" ht="15.75" customHeight="1">
      <c r="F75" s="266">
        <v>100.0</v>
      </c>
      <c r="G75" s="267">
        <f t="shared" si="1"/>
        <v>0</v>
      </c>
      <c r="H75" s="266" t="str">
        <f t="shared" si="2"/>
        <v>CRÍTICO</v>
      </c>
    </row>
    <row r="76" ht="15.75" customHeight="1">
      <c r="F76" s="266">
        <v>100.0</v>
      </c>
      <c r="G76" s="267">
        <f t="shared" si="1"/>
        <v>0</v>
      </c>
      <c r="H76" s="266" t="str">
        <f t="shared" si="2"/>
        <v>CRÍTICO</v>
      </c>
    </row>
    <row r="77" ht="15.75" customHeight="1">
      <c r="F77" s="266">
        <v>100.0</v>
      </c>
      <c r="G77" s="267">
        <f t="shared" si="1"/>
        <v>0</v>
      </c>
      <c r="H77" s="266" t="str">
        <f t="shared" si="2"/>
        <v>CRÍTICO</v>
      </c>
    </row>
    <row r="78" ht="15.75" customHeight="1">
      <c r="F78" s="266">
        <v>100.0</v>
      </c>
      <c r="G78" s="267">
        <f t="shared" si="1"/>
        <v>0</v>
      </c>
      <c r="H78" s="266" t="str">
        <f t="shared" si="2"/>
        <v>CRÍTICO</v>
      </c>
    </row>
    <row r="79" ht="15.75" customHeight="1">
      <c r="F79" s="266">
        <v>100.0</v>
      </c>
      <c r="G79" s="267">
        <f t="shared" si="1"/>
        <v>0</v>
      </c>
      <c r="H79" s="266" t="str">
        <f t="shared" si="2"/>
        <v>CRÍTICO</v>
      </c>
    </row>
    <row r="80" ht="15.75" customHeight="1">
      <c r="F80" s="266">
        <v>100.0</v>
      </c>
      <c r="G80" s="267">
        <f t="shared" si="1"/>
        <v>0</v>
      </c>
      <c r="H80" s="266" t="str">
        <f t="shared" si="2"/>
        <v>CRÍTICO</v>
      </c>
    </row>
    <row r="81" ht="15.75" customHeight="1">
      <c r="F81" s="266">
        <v>100.0</v>
      </c>
      <c r="G81" s="267">
        <f t="shared" si="1"/>
        <v>0</v>
      </c>
      <c r="H81" s="266" t="str">
        <f t="shared" si="2"/>
        <v>CRÍTICO</v>
      </c>
    </row>
    <row r="82" ht="15.75" customHeight="1">
      <c r="F82" s="266">
        <v>100.0</v>
      </c>
      <c r="G82" s="267">
        <f t="shared" si="1"/>
        <v>0</v>
      </c>
      <c r="H82" s="266" t="str">
        <f t="shared" si="2"/>
        <v>CRÍTICO</v>
      </c>
    </row>
    <row r="83" ht="15.75" customHeight="1">
      <c r="F83" s="266">
        <v>100.0</v>
      </c>
      <c r="G83" s="267">
        <f t="shared" si="1"/>
        <v>0</v>
      </c>
      <c r="H83" s="266" t="str">
        <f t="shared" si="2"/>
        <v>CRÍTICO</v>
      </c>
    </row>
    <row r="84" ht="15.75" customHeight="1">
      <c r="F84" s="266">
        <v>100.0</v>
      </c>
      <c r="G84" s="267">
        <f t="shared" si="1"/>
        <v>0</v>
      </c>
      <c r="H84" s="266" t="str">
        <f t="shared" si="2"/>
        <v>CRÍTICO</v>
      </c>
    </row>
    <row r="85" ht="15.75" customHeight="1">
      <c r="F85" s="266">
        <v>100.0</v>
      </c>
      <c r="G85" s="267">
        <f t="shared" si="1"/>
        <v>0</v>
      </c>
      <c r="H85" s="266" t="str">
        <f t="shared" si="2"/>
        <v>CRÍTICO</v>
      </c>
    </row>
    <row r="86" ht="15.75" customHeight="1">
      <c r="F86" s="266">
        <v>100.0</v>
      </c>
      <c r="G86" s="267">
        <f t="shared" si="1"/>
        <v>0</v>
      </c>
      <c r="H86" s="266" t="str">
        <f t="shared" si="2"/>
        <v>CRÍTICO</v>
      </c>
    </row>
    <row r="87" ht="15.75" customHeight="1">
      <c r="F87" s="266">
        <v>100.0</v>
      </c>
      <c r="G87" s="267">
        <f t="shared" si="1"/>
        <v>0</v>
      </c>
      <c r="H87" s="266" t="str">
        <f t="shared" si="2"/>
        <v>CRÍTICO</v>
      </c>
    </row>
    <row r="88" ht="15.75" customHeight="1">
      <c r="F88" s="266">
        <v>100.0</v>
      </c>
      <c r="G88" s="267">
        <f t="shared" si="1"/>
        <v>0</v>
      </c>
      <c r="H88" s="266" t="str">
        <f t="shared" si="2"/>
        <v>CRÍTICO</v>
      </c>
    </row>
    <row r="89" ht="15.75" customHeight="1">
      <c r="F89" s="266">
        <v>100.0</v>
      </c>
      <c r="G89" s="267">
        <f t="shared" si="1"/>
        <v>0</v>
      </c>
      <c r="H89" s="266" t="str">
        <f t="shared" si="2"/>
        <v>CRÍTICO</v>
      </c>
    </row>
    <row r="90" ht="15.75" customHeight="1">
      <c r="F90" s="266">
        <v>100.0</v>
      </c>
      <c r="G90" s="267">
        <f t="shared" si="1"/>
        <v>0</v>
      </c>
      <c r="H90" s="266" t="str">
        <f t="shared" si="2"/>
        <v>CRÍTICO</v>
      </c>
    </row>
    <row r="91" ht="15.75" customHeight="1">
      <c r="F91" s="266">
        <v>100.0</v>
      </c>
      <c r="G91" s="267">
        <f t="shared" si="1"/>
        <v>0</v>
      </c>
      <c r="H91" s="266" t="str">
        <f t="shared" si="2"/>
        <v>CRÍTICO</v>
      </c>
    </row>
    <row r="92" ht="15.75" customHeight="1">
      <c r="F92" s="266">
        <v>100.0</v>
      </c>
      <c r="G92" s="267">
        <f t="shared" si="1"/>
        <v>0</v>
      </c>
      <c r="H92" s="266" t="str">
        <f t="shared" si="2"/>
        <v>CRÍTICO</v>
      </c>
    </row>
    <row r="93" ht="15.75" customHeight="1">
      <c r="F93" s="266">
        <v>100.0</v>
      </c>
      <c r="G93" s="267">
        <f t="shared" si="1"/>
        <v>0</v>
      </c>
      <c r="H93" s="266" t="str">
        <f t="shared" si="2"/>
        <v>CRÍTICO</v>
      </c>
    </row>
    <row r="94" ht="15.75" customHeight="1">
      <c r="F94" s="266">
        <v>100.0</v>
      </c>
      <c r="G94" s="267">
        <f t="shared" si="1"/>
        <v>0</v>
      </c>
      <c r="H94" s="266" t="str">
        <f t="shared" si="2"/>
        <v>CRÍTICO</v>
      </c>
    </row>
    <row r="95" ht="15.75" customHeight="1">
      <c r="F95" s="266">
        <v>100.0</v>
      </c>
      <c r="G95" s="267">
        <f t="shared" si="1"/>
        <v>0</v>
      </c>
      <c r="H95" s="266" t="str">
        <f t="shared" si="2"/>
        <v>CRÍTICO</v>
      </c>
    </row>
    <row r="96" ht="15.75" customHeight="1">
      <c r="F96" s="266">
        <v>100.0</v>
      </c>
      <c r="G96" s="267">
        <f t="shared" si="1"/>
        <v>0</v>
      </c>
      <c r="H96" s="266" t="str">
        <f t="shared" si="2"/>
        <v>CRÍTICO</v>
      </c>
    </row>
    <row r="97" ht="15.75" customHeight="1">
      <c r="F97" s="266">
        <v>100.0</v>
      </c>
      <c r="G97" s="267">
        <f t="shared" si="1"/>
        <v>0</v>
      </c>
      <c r="H97" s="266" t="str">
        <f t="shared" si="2"/>
        <v>CRÍTICO</v>
      </c>
    </row>
    <row r="98" ht="15.75" customHeight="1">
      <c r="F98" s="266">
        <v>100.0</v>
      </c>
      <c r="G98" s="267">
        <f t="shared" si="1"/>
        <v>0</v>
      </c>
      <c r="H98" s="266" t="str">
        <f t="shared" si="2"/>
        <v>CRÍTICO</v>
      </c>
    </row>
    <row r="99" ht="15.75" customHeight="1">
      <c r="F99" s="266">
        <v>100.0</v>
      </c>
      <c r="G99" s="267">
        <f t="shared" si="1"/>
        <v>0</v>
      </c>
      <c r="H99" s="266" t="str">
        <f t="shared" si="2"/>
        <v>CRÍTICO</v>
      </c>
    </row>
    <row r="100" ht="15.75" customHeight="1">
      <c r="F100" s="266">
        <v>100.0</v>
      </c>
      <c r="G100" s="267">
        <f t="shared" si="1"/>
        <v>0</v>
      </c>
      <c r="H100" s="266" t="str">
        <f t="shared" si="2"/>
        <v>CRÍTICO</v>
      </c>
    </row>
    <row r="101" ht="15.75" customHeight="1">
      <c r="F101" s="266">
        <v>100.0</v>
      </c>
      <c r="G101" s="267">
        <f t="shared" si="1"/>
        <v>0</v>
      </c>
      <c r="H101" s="266" t="str">
        <f t="shared" si="2"/>
        <v>CRÍTICO</v>
      </c>
    </row>
    <row r="102" ht="15.75" customHeight="1">
      <c r="F102" s="266">
        <v>100.0</v>
      </c>
      <c r="G102" s="267">
        <f t="shared" si="1"/>
        <v>0</v>
      </c>
      <c r="H102" s="266" t="str">
        <f t="shared" si="2"/>
        <v>CRÍTICO</v>
      </c>
    </row>
    <row r="103" ht="15.75" customHeight="1">
      <c r="F103" s="266">
        <v>100.0</v>
      </c>
      <c r="G103" s="267">
        <f t="shared" si="1"/>
        <v>0</v>
      </c>
      <c r="H103" s="266" t="str">
        <f t="shared" si="2"/>
        <v>CRÍTICO</v>
      </c>
    </row>
    <row r="104" ht="15.75" customHeight="1">
      <c r="F104" s="266">
        <v>100.0</v>
      </c>
      <c r="G104" s="267">
        <f t="shared" si="1"/>
        <v>0</v>
      </c>
      <c r="H104" s="266" t="str">
        <f t="shared" si="2"/>
        <v>CRÍTICO</v>
      </c>
    </row>
    <row r="105" ht="15.75" customHeight="1">
      <c r="F105" s="266">
        <v>100.0</v>
      </c>
      <c r="G105" s="267">
        <f t="shared" si="1"/>
        <v>0</v>
      </c>
      <c r="H105" s="266" t="str">
        <f t="shared" si="2"/>
        <v>CRÍTICO</v>
      </c>
    </row>
    <row r="106" ht="15.75" customHeight="1">
      <c r="F106" s="266">
        <v>100.0</v>
      </c>
      <c r="G106" s="267">
        <f t="shared" si="1"/>
        <v>0</v>
      </c>
      <c r="H106" s="266" t="str">
        <f t="shared" si="2"/>
        <v>CRÍTICO</v>
      </c>
    </row>
    <row r="107" ht="15.75" customHeight="1">
      <c r="F107" s="266">
        <v>100.0</v>
      </c>
      <c r="G107" s="267">
        <f t="shared" si="1"/>
        <v>0</v>
      </c>
      <c r="H107" s="266" t="str">
        <f t="shared" si="2"/>
        <v>CRÍTICO</v>
      </c>
    </row>
    <row r="108" ht="15.75" customHeight="1">
      <c r="F108" s="266">
        <v>100.0</v>
      </c>
      <c r="G108" s="267">
        <f t="shared" si="1"/>
        <v>0</v>
      </c>
      <c r="H108" s="266" t="str">
        <f t="shared" si="2"/>
        <v>CRÍTICO</v>
      </c>
    </row>
    <row r="109" ht="15.75" customHeight="1">
      <c r="F109" s="266">
        <v>100.0</v>
      </c>
      <c r="G109" s="267">
        <f t="shared" si="1"/>
        <v>0</v>
      </c>
      <c r="H109" s="266" t="str">
        <f t="shared" si="2"/>
        <v>CRÍTICO</v>
      </c>
    </row>
    <row r="110" ht="15.75" customHeight="1">
      <c r="F110" s="266">
        <v>100.0</v>
      </c>
      <c r="G110" s="267">
        <f t="shared" si="1"/>
        <v>0</v>
      </c>
      <c r="H110" s="266" t="str">
        <f t="shared" si="2"/>
        <v>CRÍTICO</v>
      </c>
    </row>
    <row r="111" ht="15.75" customHeight="1">
      <c r="F111" s="266">
        <v>100.0</v>
      </c>
      <c r="G111" s="267">
        <f t="shared" si="1"/>
        <v>0</v>
      </c>
      <c r="H111" s="266" t="str">
        <f t="shared" si="2"/>
        <v>CRÍTICO</v>
      </c>
    </row>
    <row r="112" ht="15.75" customHeight="1">
      <c r="F112" s="266">
        <v>100.0</v>
      </c>
      <c r="G112" s="267">
        <f t="shared" si="1"/>
        <v>0</v>
      </c>
      <c r="H112" s="266" t="str">
        <f t="shared" si="2"/>
        <v>CRÍTICO</v>
      </c>
    </row>
    <row r="113" ht="15.75" customHeight="1">
      <c r="F113" s="266">
        <v>100.0</v>
      </c>
      <c r="G113" s="267">
        <f t="shared" si="1"/>
        <v>0</v>
      </c>
      <c r="H113" s="266" t="str">
        <f t="shared" si="2"/>
        <v>CRÍTICO</v>
      </c>
    </row>
    <row r="114" ht="15.75" customHeight="1">
      <c r="F114" s="266">
        <v>100.0</v>
      </c>
      <c r="G114" s="267">
        <f t="shared" si="1"/>
        <v>0</v>
      </c>
      <c r="H114" s="266" t="str">
        <f t="shared" si="2"/>
        <v>CRÍTICO</v>
      </c>
    </row>
    <row r="115" ht="15.75" customHeight="1">
      <c r="F115" s="266">
        <v>100.0</v>
      </c>
      <c r="G115" s="267">
        <f t="shared" si="1"/>
        <v>0</v>
      </c>
      <c r="H115" s="266" t="str">
        <f t="shared" si="2"/>
        <v>CRÍTICO</v>
      </c>
    </row>
    <row r="116" ht="15.75" customHeight="1">
      <c r="F116" s="266">
        <v>100.0</v>
      </c>
      <c r="G116" s="267">
        <f t="shared" si="1"/>
        <v>0</v>
      </c>
      <c r="H116" s="266" t="str">
        <f t="shared" si="2"/>
        <v>CRÍTICO</v>
      </c>
    </row>
    <row r="117" ht="15.75" customHeight="1">
      <c r="F117" s="266">
        <v>100.0</v>
      </c>
      <c r="G117" s="267">
        <f t="shared" si="1"/>
        <v>0</v>
      </c>
      <c r="H117" s="266" t="str">
        <f t="shared" si="2"/>
        <v>CRÍTICO</v>
      </c>
    </row>
    <row r="118" ht="15.75" customHeight="1">
      <c r="F118" s="266">
        <v>100.0</v>
      </c>
      <c r="G118" s="267">
        <f t="shared" si="1"/>
        <v>0</v>
      </c>
      <c r="H118" s="266" t="str">
        <f t="shared" si="2"/>
        <v>CRÍTICO</v>
      </c>
    </row>
    <row r="119" ht="15.75" customHeight="1">
      <c r="F119" s="266">
        <v>100.0</v>
      </c>
      <c r="G119" s="267">
        <f t="shared" si="1"/>
        <v>0</v>
      </c>
      <c r="H119" s="266" t="str">
        <f t="shared" si="2"/>
        <v>CRÍTICO</v>
      </c>
    </row>
    <row r="120" ht="15.75" customHeight="1">
      <c r="F120" s="266">
        <v>100.0</v>
      </c>
      <c r="G120" s="267">
        <f t="shared" si="1"/>
        <v>0</v>
      </c>
      <c r="H120" s="266" t="str">
        <f t="shared" si="2"/>
        <v>CRÍTICO</v>
      </c>
    </row>
    <row r="121" ht="15.75" customHeight="1">
      <c r="F121" s="266">
        <v>100.0</v>
      </c>
      <c r="G121" s="267">
        <f t="shared" si="1"/>
        <v>0</v>
      </c>
      <c r="H121" s="266" t="str">
        <f t="shared" si="2"/>
        <v>CRÍTICO</v>
      </c>
    </row>
    <row r="122" ht="15.75" customHeight="1">
      <c r="F122" s="266">
        <v>100.0</v>
      </c>
      <c r="G122" s="267">
        <f t="shared" si="1"/>
        <v>0</v>
      </c>
      <c r="H122" s="266" t="str">
        <f t="shared" si="2"/>
        <v>CRÍTICO</v>
      </c>
    </row>
    <row r="123" ht="15.75" customHeight="1">
      <c r="F123" s="266">
        <v>100.0</v>
      </c>
      <c r="G123" s="267">
        <f t="shared" si="1"/>
        <v>0</v>
      </c>
      <c r="H123" s="266" t="str">
        <f t="shared" si="2"/>
        <v>CRÍTICO</v>
      </c>
    </row>
    <row r="124" ht="15.75" customHeight="1">
      <c r="F124" s="266">
        <v>100.0</v>
      </c>
      <c r="G124" s="267">
        <f t="shared" si="1"/>
        <v>0</v>
      </c>
      <c r="H124" s="266" t="str">
        <f t="shared" si="2"/>
        <v>CRÍTICO</v>
      </c>
    </row>
    <row r="125" ht="15.75" customHeight="1">
      <c r="F125" s="266">
        <v>100.0</v>
      </c>
      <c r="G125" s="267">
        <f t="shared" si="1"/>
        <v>0</v>
      </c>
      <c r="H125" s="266" t="str">
        <f t="shared" si="2"/>
        <v>CRÍTICO</v>
      </c>
    </row>
    <row r="126" ht="15.75" customHeight="1">
      <c r="F126" s="266">
        <v>100.0</v>
      </c>
      <c r="G126" s="267">
        <f t="shared" si="1"/>
        <v>0</v>
      </c>
      <c r="H126" s="266" t="str">
        <f t="shared" si="2"/>
        <v>CRÍTICO</v>
      </c>
    </row>
    <row r="127" ht="15.75" customHeight="1">
      <c r="F127" s="266">
        <v>100.0</v>
      </c>
      <c r="G127" s="267">
        <f t="shared" si="1"/>
        <v>0</v>
      </c>
      <c r="H127" s="266" t="str">
        <f t="shared" si="2"/>
        <v>CRÍTICO</v>
      </c>
    </row>
    <row r="128" ht="15.75" customHeight="1">
      <c r="F128" s="266">
        <v>100.0</v>
      </c>
      <c r="G128" s="267">
        <f t="shared" si="1"/>
        <v>0</v>
      </c>
      <c r="H128" s="266" t="str">
        <f t="shared" si="2"/>
        <v>CRÍTICO</v>
      </c>
    </row>
    <row r="129" ht="15.75" customHeight="1">
      <c r="F129" s="266">
        <v>100.0</v>
      </c>
      <c r="G129" s="267">
        <f t="shared" si="1"/>
        <v>0</v>
      </c>
      <c r="H129" s="266" t="str">
        <f t="shared" si="2"/>
        <v>CRÍTICO</v>
      </c>
    </row>
    <row r="130" ht="15.75" customHeight="1">
      <c r="F130" s="266">
        <v>100.0</v>
      </c>
      <c r="G130" s="267">
        <f t="shared" si="1"/>
        <v>0</v>
      </c>
      <c r="H130" s="266" t="str">
        <f t="shared" si="2"/>
        <v>CRÍTICO</v>
      </c>
    </row>
    <row r="131" ht="15.75" customHeight="1">
      <c r="F131" s="266">
        <v>100.0</v>
      </c>
      <c r="G131" s="267">
        <f t="shared" si="1"/>
        <v>0</v>
      </c>
      <c r="H131" s="266" t="str">
        <f t="shared" si="2"/>
        <v>CRÍTICO</v>
      </c>
    </row>
    <row r="132" ht="15.75" customHeight="1">
      <c r="F132" s="266">
        <v>100.0</v>
      </c>
      <c r="G132" s="267">
        <f t="shared" si="1"/>
        <v>0</v>
      </c>
      <c r="H132" s="266" t="str">
        <f t="shared" si="2"/>
        <v>CRÍTICO</v>
      </c>
    </row>
    <row r="133" ht="15.75" customHeight="1">
      <c r="F133" s="266">
        <v>100.0</v>
      </c>
      <c r="G133" s="267">
        <f t="shared" si="1"/>
        <v>0</v>
      </c>
      <c r="H133" s="266" t="str">
        <f t="shared" si="2"/>
        <v>CRÍTICO</v>
      </c>
    </row>
    <row r="134" ht="15.75" customHeight="1">
      <c r="F134" s="266">
        <v>100.0</v>
      </c>
      <c r="G134" s="267">
        <f t="shared" si="1"/>
        <v>0</v>
      </c>
      <c r="H134" s="266" t="str">
        <f t="shared" si="2"/>
        <v>CRÍTICO</v>
      </c>
    </row>
    <row r="135" ht="15.75" customHeight="1">
      <c r="F135" s="266">
        <v>100.0</v>
      </c>
      <c r="G135" s="267">
        <f t="shared" si="1"/>
        <v>0</v>
      </c>
      <c r="H135" s="266" t="str">
        <f t="shared" si="2"/>
        <v>CRÍTICO</v>
      </c>
    </row>
    <row r="136" ht="15.75" customHeight="1">
      <c r="F136" s="266">
        <v>100.0</v>
      </c>
      <c r="G136" s="267">
        <f t="shared" si="1"/>
        <v>0</v>
      </c>
      <c r="H136" s="266" t="str">
        <f t="shared" si="2"/>
        <v>CRÍTICO</v>
      </c>
    </row>
    <row r="137" ht="15.75" customHeight="1">
      <c r="F137" s="266">
        <v>100.0</v>
      </c>
      <c r="G137" s="267">
        <f t="shared" si="1"/>
        <v>0</v>
      </c>
      <c r="H137" s="266" t="str">
        <f t="shared" si="2"/>
        <v>CRÍTICO</v>
      </c>
    </row>
    <row r="138" ht="15.75" customHeight="1">
      <c r="F138" s="266">
        <v>100.0</v>
      </c>
      <c r="G138" s="267">
        <f t="shared" si="1"/>
        <v>0</v>
      </c>
      <c r="H138" s="266" t="str">
        <f t="shared" si="2"/>
        <v>CRÍTICO</v>
      </c>
    </row>
    <row r="139" ht="15.75" customHeight="1">
      <c r="F139" s="266">
        <v>100.0</v>
      </c>
      <c r="G139" s="267">
        <f t="shared" si="1"/>
        <v>0</v>
      </c>
      <c r="H139" s="266" t="str">
        <f t="shared" si="2"/>
        <v>CRÍTICO</v>
      </c>
    </row>
    <row r="140" ht="15.75" customHeight="1">
      <c r="F140" s="266">
        <v>100.0</v>
      </c>
      <c r="G140" s="267">
        <f t="shared" si="1"/>
        <v>0</v>
      </c>
      <c r="H140" s="266" t="str">
        <f t="shared" si="2"/>
        <v>CRÍTICO</v>
      </c>
    </row>
    <row r="141" ht="15.75" customHeight="1">
      <c r="F141" s="266">
        <v>100.0</v>
      </c>
      <c r="G141" s="267">
        <f t="shared" si="1"/>
        <v>0</v>
      </c>
      <c r="H141" s="266" t="str">
        <f t="shared" si="2"/>
        <v>CRÍTICO</v>
      </c>
    </row>
    <row r="142" ht="15.75" customHeight="1">
      <c r="F142" s="266">
        <v>100.0</v>
      </c>
      <c r="G142" s="267">
        <f t="shared" si="1"/>
        <v>0</v>
      </c>
      <c r="H142" s="266" t="str">
        <f t="shared" si="2"/>
        <v>CRÍTICO</v>
      </c>
    </row>
    <row r="143" ht="15.75" customHeight="1">
      <c r="F143" s="266">
        <v>100.0</v>
      </c>
      <c r="G143" s="267">
        <f t="shared" si="1"/>
        <v>0</v>
      </c>
      <c r="H143" s="266" t="str">
        <f t="shared" si="2"/>
        <v>CRÍTICO</v>
      </c>
    </row>
    <row r="144" ht="15.75" customHeight="1">
      <c r="F144" s="266">
        <v>100.0</v>
      </c>
      <c r="G144" s="267">
        <f t="shared" si="1"/>
        <v>0</v>
      </c>
      <c r="H144" s="266" t="str">
        <f t="shared" si="2"/>
        <v>CRÍTICO</v>
      </c>
    </row>
    <row r="145" ht="15.75" customHeight="1">
      <c r="F145" s="266">
        <v>100.0</v>
      </c>
      <c r="G145" s="267">
        <f t="shared" si="1"/>
        <v>0</v>
      </c>
      <c r="H145" s="266" t="str">
        <f t="shared" si="2"/>
        <v>CRÍTICO</v>
      </c>
    </row>
    <row r="146" ht="15.75" customHeight="1">
      <c r="F146" s="266">
        <v>100.0</v>
      </c>
      <c r="G146" s="267">
        <f t="shared" si="1"/>
        <v>0</v>
      </c>
      <c r="H146" s="266" t="str">
        <f t="shared" si="2"/>
        <v>CRÍTICO</v>
      </c>
    </row>
    <row r="147" ht="15.75" customHeight="1">
      <c r="F147" s="266">
        <v>100.0</v>
      </c>
      <c r="G147" s="267">
        <f t="shared" si="1"/>
        <v>0</v>
      </c>
      <c r="H147" s="266" t="str">
        <f t="shared" si="2"/>
        <v>CRÍTICO</v>
      </c>
    </row>
    <row r="148" ht="15.75" customHeight="1">
      <c r="F148" s="266">
        <v>100.0</v>
      </c>
      <c r="G148" s="267">
        <f t="shared" si="1"/>
        <v>0</v>
      </c>
      <c r="H148" s="266" t="str">
        <f t="shared" si="2"/>
        <v>CRÍTICO</v>
      </c>
    </row>
    <row r="149" ht="15.75" customHeight="1">
      <c r="F149" s="266">
        <v>100.0</v>
      </c>
      <c r="G149" s="267">
        <f t="shared" si="1"/>
        <v>0</v>
      </c>
      <c r="H149" s="266" t="str">
        <f t="shared" si="2"/>
        <v>CRÍTICO</v>
      </c>
    </row>
    <row r="150" ht="15.75" customHeight="1">
      <c r="F150" s="266">
        <v>100.0</v>
      </c>
      <c r="G150" s="267">
        <f t="shared" si="1"/>
        <v>0</v>
      </c>
      <c r="H150" s="266" t="str">
        <f t="shared" si="2"/>
        <v>CRÍTICO</v>
      </c>
    </row>
    <row r="151" ht="15.75" customHeight="1">
      <c r="F151" s="266">
        <v>100.0</v>
      </c>
      <c r="G151" s="267">
        <f t="shared" si="1"/>
        <v>0</v>
      </c>
      <c r="H151" s="266" t="str">
        <f t="shared" si="2"/>
        <v>CRÍTICO</v>
      </c>
    </row>
    <row r="152" ht="15.75" customHeight="1">
      <c r="F152" s="266">
        <v>100.0</v>
      </c>
      <c r="G152" s="267">
        <f t="shared" si="1"/>
        <v>0</v>
      </c>
      <c r="H152" s="266" t="str">
        <f t="shared" si="2"/>
        <v>CRÍTICO</v>
      </c>
    </row>
    <row r="153" ht="15.75" customHeight="1">
      <c r="F153" s="266">
        <v>100.0</v>
      </c>
      <c r="G153" s="267">
        <f t="shared" si="1"/>
        <v>0</v>
      </c>
      <c r="H153" s="266" t="str">
        <f t="shared" si="2"/>
        <v>CRÍTICO</v>
      </c>
    </row>
    <row r="154" ht="15.75" customHeight="1">
      <c r="F154" s="266">
        <v>100.0</v>
      </c>
      <c r="G154" s="267">
        <f t="shared" si="1"/>
        <v>0</v>
      </c>
      <c r="H154" s="266" t="str">
        <f t="shared" si="2"/>
        <v>CRÍTICO</v>
      </c>
    </row>
    <row r="155" ht="15.75" customHeight="1">
      <c r="F155" s="266">
        <v>100.0</v>
      </c>
      <c r="G155" s="267">
        <f t="shared" si="1"/>
        <v>0</v>
      </c>
      <c r="H155" s="266" t="str">
        <f t="shared" si="2"/>
        <v>CRÍTICO</v>
      </c>
    </row>
    <row r="156" ht="15.75" customHeight="1">
      <c r="F156" s="266">
        <v>100.0</v>
      </c>
      <c r="G156" s="267">
        <f t="shared" si="1"/>
        <v>0</v>
      </c>
      <c r="H156" s="266" t="str">
        <f t="shared" si="2"/>
        <v>CRÍTICO</v>
      </c>
    </row>
    <row r="157" ht="15.75" customHeight="1">
      <c r="F157" s="266">
        <v>100.0</v>
      </c>
      <c r="G157" s="267">
        <f t="shared" si="1"/>
        <v>0</v>
      </c>
      <c r="H157" s="266" t="str">
        <f t="shared" si="2"/>
        <v>CRÍTICO</v>
      </c>
    </row>
    <row r="158" ht="15.75" customHeight="1">
      <c r="F158" s="266">
        <v>100.0</v>
      </c>
      <c r="G158" s="267">
        <f t="shared" si="1"/>
        <v>0</v>
      </c>
      <c r="H158" s="266" t="str">
        <f t="shared" si="2"/>
        <v>CRÍTICO</v>
      </c>
    </row>
    <row r="159" ht="15.75" customHeight="1">
      <c r="F159" s="266">
        <v>100.0</v>
      </c>
      <c r="G159" s="267">
        <f t="shared" si="1"/>
        <v>0</v>
      </c>
      <c r="H159" s="266" t="str">
        <f t="shared" si="2"/>
        <v>CRÍTICO</v>
      </c>
    </row>
    <row r="160" ht="15.75" customHeight="1">
      <c r="F160" s="266">
        <v>100.0</v>
      </c>
      <c r="G160" s="267">
        <f t="shared" si="1"/>
        <v>0</v>
      </c>
      <c r="H160" s="266" t="str">
        <f t="shared" si="2"/>
        <v>CRÍTICO</v>
      </c>
    </row>
    <row r="161" ht="15.75" customHeight="1">
      <c r="F161" s="266">
        <v>100.0</v>
      </c>
      <c r="G161" s="267">
        <f t="shared" si="1"/>
        <v>0</v>
      </c>
      <c r="H161" s="266" t="str">
        <f t="shared" si="2"/>
        <v>CRÍTICO</v>
      </c>
    </row>
    <row r="162" ht="15.75" customHeight="1">
      <c r="F162" s="266">
        <v>100.0</v>
      </c>
      <c r="G162" s="267">
        <f t="shared" si="1"/>
        <v>0</v>
      </c>
      <c r="H162" s="266" t="str">
        <f t="shared" si="2"/>
        <v>CRÍTICO</v>
      </c>
    </row>
    <row r="163" ht="15.75" customHeight="1">
      <c r="F163" s="266">
        <v>100.0</v>
      </c>
      <c r="G163" s="267">
        <f t="shared" si="1"/>
        <v>0</v>
      </c>
      <c r="H163" s="266" t="str">
        <f t="shared" si="2"/>
        <v>CRÍTICO</v>
      </c>
    </row>
    <row r="164" ht="15.75" customHeight="1">
      <c r="F164" s="266">
        <v>100.0</v>
      </c>
      <c r="G164" s="267">
        <f t="shared" si="1"/>
        <v>0</v>
      </c>
      <c r="H164" s="266" t="str">
        <f t="shared" si="2"/>
        <v>CRÍTICO</v>
      </c>
    </row>
    <row r="165" ht="15.75" customHeight="1">
      <c r="F165" s="266">
        <v>100.0</v>
      </c>
      <c r="G165" s="267">
        <f t="shared" si="1"/>
        <v>0</v>
      </c>
      <c r="H165" s="266" t="str">
        <f t="shared" si="2"/>
        <v>CRÍTICO</v>
      </c>
    </row>
    <row r="166" ht="15.75" customHeight="1">
      <c r="F166" s="266">
        <v>100.0</v>
      </c>
      <c r="G166" s="267">
        <f t="shared" si="1"/>
        <v>0</v>
      </c>
      <c r="H166" s="266" t="str">
        <f t="shared" si="2"/>
        <v>CRÍTICO</v>
      </c>
    </row>
    <row r="167" ht="15.75" customHeight="1">
      <c r="F167" s="266">
        <v>100.0</v>
      </c>
      <c r="G167" s="267">
        <f t="shared" si="1"/>
        <v>0</v>
      </c>
      <c r="H167" s="266" t="str">
        <f t="shared" si="2"/>
        <v>CRÍTICO</v>
      </c>
    </row>
    <row r="168" ht="15.75" customHeight="1">
      <c r="F168" s="266">
        <v>100.0</v>
      </c>
      <c r="G168" s="267">
        <f t="shared" si="1"/>
        <v>0</v>
      </c>
      <c r="H168" s="266" t="str">
        <f t="shared" si="2"/>
        <v>CRÍTICO</v>
      </c>
    </row>
    <row r="169" ht="15.75" customHeight="1">
      <c r="F169" s="266">
        <v>100.0</v>
      </c>
      <c r="G169" s="267">
        <f t="shared" si="1"/>
        <v>0</v>
      </c>
      <c r="H169" s="266" t="str">
        <f t="shared" si="2"/>
        <v>CRÍTICO</v>
      </c>
    </row>
    <row r="170" ht="15.75" customHeight="1">
      <c r="F170" s="266">
        <v>100.0</v>
      </c>
      <c r="G170" s="267">
        <f t="shared" si="1"/>
        <v>0</v>
      </c>
      <c r="H170" s="266" t="str">
        <f t="shared" si="2"/>
        <v>CRÍTICO</v>
      </c>
    </row>
    <row r="171" ht="15.75" customHeight="1">
      <c r="F171" s="266">
        <v>100.0</v>
      </c>
      <c r="G171" s="267">
        <f t="shared" si="1"/>
        <v>0</v>
      </c>
      <c r="H171" s="266" t="str">
        <f t="shared" si="2"/>
        <v>CRÍTICO</v>
      </c>
    </row>
    <row r="172" ht="15.75" customHeight="1">
      <c r="F172" s="266">
        <v>100.0</v>
      </c>
      <c r="G172" s="267">
        <f t="shared" si="1"/>
        <v>0</v>
      </c>
      <c r="H172" s="266" t="str">
        <f t="shared" si="2"/>
        <v>CRÍTICO</v>
      </c>
    </row>
    <row r="173" ht="15.75" customHeight="1">
      <c r="F173" s="266">
        <v>100.0</v>
      </c>
      <c r="G173" s="267">
        <f t="shared" si="1"/>
        <v>0</v>
      </c>
      <c r="H173" s="266" t="str">
        <f t="shared" si="2"/>
        <v>CRÍTICO</v>
      </c>
    </row>
    <row r="174" ht="15.75" customHeight="1">
      <c r="F174" s="266">
        <v>100.0</v>
      </c>
      <c r="G174" s="267">
        <f t="shared" si="1"/>
        <v>0</v>
      </c>
      <c r="H174" s="266" t="str">
        <f t="shared" si="2"/>
        <v>CRÍTICO</v>
      </c>
    </row>
    <row r="175" ht="15.75" customHeight="1">
      <c r="F175" s="266">
        <v>100.0</v>
      </c>
      <c r="G175" s="267">
        <f t="shared" si="1"/>
        <v>0</v>
      </c>
      <c r="H175" s="266" t="str">
        <f t="shared" si="2"/>
        <v>CRÍTICO</v>
      </c>
    </row>
    <row r="176" ht="15.75" customHeight="1">
      <c r="F176" s="266">
        <v>100.0</v>
      </c>
      <c r="G176" s="267">
        <f t="shared" si="1"/>
        <v>0</v>
      </c>
      <c r="H176" s="266" t="str">
        <f t="shared" si="2"/>
        <v>CRÍTICO</v>
      </c>
    </row>
    <row r="177" ht="15.75" customHeight="1">
      <c r="F177" s="266">
        <v>100.0</v>
      </c>
      <c r="G177" s="267">
        <f t="shared" si="1"/>
        <v>0</v>
      </c>
      <c r="H177" s="266" t="str">
        <f t="shared" si="2"/>
        <v>CRÍTICO</v>
      </c>
    </row>
    <row r="178" ht="15.75" customHeight="1">
      <c r="F178" s="266">
        <v>100.0</v>
      </c>
      <c r="G178" s="267">
        <f t="shared" si="1"/>
        <v>0</v>
      </c>
      <c r="H178" s="266" t="str">
        <f t="shared" si="2"/>
        <v>CRÍTICO</v>
      </c>
    </row>
    <row r="179" ht="15.75" customHeight="1">
      <c r="F179" s="266">
        <v>100.0</v>
      </c>
      <c r="G179" s="267">
        <f t="shared" si="1"/>
        <v>0</v>
      </c>
      <c r="H179" s="266" t="str">
        <f t="shared" si="2"/>
        <v>CRÍTICO</v>
      </c>
    </row>
    <row r="180" ht="15.75" customHeight="1">
      <c r="F180" s="266">
        <v>100.0</v>
      </c>
      <c r="G180" s="267">
        <f t="shared" si="1"/>
        <v>0</v>
      </c>
      <c r="H180" s="266" t="str">
        <f t="shared" si="2"/>
        <v>CRÍTICO</v>
      </c>
    </row>
    <row r="181" ht="15.75" customHeight="1">
      <c r="F181" s="266">
        <v>100.0</v>
      </c>
      <c r="G181" s="267">
        <f t="shared" si="1"/>
        <v>0</v>
      </c>
      <c r="H181" s="266" t="str">
        <f t="shared" si="2"/>
        <v>CRÍTICO</v>
      </c>
    </row>
    <row r="182" ht="15.75" customHeight="1">
      <c r="F182" s="266">
        <v>100.0</v>
      </c>
      <c r="G182" s="267">
        <f t="shared" si="1"/>
        <v>0</v>
      </c>
      <c r="H182" s="266" t="str">
        <f t="shared" si="2"/>
        <v>CRÍTICO</v>
      </c>
    </row>
    <row r="183" ht="15.75" customHeight="1">
      <c r="F183" s="266">
        <v>100.0</v>
      </c>
      <c r="G183" s="267">
        <f t="shared" si="1"/>
        <v>0</v>
      </c>
      <c r="H183" s="266" t="str">
        <f t="shared" si="2"/>
        <v>CRÍTICO</v>
      </c>
    </row>
    <row r="184" ht="15.75" customHeight="1">
      <c r="F184" s="266">
        <v>100.0</v>
      </c>
      <c r="G184" s="267">
        <f t="shared" si="1"/>
        <v>0</v>
      </c>
      <c r="H184" s="266" t="str">
        <f t="shared" si="2"/>
        <v>CRÍTICO</v>
      </c>
    </row>
    <row r="185" ht="15.75" customHeight="1">
      <c r="F185" s="266">
        <v>100.0</v>
      </c>
      <c r="G185" s="267">
        <f t="shared" si="1"/>
        <v>0</v>
      </c>
      <c r="H185" s="266" t="str">
        <f t="shared" si="2"/>
        <v>CRÍTICO</v>
      </c>
    </row>
    <row r="186" ht="15.75" customHeight="1">
      <c r="F186" s="266">
        <v>100.0</v>
      </c>
      <c r="G186" s="267">
        <f t="shared" si="1"/>
        <v>0</v>
      </c>
      <c r="H186" s="266" t="str">
        <f t="shared" si="2"/>
        <v>CRÍTICO</v>
      </c>
    </row>
    <row r="187" ht="15.75" customHeight="1">
      <c r="F187" s="266">
        <v>100.0</v>
      </c>
      <c r="G187" s="267">
        <f t="shared" si="1"/>
        <v>0</v>
      </c>
      <c r="H187" s="266" t="str">
        <f t="shared" si="2"/>
        <v>CRÍTICO</v>
      </c>
    </row>
    <row r="188" ht="15.75" customHeight="1">
      <c r="F188" s="266">
        <v>100.0</v>
      </c>
      <c r="G188" s="267">
        <f t="shared" si="1"/>
        <v>0</v>
      </c>
      <c r="H188" s="266" t="str">
        <f t="shared" si="2"/>
        <v>CRÍTICO</v>
      </c>
    </row>
    <row r="189" ht="15.75" customHeight="1">
      <c r="F189" s="266">
        <v>100.0</v>
      </c>
      <c r="G189" s="267">
        <f t="shared" si="1"/>
        <v>0</v>
      </c>
      <c r="H189" s="266" t="str">
        <f t="shared" si="2"/>
        <v>CRÍTICO</v>
      </c>
    </row>
    <row r="190" ht="15.75" customHeight="1">
      <c r="F190" s="266">
        <v>100.0</v>
      </c>
      <c r="G190" s="267">
        <f t="shared" si="1"/>
        <v>0</v>
      </c>
      <c r="H190" s="266" t="str">
        <f t="shared" si="2"/>
        <v>CRÍTICO</v>
      </c>
    </row>
    <row r="191" ht="15.75" customHeight="1">
      <c r="F191" s="266">
        <v>100.0</v>
      </c>
      <c r="G191" s="267">
        <f t="shared" si="1"/>
        <v>0</v>
      </c>
      <c r="H191" s="266" t="str">
        <f t="shared" si="2"/>
        <v>CRÍTICO</v>
      </c>
    </row>
    <row r="192" ht="15.75" customHeight="1">
      <c r="F192" s="266">
        <v>100.0</v>
      </c>
      <c r="G192" s="267">
        <f t="shared" si="1"/>
        <v>0</v>
      </c>
      <c r="H192" s="266" t="str">
        <f t="shared" si="2"/>
        <v>CRÍTICO</v>
      </c>
    </row>
    <row r="193" ht="15.75" customHeight="1">
      <c r="F193" s="266">
        <v>100.0</v>
      </c>
      <c r="G193" s="267">
        <f t="shared" si="1"/>
        <v>0</v>
      </c>
      <c r="H193" s="266" t="str">
        <f t="shared" si="2"/>
        <v>CRÍTICO</v>
      </c>
    </row>
    <row r="194" ht="15.75" customHeight="1">
      <c r="F194" s="266">
        <v>100.0</v>
      </c>
      <c r="G194" s="267">
        <f t="shared" si="1"/>
        <v>0</v>
      </c>
      <c r="H194" s="266" t="str">
        <f t="shared" si="2"/>
        <v>CRÍTICO</v>
      </c>
    </row>
    <row r="195" ht="15.75" customHeight="1">
      <c r="F195" s="266">
        <v>100.0</v>
      </c>
      <c r="G195" s="267">
        <f t="shared" si="1"/>
        <v>0</v>
      </c>
      <c r="H195" s="266" t="str">
        <f t="shared" si="2"/>
        <v>CRÍTICO</v>
      </c>
    </row>
    <row r="196" ht="15.75" customHeight="1">
      <c r="F196" s="266">
        <v>100.0</v>
      </c>
      <c r="G196" s="267">
        <f t="shared" si="1"/>
        <v>0</v>
      </c>
      <c r="H196" s="266" t="str">
        <f t="shared" si="2"/>
        <v>CRÍTICO</v>
      </c>
    </row>
    <row r="197" ht="15.75" customHeight="1">
      <c r="F197" s="266">
        <v>100.0</v>
      </c>
      <c r="G197" s="267">
        <f t="shared" si="1"/>
        <v>0</v>
      </c>
      <c r="H197" s="266" t="str">
        <f t="shared" si="2"/>
        <v>CRÍTICO</v>
      </c>
    </row>
    <row r="198" ht="15.75" customHeight="1">
      <c r="F198" s="266">
        <v>100.0</v>
      </c>
      <c r="G198" s="267">
        <f t="shared" si="1"/>
        <v>0</v>
      </c>
      <c r="H198" s="266" t="str">
        <f t="shared" si="2"/>
        <v>CRÍTICO</v>
      </c>
    </row>
    <row r="199" ht="15.75" customHeight="1">
      <c r="F199" s="266">
        <v>100.0</v>
      </c>
      <c r="G199" s="267">
        <f t="shared" si="1"/>
        <v>0</v>
      </c>
      <c r="H199" s="266" t="str">
        <f t="shared" si="2"/>
        <v>CRÍTICO</v>
      </c>
    </row>
    <row r="200" ht="15.75" customHeight="1">
      <c r="F200" s="266">
        <v>100.0</v>
      </c>
      <c r="G200" s="267">
        <f t="shared" si="1"/>
        <v>0</v>
      </c>
      <c r="H200" s="266" t="str">
        <f t="shared" si="2"/>
        <v>CRÍTICO</v>
      </c>
    </row>
    <row r="201" ht="15.75" customHeight="1">
      <c r="F201" s="266">
        <v>100.0</v>
      </c>
      <c r="G201" s="267">
        <f t="shared" si="1"/>
        <v>0</v>
      </c>
      <c r="H201" s="266" t="str">
        <f t="shared" si="2"/>
        <v>CRÍTICO</v>
      </c>
    </row>
    <row r="202" ht="15.75" customHeight="1">
      <c r="F202" s="266">
        <v>100.0</v>
      </c>
      <c r="G202" s="267">
        <f t="shared" si="1"/>
        <v>0</v>
      </c>
      <c r="H202" s="266" t="str">
        <f t="shared" si="2"/>
        <v>CRÍTICO</v>
      </c>
    </row>
    <row r="203" ht="15.75" customHeight="1">
      <c r="F203" s="266">
        <v>100.0</v>
      </c>
      <c r="G203" s="267">
        <f t="shared" si="1"/>
        <v>0</v>
      </c>
      <c r="H203" s="266" t="str">
        <f t="shared" si="2"/>
        <v>CRÍTICO</v>
      </c>
    </row>
    <row r="204" ht="15.75" customHeight="1">
      <c r="F204" s="266">
        <v>100.0</v>
      </c>
      <c r="G204" s="267">
        <f t="shared" si="1"/>
        <v>0</v>
      </c>
      <c r="H204" s="266" t="str">
        <f t="shared" si="2"/>
        <v>CRÍTICO</v>
      </c>
    </row>
    <row r="205" ht="15.75" customHeight="1">
      <c r="F205" s="266">
        <v>100.0</v>
      </c>
      <c r="G205" s="267">
        <f t="shared" si="1"/>
        <v>0</v>
      </c>
      <c r="H205" s="266" t="str">
        <f t="shared" si="2"/>
        <v>CRÍTICO</v>
      </c>
    </row>
    <row r="206" ht="15.75" customHeight="1">
      <c r="F206" s="266">
        <v>100.0</v>
      </c>
      <c r="G206" s="267">
        <f t="shared" si="1"/>
        <v>0</v>
      </c>
      <c r="H206" s="266" t="str">
        <f t="shared" si="2"/>
        <v>CRÍTICO</v>
      </c>
    </row>
    <row r="207" ht="15.75" customHeight="1">
      <c r="F207" s="266">
        <v>100.0</v>
      </c>
      <c r="G207" s="267">
        <f t="shared" si="1"/>
        <v>0</v>
      </c>
      <c r="H207" s="266" t="str">
        <f t="shared" si="2"/>
        <v>CRÍTICO</v>
      </c>
    </row>
    <row r="208" ht="15.75" customHeight="1">
      <c r="F208" s="266">
        <v>100.0</v>
      </c>
      <c r="G208" s="267">
        <f t="shared" si="1"/>
        <v>0</v>
      </c>
      <c r="H208" s="266" t="str">
        <f t="shared" si="2"/>
        <v>CRÍTICO</v>
      </c>
    </row>
    <row r="209" ht="15.75" customHeight="1">
      <c r="F209" s="266">
        <v>100.0</v>
      </c>
      <c r="G209" s="267">
        <f t="shared" si="1"/>
        <v>0</v>
      </c>
      <c r="H209" s="266" t="str">
        <f t="shared" si="2"/>
        <v>CRÍTICO</v>
      </c>
    </row>
    <row r="210" ht="15.75" customHeight="1">
      <c r="F210" s="266">
        <v>100.0</v>
      </c>
      <c r="G210" s="267">
        <f t="shared" si="1"/>
        <v>0</v>
      </c>
      <c r="H210" s="266" t="str">
        <f t="shared" si="2"/>
        <v>CRÍTICO</v>
      </c>
    </row>
    <row r="211" ht="15.75" customHeight="1">
      <c r="F211" s="266">
        <v>100.0</v>
      </c>
      <c r="G211" s="267">
        <f t="shared" si="1"/>
        <v>0</v>
      </c>
      <c r="H211" s="266" t="str">
        <f t="shared" si="2"/>
        <v>CRÍTICO</v>
      </c>
    </row>
    <row r="212" ht="15.75" customHeight="1">
      <c r="F212" s="266">
        <v>100.0</v>
      </c>
      <c r="G212" s="267">
        <f t="shared" si="1"/>
        <v>0</v>
      </c>
      <c r="H212" s="266" t="str">
        <f t="shared" si="2"/>
        <v>CRÍTICO</v>
      </c>
    </row>
    <row r="213" ht="15.75" customHeight="1">
      <c r="F213" s="266">
        <v>100.0</v>
      </c>
      <c r="G213" s="267">
        <f t="shared" si="1"/>
        <v>0</v>
      </c>
      <c r="H213" s="266" t="str">
        <f t="shared" si="2"/>
        <v>CRÍTICO</v>
      </c>
    </row>
    <row r="214" ht="15.75" customHeight="1">
      <c r="F214" s="266">
        <v>100.0</v>
      </c>
      <c r="G214" s="267">
        <f t="shared" si="1"/>
        <v>0</v>
      </c>
      <c r="H214" s="266" t="str">
        <f t="shared" si="2"/>
        <v>CRÍTICO</v>
      </c>
    </row>
    <row r="215" ht="15.75" customHeight="1">
      <c r="F215" s="266">
        <v>100.0</v>
      </c>
      <c r="G215" s="267">
        <f t="shared" si="1"/>
        <v>0</v>
      </c>
      <c r="H215" s="266" t="str">
        <f t="shared" si="2"/>
        <v>CRÍTICO</v>
      </c>
    </row>
    <row r="216" ht="15.75" customHeight="1">
      <c r="F216" s="266">
        <v>100.0</v>
      </c>
      <c r="G216" s="267">
        <f t="shared" si="1"/>
        <v>0</v>
      </c>
      <c r="H216" s="266" t="str">
        <f t="shared" si="2"/>
        <v>CRÍTICO</v>
      </c>
    </row>
    <row r="217" ht="15.75" customHeight="1">
      <c r="F217" s="266">
        <v>100.0</v>
      </c>
      <c r="G217" s="267">
        <f t="shared" si="1"/>
        <v>0</v>
      </c>
      <c r="H217" s="266" t="str">
        <f t="shared" si="2"/>
        <v>CRÍTICO</v>
      </c>
    </row>
    <row r="218" ht="15.75" customHeight="1">
      <c r="F218" s="266">
        <v>100.0</v>
      </c>
      <c r="G218" s="267">
        <f t="shared" si="1"/>
        <v>0</v>
      </c>
      <c r="H218" s="266" t="str">
        <f t="shared" si="2"/>
        <v>CRÍTICO</v>
      </c>
    </row>
    <row r="219" ht="15.75" customHeight="1">
      <c r="F219" s="266">
        <v>100.0</v>
      </c>
      <c r="G219" s="267">
        <f t="shared" si="1"/>
        <v>0</v>
      </c>
      <c r="H219" s="266" t="str">
        <f t="shared" si="2"/>
        <v>CRÍTICO</v>
      </c>
    </row>
    <row r="220" ht="15.75" customHeight="1">
      <c r="F220" s="266">
        <v>100.0</v>
      </c>
      <c r="G220" s="267">
        <f t="shared" si="1"/>
        <v>0</v>
      </c>
      <c r="H220" s="266" t="str">
        <f t="shared" si="2"/>
        <v>CRÍTICO</v>
      </c>
    </row>
    <row r="221" ht="15.75" customHeight="1">
      <c r="F221" s="266">
        <v>100.0</v>
      </c>
      <c r="G221" s="267">
        <f t="shared" si="1"/>
        <v>0</v>
      </c>
      <c r="H221" s="266" t="str">
        <f t="shared" si="2"/>
        <v>CRÍTICO</v>
      </c>
    </row>
    <row r="222" ht="15.75" customHeight="1">
      <c r="F222" s="266">
        <v>100.0</v>
      </c>
      <c r="G222" s="267">
        <f t="shared" si="1"/>
        <v>0</v>
      </c>
      <c r="H222" s="266" t="str">
        <f t="shared" si="2"/>
        <v>CRÍTICO</v>
      </c>
    </row>
    <row r="223" ht="15.75" customHeight="1">
      <c r="F223" s="266">
        <v>100.0</v>
      </c>
      <c r="G223" s="267">
        <f t="shared" si="1"/>
        <v>0</v>
      </c>
      <c r="H223" s="266" t="str">
        <f t="shared" si="2"/>
        <v>CRÍTICO</v>
      </c>
    </row>
    <row r="224" ht="15.75" customHeight="1">
      <c r="F224" s="266">
        <v>100.0</v>
      </c>
      <c r="G224" s="267">
        <f t="shared" si="1"/>
        <v>0</v>
      </c>
      <c r="H224" s="266" t="str">
        <f t="shared" si="2"/>
        <v>CRÍTICO</v>
      </c>
    </row>
    <row r="225" ht="15.75" customHeight="1">
      <c r="F225" s="266">
        <v>100.0</v>
      </c>
      <c r="G225" s="267">
        <f t="shared" si="1"/>
        <v>0</v>
      </c>
      <c r="H225" s="266" t="str">
        <f t="shared" si="2"/>
        <v>CRÍTICO</v>
      </c>
    </row>
    <row r="226" ht="15.75" customHeight="1">
      <c r="F226" s="266">
        <v>100.0</v>
      </c>
      <c r="G226" s="267">
        <f t="shared" si="1"/>
        <v>0</v>
      </c>
      <c r="H226" s="266" t="str">
        <f t="shared" si="2"/>
        <v>CRÍTICO</v>
      </c>
    </row>
    <row r="227" ht="15.75" customHeight="1">
      <c r="F227" s="266">
        <v>100.0</v>
      </c>
      <c r="G227" s="267">
        <f t="shared" si="1"/>
        <v>0</v>
      </c>
      <c r="H227" s="266" t="str">
        <f t="shared" si="2"/>
        <v>CRÍTICO</v>
      </c>
    </row>
    <row r="228" ht="15.75" customHeight="1">
      <c r="F228" s="266">
        <v>100.0</v>
      </c>
      <c r="G228" s="267">
        <f t="shared" si="1"/>
        <v>0</v>
      </c>
      <c r="H228" s="266" t="str">
        <f t="shared" si="2"/>
        <v>CRÍTICO</v>
      </c>
    </row>
    <row r="229" ht="15.75" customHeight="1">
      <c r="F229" s="266">
        <v>100.0</v>
      </c>
      <c r="G229" s="267">
        <f t="shared" si="1"/>
        <v>0</v>
      </c>
      <c r="H229" s="266" t="str">
        <f t="shared" si="2"/>
        <v>CRÍTICO</v>
      </c>
    </row>
    <row r="230" ht="15.75" customHeight="1">
      <c r="F230" s="266">
        <v>100.0</v>
      </c>
      <c r="G230" s="267">
        <f t="shared" si="1"/>
        <v>0</v>
      </c>
      <c r="H230" s="266" t="str">
        <f t="shared" si="2"/>
        <v>CRÍTICO</v>
      </c>
    </row>
    <row r="231" ht="15.75" customHeight="1">
      <c r="F231" s="266">
        <v>100.0</v>
      </c>
      <c r="G231" s="267">
        <f t="shared" si="1"/>
        <v>0</v>
      </c>
      <c r="H231" s="266" t="str">
        <f t="shared" si="2"/>
        <v>CRÍTICO</v>
      </c>
    </row>
    <row r="232" ht="15.75" customHeight="1">
      <c r="F232" s="266">
        <v>100.0</v>
      </c>
      <c r="G232" s="267">
        <f t="shared" si="1"/>
        <v>0</v>
      </c>
      <c r="H232" s="266" t="str">
        <f t="shared" si="2"/>
        <v>CRÍTICO</v>
      </c>
    </row>
    <row r="233" ht="15.75" customHeight="1">
      <c r="F233" s="266">
        <v>100.0</v>
      </c>
      <c r="G233" s="267">
        <f t="shared" si="1"/>
        <v>0</v>
      </c>
      <c r="H233" s="266" t="str">
        <f t="shared" si="2"/>
        <v>CRÍTICO</v>
      </c>
    </row>
    <row r="234" ht="15.75" customHeight="1">
      <c r="F234" s="266">
        <v>100.0</v>
      </c>
      <c r="G234" s="267">
        <f t="shared" si="1"/>
        <v>0</v>
      </c>
      <c r="H234" s="266" t="str">
        <f t="shared" si="2"/>
        <v>CRÍTICO</v>
      </c>
    </row>
    <row r="235" ht="15.75" customHeight="1">
      <c r="F235" s="266">
        <v>100.0</v>
      </c>
      <c r="G235" s="267">
        <f t="shared" si="1"/>
        <v>0</v>
      </c>
      <c r="H235" s="266" t="str">
        <f t="shared" si="2"/>
        <v>CRÍTICO</v>
      </c>
    </row>
    <row r="236" ht="15.75" customHeight="1">
      <c r="F236" s="266">
        <v>100.0</v>
      </c>
      <c r="G236" s="267">
        <f t="shared" si="1"/>
        <v>0</v>
      </c>
      <c r="H236" s="266" t="str">
        <f t="shared" si="2"/>
        <v>CRÍTICO</v>
      </c>
    </row>
    <row r="237" ht="15.75" customHeight="1">
      <c r="F237" s="266">
        <v>100.0</v>
      </c>
      <c r="G237" s="267">
        <f t="shared" si="1"/>
        <v>0</v>
      </c>
      <c r="H237" s="266" t="str">
        <f t="shared" si="2"/>
        <v>CRÍTICO</v>
      </c>
    </row>
    <row r="238" ht="15.75" customHeight="1">
      <c r="F238" s="266">
        <v>100.0</v>
      </c>
      <c r="G238" s="267">
        <f t="shared" si="1"/>
        <v>0</v>
      </c>
      <c r="H238" s="266" t="str">
        <f t="shared" si="2"/>
        <v>CRÍTICO</v>
      </c>
    </row>
    <row r="239" ht="15.75" customHeight="1">
      <c r="F239" s="266">
        <v>100.0</v>
      </c>
      <c r="G239" s="267">
        <f t="shared" si="1"/>
        <v>0</v>
      </c>
      <c r="H239" s="266" t="str">
        <f t="shared" si="2"/>
        <v>CRÍTICO</v>
      </c>
    </row>
    <row r="240" ht="15.75" customHeight="1">
      <c r="F240" s="266">
        <v>100.0</v>
      </c>
      <c r="G240" s="267">
        <f t="shared" si="1"/>
        <v>0</v>
      </c>
      <c r="H240" s="266" t="str">
        <f t="shared" si="2"/>
        <v>CRÍTICO</v>
      </c>
    </row>
    <row r="241" ht="15.75" customHeight="1">
      <c r="F241" s="266">
        <v>100.0</v>
      </c>
      <c r="G241" s="267">
        <f t="shared" si="1"/>
        <v>0</v>
      </c>
      <c r="H241" s="266" t="str">
        <f t="shared" si="2"/>
        <v>CRÍTICO</v>
      </c>
    </row>
    <row r="242" ht="15.75" customHeight="1">
      <c r="F242" s="266">
        <v>100.0</v>
      </c>
      <c r="G242" s="267">
        <f t="shared" si="1"/>
        <v>0</v>
      </c>
      <c r="H242" s="266" t="str">
        <f t="shared" si="2"/>
        <v>CRÍTICO</v>
      </c>
    </row>
    <row r="243" ht="15.75" customHeight="1">
      <c r="F243" s="266">
        <v>100.0</v>
      </c>
      <c r="G243" s="267">
        <f t="shared" si="1"/>
        <v>0</v>
      </c>
      <c r="H243" s="266" t="str">
        <f t="shared" si="2"/>
        <v>CRÍTICO</v>
      </c>
    </row>
    <row r="244" ht="15.75" customHeight="1">
      <c r="F244" s="266">
        <v>100.0</v>
      </c>
      <c r="G244" s="267">
        <f t="shared" si="1"/>
        <v>0</v>
      </c>
      <c r="H244" s="266" t="str">
        <f t="shared" si="2"/>
        <v>CRÍTICO</v>
      </c>
    </row>
    <row r="245" ht="15.75" customHeight="1">
      <c r="F245" s="266">
        <v>100.0</v>
      </c>
      <c r="G245" s="267">
        <f t="shared" si="1"/>
        <v>0</v>
      </c>
      <c r="H245" s="266" t="str">
        <f t="shared" si="2"/>
        <v>CRÍTICO</v>
      </c>
    </row>
    <row r="246" ht="15.75" customHeight="1">
      <c r="F246" s="266">
        <v>100.0</v>
      </c>
      <c r="G246" s="267">
        <f t="shared" si="1"/>
        <v>0</v>
      </c>
      <c r="H246" s="266" t="str">
        <f t="shared" si="2"/>
        <v>CRÍTICO</v>
      </c>
    </row>
    <row r="247" ht="15.75" customHeight="1">
      <c r="F247" s="266">
        <v>100.0</v>
      </c>
      <c r="G247" s="267">
        <f t="shared" si="1"/>
        <v>0</v>
      </c>
      <c r="H247" s="266" t="str">
        <f t="shared" si="2"/>
        <v>CRÍTICO</v>
      </c>
    </row>
    <row r="248" ht="15.75" customHeight="1">
      <c r="F248" s="266">
        <v>100.0</v>
      </c>
      <c r="G248" s="267">
        <f t="shared" si="1"/>
        <v>0</v>
      </c>
      <c r="H248" s="266" t="str">
        <f t="shared" si="2"/>
        <v>CRÍTICO</v>
      </c>
    </row>
    <row r="249" ht="15.75" customHeight="1">
      <c r="F249" s="266">
        <v>100.0</v>
      </c>
      <c r="G249" s="267">
        <f t="shared" si="1"/>
        <v>0</v>
      </c>
      <c r="H249" s="266" t="str">
        <f t="shared" si="2"/>
        <v>CRÍTICO</v>
      </c>
    </row>
    <row r="250" ht="15.75" customHeight="1">
      <c r="F250" s="266">
        <v>100.0</v>
      </c>
      <c r="G250" s="267">
        <f t="shared" si="1"/>
        <v>0</v>
      </c>
      <c r="H250" s="266" t="str">
        <f t="shared" si="2"/>
        <v>CRÍTICO</v>
      </c>
    </row>
    <row r="251" ht="15.75" customHeight="1">
      <c r="F251" s="266">
        <v>100.0</v>
      </c>
      <c r="G251" s="267">
        <f t="shared" si="1"/>
        <v>0</v>
      </c>
      <c r="H251" s="266" t="str">
        <f t="shared" si="2"/>
        <v>CRÍTICO</v>
      </c>
    </row>
    <row r="252" ht="15.75" customHeight="1">
      <c r="F252" s="266">
        <v>100.0</v>
      </c>
      <c r="G252" s="267">
        <f t="shared" si="1"/>
        <v>0</v>
      </c>
      <c r="H252" s="266" t="str">
        <f t="shared" si="2"/>
        <v>CRÍTICO</v>
      </c>
    </row>
    <row r="253" ht="15.75" customHeight="1">
      <c r="F253" s="266">
        <v>100.0</v>
      </c>
      <c r="G253" s="267">
        <f t="shared" si="1"/>
        <v>0</v>
      </c>
      <c r="H253" s="266" t="str">
        <f t="shared" si="2"/>
        <v>CRÍTICO</v>
      </c>
    </row>
    <row r="254" ht="15.75" customHeight="1">
      <c r="F254" s="266">
        <v>100.0</v>
      </c>
      <c r="G254" s="267">
        <f t="shared" si="1"/>
        <v>0</v>
      </c>
      <c r="H254" s="266" t="str">
        <f t="shared" si="2"/>
        <v>CRÍTICO</v>
      </c>
    </row>
    <row r="255" ht="15.75" customHeight="1">
      <c r="F255" s="266">
        <v>100.0</v>
      </c>
      <c r="G255" s="267">
        <f t="shared" si="1"/>
        <v>0</v>
      </c>
      <c r="H255" s="266" t="str">
        <f t="shared" si="2"/>
        <v>CRÍTICO</v>
      </c>
    </row>
    <row r="256" ht="15.75" customHeight="1">
      <c r="F256" s="266">
        <v>100.0</v>
      </c>
      <c r="G256" s="267">
        <f t="shared" si="1"/>
        <v>0</v>
      </c>
      <c r="H256" s="266" t="str">
        <f t="shared" si="2"/>
        <v>CRÍTICO</v>
      </c>
    </row>
    <row r="257" ht="15.75" customHeight="1">
      <c r="F257" s="266">
        <v>100.0</v>
      </c>
      <c r="G257" s="267">
        <f t="shared" si="1"/>
        <v>0</v>
      </c>
      <c r="H257" s="266" t="str">
        <f t="shared" si="2"/>
        <v>CRÍTICO</v>
      </c>
    </row>
    <row r="258" ht="15.75" customHeight="1">
      <c r="F258" s="266">
        <v>100.0</v>
      </c>
      <c r="G258" s="267">
        <f t="shared" si="1"/>
        <v>0</v>
      </c>
      <c r="H258" s="266" t="str">
        <f t="shared" si="2"/>
        <v>CRÍTICO</v>
      </c>
    </row>
    <row r="259" ht="15.75" customHeight="1">
      <c r="F259" s="266">
        <v>100.0</v>
      </c>
      <c r="G259" s="267">
        <f t="shared" si="1"/>
        <v>0</v>
      </c>
      <c r="H259" s="266" t="str">
        <f t="shared" si="2"/>
        <v>CRÍTICO</v>
      </c>
    </row>
    <row r="260" ht="15.75" customHeight="1">
      <c r="F260" s="266">
        <v>100.0</v>
      </c>
      <c r="G260" s="267">
        <f t="shared" si="1"/>
        <v>0</v>
      </c>
      <c r="H260" s="266" t="str">
        <f t="shared" si="2"/>
        <v>CRÍTICO</v>
      </c>
    </row>
    <row r="261" ht="15.75" customHeight="1">
      <c r="F261" s="266">
        <v>100.0</v>
      </c>
      <c r="G261" s="267">
        <f t="shared" si="1"/>
        <v>0</v>
      </c>
      <c r="H261" s="266" t="str">
        <f t="shared" si="2"/>
        <v>CRÍTICO</v>
      </c>
    </row>
    <row r="262" ht="15.75" customHeight="1">
      <c r="F262" s="266">
        <v>100.0</v>
      </c>
      <c r="G262" s="267">
        <f t="shared" si="1"/>
        <v>0</v>
      </c>
      <c r="H262" s="266" t="str">
        <f t="shared" si="2"/>
        <v>CRÍTICO</v>
      </c>
    </row>
    <row r="263" ht="15.75" customHeight="1">
      <c r="F263" s="266">
        <v>100.0</v>
      </c>
      <c r="G263" s="267">
        <f t="shared" si="1"/>
        <v>0</v>
      </c>
      <c r="H263" s="266" t="str">
        <f t="shared" si="2"/>
        <v>CRÍTICO</v>
      </c>
    </row>
    <row r="264" ht="15.75" customHeight="1">
      <c r="F264" s="266">
        <v>100.0</v>
      </c>
      <c r="G264" s="267">
        <f t="shared" si="1"/>
        <v>0</v>
      </c>
      <c r="H264" s="266" t="str">
        <f t="shared" si="2"/>
        <v>CRÍTICO</v>
      </c>
    </row>
    <row r="265" ht="15.75" customHeight="1">
      <c r="F265" s="266">
        <v>100.0</v>
      </c>
      <c r="G265" s="267">
        <f t="shared" si="1"/>
        <v>0</v>
      </c>
      <c r="H265" s="266" t="str">
        <f t="shared" si="2"/>
        <v>CRÍTICO</v>
      </c>
    </row>
    <row r="266" ht="15.75" customHeight="1">
      <c r="F266" s="266">
        <v>100.0</v>
      </c>
      <c r="G266" s="267">
        <f t="shared" si="1"/>
        <v>0</v>
      </c>
      <c r="H266" s="266" t="str">
        <f t="shared" si="2"/>
        <v>CRÍTICO</v>
      </c>
    </row>
    <row r="267" ht="15.75" customHeight="1">
      <c r="F267" s="266">
        <v>100.0</v>
      </c>
      <c r="G267" s="267">
        <f t="shared" si="1"/>
        <v>0</v>
      </c>
      <c r="H267" s="266" t="str">
        <f t="shared" si="2"/>
        <v>CRÍTICO</v>
      </c>
    </row>
    <row r="268" ht="15.75" customHeight="1">
      <c r="F268" s="266">
        <v>100.0</v>
      </c>
      <c r="G268" s="267">
        <f t="shared" si="1"/>
        <v>0</v>
      </c>
      <c r="H268" s="266" t="str">
        <f t="shared" si="2"/>
        <v>CRÍTICO</v>
      </c>
    </row>
    <row r="269" ht="15.75" customHeight="1">
      <c r="F269" s="266">
        <v>100.0</v>
      </c>
      <c r="G269" s="267">
        <f t="shared" si="1"/>
        <v>0</v>
      </c>
      <c r="H269" s="266" t="str">
        <f t="shared" si="2"/>
        <v>CRÍTICO</v>
      </c>
    </row>
    <row r="270" ht="15.75" customHeight="1">
      <c r="F270" s="266">
        <v>100.0</v>
      </c>
      <c r="G270" s="267">
        <f t="shared" si="1"/>
        <v>0</v>
      </c>
      <c r="H270" s="266" t="str">
        <f t="shared" si="2"/>
        <v>CRÍTICO</v>
      </c>
    </row>
    <row r="271" ht="15.75" customHeight="1">
      <c r="F271" s="266">
        <v>100.0</v>
      </c>
      <c r="G271" s="267">
        <f t="shared" si="1"/>
        <v>0</v>
      </c>
      <c r="H271" s="266" t="str">
        <f t="shared" si="2"/>
        <v>CRÍTICO</v>
      </c>
    </row>
    <row r="272" ht="15.75" customHeight="1">
      <c r="F272" s="266">
        <v>100.0</v>
      </c>
      <c r="G272" s="267">
        <f t="shared" si="1"/>
        <v>0</v>
      </c>
      <c r="H272" s="266" t="str">
        <f t="shared" si="2"/>
        <v>CRÍTICO</v>
      </c>
    </row>
    <row r="273" ht="15.75" customHeight="1">
      <c r="F273" s="266">
        <v>100.0</v>
      </c>
      <c r="G273" s="267">
        <f t="shared" si="1"/>
        <v>0</v>
      </c>
      <c r="H273" s="266" t="str">
        <f t="shared" si="2"/>
        <v>CRÍTICO</v>
      </c>
    </row>
    <row r="274" ht="15.75" customHeight="1">
      <c r="F274" s="266">
        <v>100.0</v>
      </c>
      <c r="G274" s="267">
        <f t="shared" si="1"/>
        <v>0</v>
      </c>
      <c r="H274" s="266" t="str">
        <f t="shared" si="2"/>
        <v>CRÍTICO</v>
      </c>
    </row>
    <row r="275" ht="15.75" customHeight="1">
      <c r="F275" s="266">
        <v>100.0</v>
      </c>
      <c r="G275" s="267">
        <f t="shared" si="1"/>
        <v>0</v>
      </c>
      <c r="H275" s="266" t="str">
        <f t="shared" si="2"/>
        <v>CRÍTICO</v>
      </c>
    </row>
    <row r="276" ht="15.75" customHeight="1">
      <c r="F276" s="266">
        <v>100.0</v>
      </c>
      <c r="G276" s="267">
        <f t="shared" si="1"/>
        <v>0</v>
      </c>
      <c r="H276" s="266" t="str">
        <f t="shared" si="2"/>
        <v>CRÍTICO</v>
      </c>
    </row>
    <row r="277" ht="15.75" customHeight="1">
      <c r="F277" s="266">
        <v>100.0</v>
      </c>
      <c r="G277" s="267">
        <f t="shared" si="1"/>
        <v>0</v>
      </c>
      <c r="H277" s="266" t="str">
        <f t="shared" si="2"/>
        <v>CRÍTICO</v>
      </c>
    </row>
    <row r="278" ht="15.75" customHeight="1">
      <c r="F278" s="266">
        <v>100.0</v>
      </c>
      <c r="G278" s="267">
        <f t="shared" si="1"/>
        <v>0</v>
      </c>
      <c r="H278" s="266" t="str">
        <f t="shared" si="2"/>
        <v>CRÍTICO</v>
      </c>
    </row>
    <row r="279" ht="15.75" customHeight="1">
      <c r="F279" s="266">
        <v>100.0</v>
      </c>
      <c r="G279" s="267">
        <f t="shared" si="1"/>
        <v>0</v>
      </c>
      <c r="H279" s="266" t="str">
        <f t="shared" si="2"/>
        <v>CRÍTICO</v>
      </c>
    </row>
    <row r="280" ht="15.75" customHeight="1">
      <c r="F280" s="266">
        <v>100.0</v>
      </c>
      <c r="G280" s="267">
        <f t="shared" si="1"/>
        <v>0</v>
      </c>
      <c r="H280" s="266" t="str">
        <f t="shared" si="2"/>
        <v>CRÍTICO</v>
      </c>
    </row>
    <row r="281" ht="15.75" customHeight="1">
      <c r="F281" s="266">
        <v>100.0</v>
      </c>
      <c r="G281" s="267">
        <f t="shared" si="1"/>
        <v>0</v>
      </c>
      <c r="H281" s="266" t="str">
        <f t="shared" si="2"/>
        <v>CRÍTICO</v>
      </c>
    </row>
    <row r="282" ht="15.75" customHeight="1">
      <c r="F282" s="266">
        <v>100.0</v>
      </c>
      <c r="G282" s="267">
        <f t="shared" si="1"/>
        <v>0</v>
      </c>
      <c r="H282" s="266" t="str">
        <f t="shared" si="2"/>
        <v>CRÍTICO</v>
      </c>
    </row>
    <row r="283" ht="15.75" customHeight="1">
      <c r="F283" s="266">
        <v>100.0</v>
      </c>
      <c r="G283" s="267">
        <f t="shared" si="1"/>
        <v>0</v>
      </c>
      <c r="H283" s="266" t="str">
        <f t="shared" si="2"/>
        <v>CRÍTICO</v>
      </c>
    </row>
    <row r="284" ht="15.75" customHeight="1">
      <c r="F284" s="266">
        <v>100.0</v>
      </c>
      <c r="G284" s="267">
        <f t="shared" si="1"/>
        <v>0</v>
      </c>
      <c r="H284" s="266" t="str">
        <f t="shared" si="2"/>
        <v>CRÍTICO</v>
      </c>
    </row>
    <row r="285" ht="15.75" customHeight="1">
      <c r="F285" s="266">
        <v>100.0</v>
      </c>
      <c r="G285" s="267">
        <f t="shared" si="1"/>
        <v>0</v>
      </c>
      <c r="H285" s="266" t="str">
        <f t="shared" si="2"/>
        <v>CRÍTICO</v>
      </c>
    </row>
    <row r="286" ht="15.75" customHeight="1">
      <c r="F286" s="266">
        <v>100.0</v>
      </c>
      <c r="G286" s="267">
        <f t="shared" si="1"/>
        <v>0</v>
      </c>
      <c r="H286" s="266" t="str">
        <f t="shared" si="2"/>
        <v>CRÍTICO</v>
      </c>
    </row>
    <row r="287" ht="15.75" customHeight="1">
      <c r="F287" s="266">
        <v>100.0</v>
      </c>
      <c r="G287" s="267">
        <f t="shared" si="1"/>
        <v>0</v>
      </c>
      <c r="H287" s="266" t="str">
        <f t="shared" si="2"/>
        <v>CRÍTICO</v>
      </c>
    </row>
    <row r="288" ht="15.75" customHeight="1">
      <c r="F288" s="266">
        <v>100.0</v>
      </c>
      <c r="G288" s="267">
        <f t="shared" si="1"/>
        <v>0</v>
      </c>
      <c r="H288" s="266" t="str">
        <f t="shared" si="2"/>
        <v>CRÍTICO</v>
      </c>
    </row>
    <row r="289" ht="15.75" customHeight="1">
      <c r="F289" s="266">
        <v>100.0</v>
      </c>
      <c r="G289" s="267">
        <f t="shared" si="1"/>
        <v>0</v>
      </c>
      <c r="H289" s="266" t="str">
        <f t="shared" si="2"/>
        <v>CRÍTICO</v>
      </c>
    </row>
    <row r="290" ht="15.75" customHeight="1">
      <c r="F290" s="266">
        <v>100.0</v>
      </c>
      <c r="G290" s="267">
        <f t="shared" si="1"/>
        <v>0</v>
      </c>
      <c r="H290" s="266" t="str">
        <f t="shared" si="2"/>
        <v>CRÍTICO</v>
      </c>
    </row>
    <row r="291" ht="15.75" customHeight="1">
      <c r="F291" s="266">
        <v>100.0</v>
      </c>
      <c r="G291" s="267">
        <f t="shared" si="1"/>
        <v>0</v>
      </c>
      <c r="H291" s="266" t="str">
        <f t="shared" si="2"/>
        <v>CRÍTICO</v>
      </c>
    </row>
    <row r="292" ht="15.75" customHeight="1">
      <c r="F292" s="266">
        <v>100.0</v>
      </c>
      <c r="G292" s="267">
        <f t="shared" si="1"/>
        <v>0</v>
      </c>
      <c r="H292" s="266" t="str">
        <f t="shared" si="2"/>
        <v>CRÍTICO</v>
      </c>
    </row>
    <row r="293" ht="15.75" customHeight="1">
      <c r="F293" s="266">
        <v>100.0</v>
      </c>
      <c r="G293" s="267">
        <f t="shared" si="1"/>
        <v>0</v>
      </c>
      <c r="H293" s="266" t="str">
        <f t="shared" si="2"/>
        <v>CRÍTICO</v>
      </c>
    </row>
    <row r="294" ht="15.75" customHeight="1">
      <c r="F294" s="266">
        <v>100.0</v>
      </c>
      <c r="G294" s="267">
        <f t="shared" si="1"/>
        <v>0</v>
      </c>
      <c r="H294" s="266" t="str">
        <f t="shared" si="2"/>
        <v>CRÍTICO</v>
      </c>
    </row>
    <row r="295" ht="15.75" customHeight="1">
      <c r="F295" s="266">
        <v>100.0</v>
      </c>
      <c r="G295" s="267">
        <f t="shared" si="1"/>
        <v>0</v>
      </c>
      <c r="H295" s="266" t="str">
        <f t="shared" si="2"/>
        <v>CRÍTICO</v>
      </c>
    </row>
    <row r="296" ht="15.75" customHeight="1">
      <c r="F296" s="266">
        <v>100.0</v>
      </c>
      <c r="G296" s="267">
        <f t="shared" si="1"/>
        <v>0</v>
      </c>
      <c r="H296" s="266" t="str">
        <f t="shared" si="2"/>
        <v>CRÍTICO</v>
      </c>
    </row>
    <row r="297" ht="15.75" customHeight="1">
      <c r="F297" s="266">
        <v>100.0</v>
      </c>
      <c r="G297" s="267">
        <f t="shared" si="1"/>
        <v>0</v>
      </c>
      <c r="H297" s="266" t="str">
        <f t="shared" si="2"/>
        <v>CRÍTICO</v>
      </c>
    </row>
    <row r="298" ht="15.75" customHeight="1">
      <c r="F298" s="266">
        <v>100.0</v>
      </c>
      <c r="G298" s="267">
        <f t="shared" si="1"/>
        <v>0</v>
      </c>
      <c r="H298" s="266" t="str">
        <f t="shared" si="2"/>
        <v>CRÍTICO</v>
      </c>
    </row>
    <row r="299" ht="15.75" customHeight="1">
      <c r="F299" s="266">
        <v>100.0</v>
      </c>
      <c r="G299" s="267">
        <f t="shared" si="1"/>
        <v>0</v>
      </c>
      <c r="H299" s="266" t="str">
        <f t="shared" si="2"/>
        <v>CRÍTICO</v>
      </c>
    </row>
    <row r="300" ht="15.75" customHeight="1">
      <c r="F300" s="266">
        <v>100.0</v>
      </c>
      <c r="G300" s="267">
        <f t="shared" si="1"/>
        <v>0</v>
      </c>
      <c r="H300" s="266" t="str">
        <f t="shared" si="2"/>
        <v>CRÍTICO</v>
      </c>
    </row>
    <row r="301" ht="15.75" customHeight="1">
      <c r="F301" s="266">
        <v>100.0</v>
      </c>
      <c r="G301" s="267">
        <f t="shared" si="1"/>
        <v>0</v>
      </c>
      <c r="H301" s="266" t="str">
        <f t="shared" si="2"/>
        <v>CRÍTICO</v>
      </c>
    </row>
    <row r="302" ht="15.75" customHeight="1">
      <c r="F302" s="266">
        <v>100.0</v>
      </c>
      <c r="G302" s="267">
        <f t="shared" si="1"/>
        <v>0</v>
      </c>
      <c r="H302" s="266" t="str">
        <f t="shared" si="2"/>
        <v>CRÍTICO</v>
      </c>
    </row>
    <row r="303" ht="15.75" customHeight="1">
      <c r="F303" s="266">
        <v>100.0</v>
      </c>
      <c r="G303" s="267">
        <f t="shared" si="1"/>
        <v>0</v>
      </c>
      <c r="H303" s="266" t="str">
        <f t="shared" si="2"/>
        <v>CRÍTICO</v>
      </c>
    </row>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